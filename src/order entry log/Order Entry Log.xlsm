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Users\ee\job_management\src\order entry log\"/>
    </mc:Choice>
  </mc:AlternateContent>
  <xr:revisionPtr revIDLastSave="0" documentId="13_ncr:1_{98C469B4-1B3C-4072-BBD9-C78DA7535E39}" xr6:coauthVersionLast="47" xr6:coauthVersionMax="47" xr10:uidLastSave="{00000000-0000-0000-0000-000000000000}"/>
  <bookViews>
    <workbookView xWindow="28680" yWindow="-15" windowWidth="29040" windowHeight="15720" tabRatio="728" xr2:uid="{00000000-000D-0000-FFFF-FFFF00000000}"/>
  </bookViews>
  <sheets>
    <sheet name="DELIVERY SCHEDULE" sheetId="17"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functionGroups builtInGroupCount="19"/>
  <externalReferences>
    <externalReference r:id="rId14"/>
    <externalReference r:id="rId15"/>
  </externalReferences>
  <definedNames>
    <definedName name="_xlnm._FilterDatabase" localSheetId="0" hidden="1">'DELIVERY SCHEDULE'!$A$3:$R$517</definedName>
    <definedName name="_xlnm._FilterDatabase" localSheetId="6" hidden="1">PastDUE!$A$1:$F$5</definedName>
    <definedName name="Contact">'Input Form'!$E$17</definedName>
    <definedName name="Cust" localSheetId="10">CustomersBK!$A$1:$A$87</definedName>
    <definedName name="Cust" localSheetId="0">[1]Customers!$A$1:$A$80</definedName>
    <definedName name="Cust" localSheetId="7">[2]Customers!$A$1:$A$75</definedName>
    <definedName name="Cust" localSheetId="2">Customers!$A$1:$A$79</definedName>
    <definedName name="Cust" localSheetId="3">Customers!$A$1:$A$79</definedName>
    <definedName name="Cust">Customers!$A$1:$A$79</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0">[1]Report!#REF!</definedName>
    <definedName name="month" localSheetId="7">[2]Report!#REF!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0">[1]Report!#REF!</definedName>
    <definedName name="year" localSheetId="7">[2]Report!#REF!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pcinsider@hotmail.com - Personal View" guid="{FFA6C093-E866-4B92-9807-8D478A2763D4}" autoUpdate="1" mergeInterval="15" personalView="1" maximized="1" xWindow="1" yWindow="1" windowWidth="1920" windowHeight="821" tabRatio="693" activeSheetId="2"/>
    <customWorkbookView name="herlette - Personal View" guid="{2CF83A42-D815-4571-8877-DB621A116308}" mergeInterval="0" personalView="1" maximized="1" xWindow="1" yWindow="1" windowWidth="1916" windowHeight="869" tabRatio="693" activeSheetId="2"/>
    <customWorkbookView name="MP - Personal View" guid="{2383B994-5DA1-4BB7-BA01-728624653006}" mergeInterval="0" personalView="1" maximized="1" xWindow="1" yWindow="1" windowWidth="1916" windowHeight="749"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279" i="17" l="1"/>
  <c r="R1278" i="17"/>
  <c r="R1277" i="17"/>
  <c r="R1276" i="17"/>
  <c r="R1275" i="17"/>
  <c r="R1274" i="17"/>
  <c r="R1273" i="17"/>
  <c r="R1272" i="17"/>
  <c r="R1271" i="17"/>
  <c r="R1270" i="17"/>
  <c r="R1269" i="17"/>
  <c r="R1268" i="17"/>
  <c r="R1267" i="17"/>
  <c r="R1266" i="17"/>
  <c r="R1265" i="17"/>
  <c r="R1264" i="17"/>
  <c r="R1263" i="17"/>
  <c r="R1262" i="17"/>
  <c r="R1261" i="17"/>
  <c r="R1260" i="17"/>
  <c r="R1259" i="17"/>
  <c r="R1258" i="17"/>
  <c r="R1257" i="17"/>
  <c r="R1256" i="17"/>
  <c r="R1255" i="17"/>
  <c r="R1254" i="17"/>
  <c r="R1253" i="17"/>
  <c r="R1252" i="17"/>
  <c r="R1251" i="17"/>
  <c r="R1250" i="17"/>
  <c r="R1249" i="17"/>
  <c r="R1248" i="17"/>
  <c r="R1247" i="17"/>
  <c r="R1246" i="17"/>
  <c r="R1245" i="17"/>
  <c r="R1244" i="17"/>
  <c r="R1243" i="17"/>
  <c r="R1242" i="17"/>
  <c r="R1241" i="17"/>
  <c r="R1240" i="17"/>
  <c r="R1239" i="17"/>
  <c r="R1238" i="17"/>
  <c r="R1237" i="17"/>
  <c r="R1236" i="17"/>
  <c r="R1235" i="17"/>
  <c r="R1234" i="17"/>
  <c r="R1233" i="17"/>
  <c r="R1232" i="17"/>
  <c r="R1231" i="17"/>
  <c r="R1230" i="17"/>
  <c r="R1229" i="17"/>
  <c r="R1228" i="17"/>
  <c r="R1227" i="17"/>
  <c r="R1226" i="17"/>
  <c r="R1225" i="17"/>
  <c r="R1224" i="17"/>
  <c r="R1223" i="17"/>
  <c r="R1222" i="17"/>
  <c r="R1221" i="17"/>
  <c r="R1220" i="17"/>
  <c r="R1219" i="17"/>
  <c r="R1218" i="17"/>
  <c r="R1217" i="17"/>
  <c r="R1216" i="17"/>
  <c r="R1215" i="17"/>
  <c r="R1214" i="17"/>
  <c r="R1213" i="17"/>
  <c r="R1212" i="17"/>
  <c r="R1211" i="17"/>
  <c r="R1210" i="17"/>
  <c r="R1209" i="17"/>
  <c r="R1208" i="17"/>
  <c r="R1207" i="17"/>
  <c r="R1206" i="17"/>
  <c r="R1205" i="17"/>
  <c r="R1204" i="17"/>
  <c r="R1203" i="17"/>
  <c r="R1202" i="17"/>
  <c r="R1201" i="17"/>
  <c r="R1200" i="17"/>
  <c r="R1199" i="17"/>
  <c r="R1198" i="17"/>
  <c r="R1197" i="17"/>
  <c r="R1196" i="17"/>
  <c r="R1195" i="17"/>
  <c r="R1194" i="17"/>
  <c r="R1193" i="17"/>
  <c r="R1192" i="17"/>
  <c r="R1191" i="17"/>
  <c r="R1190" i="17"/>
  <c r="R1189" i="17"/>
  <c r="R1188" i="17"/>
  <c r="R1187" i="17"/>
  <c r="R1186" i="17"/>
  <c r="R1185" i="17"/>
  <c r="R1184" i="17"/>
  <c r="R1183" i="17"/>
  <c r="R1182" i="17"/>
  <c r="R1181" i="17"/>
  <c r="R1180" i="17"/>
  <c r="R1179" i="17"/>
  <c r="R1178" i="17"/>
  <c r="R1177" i="17"/>
  <c r="R1176" i="17"/>
  <c r="R1175" i="17"/>
  <c r="R1174" i="17"/>
  <c r="R1173" i="17"/>
  <c r="R1172" i="17"/>
  <c r="R1171" i="17"/>
  <c r="R1170" i="17"/>
  <c r="R1169" i="17"/>
  <c r="R1168" i="17"/>
  <c r="R1167" i="17"/>
  <c r="R1166" i="17"/>
  <c r="R1165" i="17"/>
  <c r="R1164" i="17"/>
  <c r="R1163" i="17"/>
  <c r="R1162" i="17"/>
  <c r="R1161" i="17"/>
  <c r="R1160" i="17"/>
  <c r="R1159" i="17"/>
  <c r="R1158" i="17"/>
  <c r="R1157" i="17"/>
  <c r="R1156" i="17"/>
  <c r="R1155" i="17"/>
  <c r="R1154" i="17"/>
  <c r="R1153" i="17"/>
  <c r="R1152" i="17"/>
  <c r="R1151" i="17"/>
  <c r="R1150" i="17"/>
  <c r="R1149" i="17"/>
  <c r="R1148" i="17"/>
  <c r="R1147" i="17"/>
  <c r="R1146" i="17"/>
  <c r="R1145" i="17"/>
  <c r="R1144" i="17"/>
  <c r="R1143" i="17"/>
  <c r="R1142" i="17"/>
  <c r="R1141" i="17"/>
  <c r="R1140" i="17"/>
  <c r="R1139" i="17"/>
  <c r="R1138" i="17"/>
  <c r="R1137" i="17"/>
  <c r="R1136" i="17"/>
  <c r="R1135" i="17"/>
  <c r="R1134" i="17"/>
  <c r="R1133" i="17"/>
  <c r="R1132" i="17"/>
  <c r="R1131" i="17"/>
  <c r="R1130" i="17"/>
  <c r="R1129" i="17"/>
  <c r="R1128" i="17"/>
  <c r="R1127" i="17"/>
  <c r="R1126" i="17"/>
  <c r="R1125" i="17"/>
  <c r="R1124" i="17"/>
  <c r="R1123" i="17"/>
  <c r="R1122" i="17"/>
  <c r="R1121" i="17"/>
  <c r="R1120" i="17"/>
  <c r="R1119" i="17"/>
  <c r="R1118" i="17"/>
  <c r="R1117" i="17"/>
  <c r="R1116" i="17"/>
  <c r="R1115" i="17"/>
  <c r="R1114" i="17"/>
  <c r="R1113" i="17"/>
  <c r="R1112" i="17"/>
  <c r="R1111" i="17"/>
  <c r="R1110" i="17"/>
  <c r="R1109" i="17"/>
  <c r="R1108" i="17"/>
  <c r="R1107" i="17"/>
  <c r="R1106" i="17"/>
  <c r="R1105" i="17"/>
  <c r="R1104" i="17"/>
  <c r="R1103" i="17"/>
  <c r="R1102" i="17"/>
  <c r="R1101" i="17"/>
  <c r="R1100" i="17"/>
  <c r="R1099" i="17"/>
  <c r="R1098" i="17"/>
  <c r="R1097" i="17"/>
  <c r="R1096" i="17"/>
  <c r="R1095" i="17"/>
  <c r="R1094" i="17"/>
  <c r="R1093" i="17"/>
  <c r="R1092" i="17"/>
  <c r="R1091" i="17"/>
  <c r="R1090" i="17"/>
  <c r="R1089" i="17"/>
  <c r="R1088" i="17"/>
  <c r="R1087" i="17"/>
  <c r="R1086" i="17"/>
  <c r="R1085" i="17"/>
  <c r="R1084" i="17"/>
  <c r="R1083" i="17"/>
  <c r="R1082" i="17"/>
  <c r="R1081" i="17"/>
  <c r="R1080" i="17"/>
  <c r="R1079" i="17"/>
  <c r="R1078" i="17"/>
  <c r="R1077" i="17"/>
  <c r="R1076" i="17"/>
  <c r="R1075" i="17"/>
  <c r="R1074" i="17"/>
  <c r="R1073" i="17"/>
  <c r="R1072" i="17"/>
  <c r="R1071" i="17"/>
  <c r="R1070" i="17"/>
  <c r="R1069" i="17"/>
  <c r="R1068" i="17"/>
  <c r="R1067" i="17"/>
  <c r="R1066" i="17"/>
  <c r="R1065" i="17"/>
  <c r="R1064" i="17"/>
  <c r="R1063" i="17"/>
  <c r="R1062" i="17"/>
  <c r="R1061" i="17"/>
  <c r="R1060" i="17"/>
  <c r="R1059" i="17"/>
  <c r="R1058" i="17"/>
  <c r="R1057" i="17"/>
  <c r="R1056" i="17"/>
  <c r="R1055" i="17"/>
  <c r="R1054" i="17"/>
  <c r="R1053" i="17"/>
  <c r="R1052" i="17"/>
  <c r="R1051" i="17"/>
  <c r="R1050" i="17"/>
  <c r="R1049" i="17"/>
  <c r="R1048" i="17"/>
  <c r="R1047" i="17"/>
  <c r="R1046" i="17"/>
  <c r="R1045" i="17"/>
  <c r="R1044" i="17"/>
  <c r="R1043" i="17"/>
  <c r="R1042" i="17"/>
  <c r="R1041" i="17"/>
  <c r="R1040" i="17"/>
  <c r="R1039" i="17"/>
  <c r="R1038" i="17"/>
  <c r="R1037" i="17"/>
  <c r="R1036" i="17"/>
  <c r="R1035" i="17"/>
  <c r="R1034" i="17"/>
  <c r="R1033" i="17"/>
  <c r="R1032" i="17"/>
  <c r="R1031" i="17"/>
  <c r="R1030" i="17"/>
  <c r="R1029" i="17"/>
  <c r="R1028" i="17"/>
  <c r="R1027" i="17"/>
  <c r="R1026" i="17"/>
  <c r="R1025" i="17"/>
  <c r="R1024" i="17"/>
  <c r="R1023" i="17"/>
  <c r="R1022" i="17"/>
  <c r="R1021" i="17"/>
  <c r="R1020" i="17"/>
  <c r="R1019" i="17"/>
  <c r="R1018" i="17"/>
  <c r="R1017" i="17"/>
  <c r="R1016" i="17"/>
  <c r="R1015" i="17"/>
  <c r="R1014" i="17"/>
  <c r="R1013" i="17"/>
  <c r="R1012" i="17"/>
  <c r="R1011" i="17"/>
  <c r="R1010" i="17"/>
  <c r="R1009" i="17"/>
  <c r="R1008" i="17"/>
  <c r="R1007" i="17"/>
  <c r="R1006" i="17"/>
  <c r="R1005" i="17"/>
  <c r="R1004" i="17"/>
  <c r="R1003" i="17"/>
  <c r="R1002" i="17"/>
  <c r="R1001" i="17"/>
  <c r="R1000" i="17"/>
  <c r="R999" i="17"/>
  <c r="R998" i="17"/>
  <c r="R997" i="17"/>
  <c r="R996" i="17"/>
  <c r="R995" i="17"/>
  <c r="R994" i="17"/>
  <c r="R993" i="17"/>
  <c r="R992" i="17"/>
  <c r="R991" i="17"/>
  <c r="R990" i="17"/>
  <c r="R989" i="17"/>
  <c r="R988" i="17"/>
  <c r="R987" i="17"/>
  <c r="R986" i="17"/>
  <c r="R985" i="17"/>
  <c r="R984" i="17"/>
  <c r="R983" i="17"/>
  <c r="R982" i="17"/>
  <c r="R981" i="17"/>
  <c r="R980" i="17"/>
  <c r="R979" i="17"/>
  <c r="R978" i="17"/>
  <c r="R977" i="17"/>
  <c r="R976" i="17"/>
  <c r="R975" i="17"/>
  <c r="R974" i="17"/>
  <c r="R973" i="17"/>
  <c r="R972" i="17"/>
  <c r="R971" i="17"/>
  <c r="R970" i="17"/>
  <c r="R969" i="17"/>
  <c r="R968" i="17"/>
  <c r="R967" i="17"/>
  <c r="R966" i="17"/>
  <c r="R965" i="17"/>
  <c r="R964" i="17"/>
  <c r="R963" i="17"/>
  <c r="R962" i="17"/>
  <c r="R961" i="17"/>
  <c r="R960" i="17"/>
  <c r="R959" i="17"/>
  <c r="R958" i="17"/>
  <c r="R957" i="17"/>
  <c r="R956" i="17"/>
  <c r="R955" i="17"/>
  <c r="R954" i="17"/>
  <c r="R953" i="17"/>
  <c r="R952" i="17"/>
  <c r="R951" i="17"/>
  <c r="R950" i="17"/>
  <c r="R949" i="17"/>
  <c r="R948" i="17"/>
  <c r="R947" i="17"/>
  <c r="R946" i="17"/>
  <c r="R945" i="17"/>
  <c r="R944" i="17"/>
  <c r="R943" i="17"/>
  <c r="R942" i="17"/>
  <c r="R941" i="17"/>
  <c r="R940" i="17"/>
  <c r="R939" i="17"/>
  <c r="R938" i="17"/>
  <c r="R937" i="17"/>
  <c r="R936" i="17"/>
  <c r="R935" i="17"/>
  <c r="R934" i="17"/>
  <c r="R933" i="17"/>
  <c r="R932" i="17"/>
  <c r="R931" i="17"/>
  <c r="R930" i="17"/>
  <c r="R929" i="17"/>
  <c r="R928" i="17"/>
  <c r="R927" i="17"/>
  <c r="R926" i="17"/>
  <c r="R925" i="17"/>
  <c r="R924" i="17"/>
  <c r="R923" i="17"/>
  <c r="R922" i="17"/>
  <c r="R921" i="17"/>
  <c r="R920" i="17"/>
  <c r="R919" i="17"/>
  <c r="R918" i="17"/>
  <c r="R917" i="17"/>
  <c r="R916" i="17"/>
  <c r="R915" i="17"/>
  <c r="R914" i="17"/>
  <c r="R913" i="17"/>
  <c r="R912" i="17"/>
  <c r="R911" i="17"/>
  <c r="R910" i="17"/>
  <c r="R909" i="17"/>
  <c r="R908" i="17"/>
  <c r="R907" i="17"/>
  <c r="R906" i="17"/>
  <c r="R905" i="17"/>
  <c r="R904" i="17"/>
  <c r="R903" i="17"/>
  <c r="R902" i="17"/>
  <c r="R901" i="17"/>
  <c r="R900" i="17"/>
  <c r="R899" i="17"/>
  <c r="R898" i="17"/>
  <c r="R897" i="17"/>
  <c r="R896" i="17"/>
  <c r="R895" i="17"/>
  <c r="R894" i="17"/>
  <c r="R893" i="17"/>
  <c r="R892" i="17"/>
  <c r="R891" i="17"/>
  <c r="R890" i="17"/>
  <c r="R889" i="17"/>
  <c r="R888" i="17"/>
  <c r="R887" i="17"/>
  <c r="R886" i="17"/>
  <c r="R885" i="17"/>
  <c r="R884" i="17"/>
  <c r="R883" i="17"/>
  <c r="R882" i="17"/>
  <c r="R881" i="17"/>
  <c r="R880" i="17"/>
  <c r="R879" i="17"/>
  <c r="R878" i="17"/>
  <c r="R877" i="17"/>
  <c r="R876" i="17"/>
  <c r="R875" i="17"/>
  <c r="R874" i="17"/>
  <c r="R873" i="17"/>
  <c r="R872" i="17"/>
  <c r="R871" i="17"/>
  <c r="R870" i="17"/>
  <c r="R869" i="17"/>
  <c r="R868" i="17"/>
  <c r="R867" i="17"/>
  <c r="R866" i="17"/>
  <c r="R865" i="17"/>
  <c r="R864" i="17"/>
  <c r="R863" i="17"/>
  <c r="R862" i="17"/>
  <c r="R861" i="17"/>
  <c r="R860" i="17"/>
  <c r="R859" i="17"/>
  <c r="R858" i="17"/>
  <c r="R857" i="17"/>
  <c r="R856" i="17"/>
  <c r="R855" i="17"/>
  <c r="R854" i="17"/>
  <c r="R853" i="17"/>
  <c r="R852" i="17"/>
  <c r="R851" i="17"/>
  <c r="R850" i="17"/>
  <c r="R849" i="17"/>
  <c r="R848" i="17"/>
  <c r="R847" i="17"/>
  <c r="R846" i="17"/>
  <c r="R845" i="17"/>
  <c r="R844" i="17"/>
  <c r="R843" i="17"/>
  <c r="R842" i="17"/>
  <c r="R841" i="17"/>
  <c r="R840" i="17"/>
  <c r="R839" i="17"/>
  <c r="R838" i="17"/>
  <c r="R837" i="17"/>
  <c r="R836" i="17"/>
  <c r="R835" i="17"/>
  <c r="R834" i="17"/>
  <c r="R833" i="17"/>
  <c r="R832" i="17"/>
  <c r="R831" i="17"/>
  <c r="R830" i="17"/>
  <c r="R829" i="17"/>
  <c r="R828" i="17"/>
  <c r="R827" i="17"/>
  <c r="R826" i="17"/>
  <c r="R825" i="17"/>
  <c r="R824" i="17"/>
  <c r="R823" i="17"/>
  <c r="R822" i="17"/>
  <c r="R821" i="17"/>
  <c r="R820" i="17"/>
  <c r="R819" i="17"/>
  <c r="R818" i="17"/>
  <c r="R817" i="17"/>
  <c r="R816" i="17"/>
  <c r="R815" i="17"/>
  <c r="R814" i="17"/>
  <c r="R813" i="17"/>
  <c r="R812" i="17"/>
  <c r="R811" i="17"/>
  <c r="R810" i="17"/>
  <c r="R809" i="17"/>
  <c r="R808" i="17"/>
  <c r="R807" i="17"/>
  <c r="R806" i="17"/>
  <c r="R805" i="17"/>
  <c r="R804" i="17"/>
  <c r="R803" i="17"/>
  <c r="R802" i="17"/>
  <c r="R801" i="17"/>
  <c r="R800" i="17"/>
  <c r="R799" i="17"/>
  <c r="R798" i="17"/>
  <c r="R797" i="17"/>
  <c r="R796" i="17"/>
  <c r="R795" i="17"/>
  <c r="R794" i="17"/>
  <c r="R793" i="17"/>
  <c r="R792" i="17"/>
  <c r="R791" i="17"/>
  <c r="R790" i="17"/>
  <c r="R789" i="17"/>
  <c r="R788" i="17"/>
  <c r="R787" i="17"/>
  <c r="R786" i="17"/>
  <c r="R785" i="17"/>
  <c r="R784" i="17"/>
  <c r="R783" i="17"/>
  <c r="R782" i="17"/>
  <c r="R781" i="17"/>
  <c r="R780" i="17"/>
  <c r="R779" i="17"/>
  <c r="R778" i="17"/>
  <c r="R777" i="17"/>
  <c r="R776" i="17"/>
  <c r="R775" i="17"/>
  <c r="R774" i="17"/>
  <c r="R773" i="17"/>
  <c r="R772" i="17"/>
  <c r="R771" i="17"/>
  <c r="R770" i="17"/>
  <c r="R769" i="17"/>
  <c r="R768" i="17"/>
  <c r="R767" i="17"/>
  <c r="R766" i="17"/>
  <c r="R765" i="17"/>
  <c r="R764" i="17"/>
  <c r="R763" i="17"/>
  <c r="R762" i="17"/>
  <c r="R761" i="17"/>
  <c r="R760" i="17"/>
  <c r="R759" i="17"/>
  <c r="R758" i="17"/>
  <c r="R757" i="17"/>
  <c r="R756" i="17"/>
  <c r="R755" i="17"/>
  <c r="R754" i="17"/>
  <c r="R753" i="17"/>
  <c r="R752" i="17"/>
  <c r="R751" i="17"/>
  <c r="R750" i="17"/>
  <c r="R749" i="17"/>
  <c r="R748" i="17"/>
  <c r="R747" i="17"/>
  <c r="R746" i="17"/>
  <c r="R745" i="17"/>
  <c r="R744" i="17"/>
  <c r="R743" i="17"/>
  <c r="R742" i="17"/>
  <c r="R741" i="17"/>
  <c r="R740" i="17"/>
  <c r="R739" i="17"/>
  <c r="R738" i="17"/>
  <c r="R737" i="17"/>
  <c r="R736" i="17"/>
  <c r="R735" i="17"/>
  <c r="R734" i="17"/>
  <c r="R733" i="17"/>
  <c r="R732" i="17"/>
  <c r="R731" i="17"/>
  <c r="R730" i="17"/>
  <c r="R729" i="17"/>
  <c r="R728" i="17"/>
  <c r="R727" i="17"/>
  <c r="R726" i="17"/>
  <c r="R725" i="17"/>
  <c r="R724" i="17"/>
  <c r="R723" i="17"/>
  <c r="R722" i="17"/>
  <c r="R721" i="17"/>
  <c r="R720" i="17"/>
  <c r="R719" i="17"/>
  <c r="R718" i="17"/>
  <c r="R717" i="17"/>
  <c r="R716" i="17"/>
  <c r="R715" i="17"/>
  <c r="R714" i="17"/>
  <c r="R713" i="17"/>
  <c r="R712" i="17"/>
  <c r="R711" i="17"/>
  <c r="R710" i="17"/>
  <c r="R709" i="17"/>
  <c r="R708" i="17"/>
  <c r="R707" i="17"/>
  <c r="R706" i="17"/>
  <c r="R705" i="17"/>
  <c r="R704" i="17"/>
  <c r="R703" i="17"/>
  <c r="R702" i="17"/>
  <c r="R701" i="17"/>
  <c r="R700" i="17"/>
  <c r="R699" i="17"/>
  <c r="R698" i="17"/>
  <c r="R697" i="17"/>
  <c r="R696" i="17"/>
  <c r="R695" i="17"/>
  <c r="R694" i="17"/>
  <c r="R693" i="17"/>
  <c r="R692" i="17"/>
  <c r="R691" i="17"/>
  <c r="R690" i="17"/>
  <c r="R689" i="17"/>
  <c r="R688" i="17"/>
  <c r="R687" i="17"/>
  <c r="R686" i="17"/>
  <c r="R685" i="17"/>
  <c r="R684" i="17"/>
  <c r="R683" i="17"/>
  <c r="R682" i="17"/>
  <c r="R681" i="17"/>
  <c r="R680" i="17"/>
  <c r="R679" i="17"/>
  <c r="R678" i="17"/>
  <c r="R677" i="17"/>
  <c r="R676" i="17"/>
  <c r="R675" i="17"/>
  <c r="R674" i="17"/>
  <c r="R673" i="17"/>
  <c r="R672" i="17"/>
  <c r="R671" i="17"/>
  <c r="R670" i="17"/>
  <c r="R669" i="17"/>
  <c r="R668" i="17"/>
  <c r="R667" i="17"/>
  <c r="R666" i="17"/>
  <c r="R665" i="17"/>
  <c r="R664" i="17"/>
  <c r="R663" i="17"/>
  <c r="R662" i="17"/>
  <c r="R661" i="17"/>
  <c r="R660" i="17"/>
  <c r="R659" i="17"/>
  <c r="R658" i="17"/>
  <c r="R657" i="17"/>
  <c r="R656" i="17"/>
  <c r="R655" i="17"/>
  <c r="R654" i="17"/>
  <c r="R653" i="17"/>
  <c r="R652" i="17"/>
  <c r="R651" i="17"/>
  <c r="R650" i="17"/>
  <c r="R649" i="17"/>
  <c r="R648" i="17"/>
  <c r="R647" i="17"/>
  <c r="R646" i="17"/>
  <c r="R645" i="17"/>
  <c r="R644" i="17"/>
  <c r="R643" i="17"/>
  <c r="R642" i="17"/>
  <c r="R641" i="17"/>
  <c r="R640" i="17"/>
  <c r="R639" i="17"/>
  <c r="R638" i="17"/>
  <c r="R637" i="17"/>
  <c r="R636" i="17"/>
  <c r="R635" i="17"/>
  <c r="R634" i="17"/>
  <c r="R633" i="17"/>
  <c r="R632" i="17"/>
  <c r="R631" i="17"/>
  <c r="R630" i="17"/>
  <c r="R629" i="17"/>
  <c r="R628" i="17"/>
  <c r="R627" i="17"/>
  <c r="R626" i="17"/>
  <c r="R625" i="17"/>
  <c r="R624" i="17"/>
  <c r="R623" i="17"/>
  <c r="R622" i="17"/>
  <c r="R621" i="17"/>
  <c r="R620" i="17"/>
  <c r="R619" i="17"/>
  <c r="R618" i="17"/>
  <c r="R617" i="17"/>
  <c r="R616" i="17"/>
  <c r="R615" i="17"/>
  <c r="R614" i="17"/>
  <c r="R613" i="17"/>
  <c r="R612" i="17"/>
  <c r="R611" i="17"/>
  <c r="R610" i="17"/>
  <c r="R609" i="17"/>
  <c r="R608" i="17"/>
  <c r="R607" i="17"/>
  <c r="R606" i="17"/>
  <c r="R605" i="17"/>
  <c r="R604" i="17"/>
  <c r="R603" i="17"/>
  <c r="R602" i="17"/>
  <c r="R601" i="17"/>
  <c r="R600" i="17"/>
  <c r="R599" i="17"/>
  <c r="R598" i="17"/>
  <c r="R597" i="17"/>
  <c r="R596" i="17"/>
  <c r="R595" i="17"/>
  <c r="R594" i="17"/>
  <c r="R593" i="17"/>
  <c r="R592" i="17"/>
  <c r="R591" i="17"/>
  <c r="R590" i="17"/>
  <c r="R589" i="17"/>
  <c r="R588" i="17"/>
  <c r="R587" i="17"/>
  <c r="R586" i="17"/>
  <c r="R585" i="17"/>
  <c r="R584" i="17"/>
  <c r="R583" i="17"/>
  <c r="R582" i="17"/>
  <c r="R581" i="17"/>
  <c r="R580" i="17"/>
  <c r="R579" i="17"/>
  <c r="R578" i="17"/>
  <c r="R577" i="17"/>
  <c r="R576" i="17"/>
  <c r="R575" i="17"/>
  <c r="R574" i="17"/>
  <c r="R573" i="17"/>
  <c r="R572" i="17"/>
  <c r="R571" i="17"/>
  <c r="R570" i="17"/>
  <c r="R569" i="17"/>
  <c r="R568" i="17"/>
  <c r="R567" i="17"/>
  <c r="R566" i="17"/>
  <c r="R565" i="17"/>
  <c r="R564" i="17"/>
  <c r="R563" i="17"/>
  <c r="R562" i="17"/>
  <c r="R561" i="17"/>
  <c r="R560" i="17"/>
  <c r="R559" i="17"/>
  <c r="R558" i="17"/>
  <c r="R557" i="17"/>
  <c r="R556" i="17"/>
  <c r="R555" i="17"/>
  <c r="R554" i="17"/>
  <c r="R553" i="17"/>
  <c r="R552" i="17"/>
  <c r="R551" i="17"/>
  <c r="R550" i="17"/>
  <c r="R549" i="17"/>
  <c r="R548" i="17"/>
  <c r="R547" i="17"/>
  <c r="R546" i="17"/>
  <c r="R545" i="17"/>
  <c r="R544" i="17"/>
  <c r="R543" i="17"/>
  <c r="R542" i="17"/>
  <c r="R541" i="17"/>
  <c r="R540" i="17"/>
  <c r="R539" i="17"/>
  <c r="R538" i="17"/>
  <c r="R537" i="17"/>
  <c r="R536" i="17"/>
  <c r="R535" i="17"/>
  <c r="R534" i="17"/>
  <c r="R533" i="17"/>
  <c r="R532" i="17"/>
  <c r="R531" i="17"/>
  <c r="R530" i="17"/>
  <c r="R529" i="17"/>
  <c r="R528" i="17"/>
  <c r="R527" i="17"/>
  <c r="R526" i="17"/>
  <c r="R525" i="17"/>
  <c r="R524" i="17"/>
  <c r="R523" i="17"/>
  <c r="R522" i="17"/>
  <c r="R521" i="17"/>
  <c r="R520" i="17"/>
  <c r="R519" i="17"/>
  <c r="R518" i="17"/>
  <c r="R517" i="17"/>
  <c r="R516" i="17"/>
  <c r="R515" i="17"/>
  <c r="R514" i="17"/>
  <c r="R513" i="17"/>
  <c r="R512" i="17"/>
  <c r="R511" i="17"/>
  <c r="R510" i="17"/>
  <c r="R509" i="17"/>
  <c r="R508" i="17"/>
  <c r="R507" i="17"/>
  <c r="R506" i="17"/>
  <c r="R505" i="17"/>
  <c r="R504" i="17"/>
  <c r="R503" i="17"/>
  <c r="R502" i="17"/>
  <c r="R501" i="17"/>
  <c r="R500" i="17"/>
  <c r="R499" i="17"/>
  <c r="R498" i="17"/>
  <c r="R497" i="17"/>
  <c r="R496" i="17"/>
  <c r="R495" i="17"/>
  <c r="R494" i="17"/>
  <c r="R493" i="17"/>
  <c r="R492" i="17"/>
  <c r="R491" i="17"/>
  <c r="R490" i="17"/>
  <c r="R489" i="17"/>
  <c r="R488" i="17"/>
  <c r="R487" i="17"/>
  <c r="R486" i="17"/>
  <c r="R485" i="17"/>
  <c r="R484" i="17"/>
  <c r="R483" i="17"/>
  <c r="R482" i="17"/>
  <c r="R481" i="17"/>
  <c r="R480" i="17"/>
  <c r="R479" i="17"/>
  <c r="R477" i="17"/>
  <c r="R476" i="17"/>
  <c r="R475" i="17"/>
  <c r="R474" i="17"/>
  <c r="R472" i="17"/>
  <c r="R470" i="17"/>
  <c r="R469" i="17"/>
  <c r="R468" i="17"/>
  <c r="R467" i="17"/>
  <c r="R466" i="17"/>
  <c r="R465" i="17"/>
  <c r="R464" i="17"/>
  <c r="R463" i="17"/>
  <c r="R462" i="17"/>
  <c r="R461" i="17"/>
  <c r="R460" i="17"/>
  <c r="R459" i="17"/>
  <c r="R458" i="17"/>
  <c r="R457" i="17"/>
  <c r="R456" i="17"/>
  <c r="R455" i="17"/>
  <c r="R454" i="17"/>
  <c r="R453" i="17"/>
  <c r="R452" i="17"/>
  <c r="R451" i="17"/>
  <c r="R450" i="17"/>
  <c r="R449" i="17"/>
  <c r="R448" i="17"/>
  <c r="R447" i="17"/>
  <c r="R446" i="17"/>
  <c r="R445" i="17"/>
  <c r="R444" i="17"/>
  <c r="R443" i="17"/>
  <c r="R442" i="17"/>
  <c r="R441" i="17"/>
  <c r="R439" i="17"/>
  <c r="R438" i="17"/>
  <c r="R437" i="17"/>
  <c r="R436" i="17"/>
  <c r="R435" i="17"/>
  <c r="R434" i="17"/>
  <c r="R433" i="17"/>
  <c r="R432" i="17"/>
  <c r="R431" i="17"/>
  <c r="R430" i="17"/>
  <c r="R429" i="17"/>
  <c r="R428" i="17"/>
  <c r="R427" i="17"/>
  <c r="R426" i="17"/>
  <c r="R425" i="17"/>
  <c r="R424" i="17"/>
  <c r="R423" i="17"/>
  <c r="R422" i="17"/>
  <c r="R421" i="17"/>
  <c r="R420" i="17"/>
  <c r="R419" i="17"/>
  <c r="R418" i="17"/>
  <c r="R417" i="17"/>
  <c r="R416" i="17"/>
  <c r="R415" i="17"/>
  <c r="R414" i="17"/>
  <c r="R413" i="17"/>
  <c r="R412" i="17"/>
  <c r="R411" i="17"/>
  <c r="R410" i="17"/>
  <c r="R409" i="17"/>
  <c r="R408" i="17"/>
  <c r="R407" i="17"/>
  <c r="R406" i="17"/>
  <c r="R405" i="17"/>
  <c r="R404" i="17"/>
  <c r="R403" i="17"/>
  <c r="R402" i="17"/>
  <c r="R401" i="17"/>
  <c r="R400" i="17"/>
  <c r="R399" i="17"/>
  <c r="R398" i="17"/>
  <c r="R397" i="17"/>
  <c r="R396" i="17"/>
  <c r="R395" i="17"/>
  <c r="R394" i="17"/>
  <c r="R393" i="17"/>
  <c r="R392" i="17"/>
  <c r="R391" i="17"/>
  <c r="R390" i="17"/>
  <c r="R389" i="17"/>
  <c r="R388" i="17"/>
  <c r="R387" i="17"/>
  <c r="R386" i="17"/>
  <c r="R385" i="17"/>
  <c r="R384" i="17"/>
  <c r="R383" i="17"/>
  <c r="R382" i="17"/>
  <c r="R381" i="17"/>
  <c r="R380" i="17"/>
  <c r="R379" i="17"/>
  <c r="R378" i="17"/>
  <c r="R377" i="17"/>
  <c r="R375" i="17"/>
  <c r="R374" i="17"/>
  <c r="R373" i="17"/>
  <c r="R372" i="17"/>
  <c r="R371" i="17"/>
  <c r="R370" i="17"/>
  <c r="R369" i="17"/>
  <c r="R368" i="17"/>
  <c r="R367" i="17"/>
  <c r="R366" i="17"/>
  <c r="R365" i="17"/>
  <c r="R364" i="17"/>
  <c r="R363" i="17"/>
  <c r="R362" i="17"/>
  <c r="R361" i="17"/>
  <c r="R360" i="17"/>
  <c r="R359" i="17"/>
  <c r="R358" i="17"/>
  <c r="R357" i="17"/>
  <c r="R356" i="17"/>
  <c r="R355" i="17"/>
  <c r="R354" i="17"/>
  <c r="R353" i="17"/>
  <c r="R352" i="17"/>
  <c r="R351" i="17"/>
  <c r="R350" i="17"/>
  <c r="R349" i="17"/>
  <c r="R348" i="17"/>
  <c r="R347" i="17"/>
  <c r="R346" i="17"/>
  <c r="R345" i="17"/>
  <c r="R344" i="17"/>
  <c r="R343" i="17"/>
  <c r="R342" i="17"/>
  <c r="R341" i="17"/>
  <c r="R340" i="17"/>
  <c r="R339" i="17"/>
  <c r="R338" i="17"/>
  <c r="R337" i="17"/>
  <c r="R336" i="17"/>
  <c r="R335" i="17"/>
  <c r="R334" i="17"/>
  <c r="R333" i="17"/>
  <c r="R332" i="17"/>
  <c r="R331" i="17"/>
  <c r="R330" i="17"/>
  <c r="R329" i="17"/>
  <c r="R328" i="17"/>
  <c r="R327" i="17"/>
  <c r="R326" i="17"/>
  <c r="R325" i="17"/>
  <c r="R324" i="17"/>
  <c r="R323" i="17"/>
  <c r="R322" i="17"/>
  <c r="R321" i="17"/>
  <c r="R320" i="17"/>
  <c r="R319" i="17"/>
  <c r="R318" i="17"/>
  <c r="R317" i="17"/>
  <c r="R316" i="17"/>
  <c r="R315" i="17"/>
  <c r="R314" i="17"/>
  <c r="R313" i="17"/>
  <c r="R312" i="17"/>
  <c r="R311" i="17"/>
  <c r="R310" i="17"/>
  <c r="R309" i="17"/>
  <c r="R308" i="17"/>
  <c r="R307" i="17"/>
  <c r="R306" i="17"/>
  <c r="R305" i="17"/>
  <c r="R304" i="17"/>
  <c r="R303" i="17"/>
  <c r="R302" i="17"/>
  <c r="R301" i="17"/>
  <c r="R300" i="17"/>
  <c r="R299" i="17"/>
  <c r="R298" i="17"/>
  <c r="R297" i="17"/>
  <c r="R296" i="17"/>
  <c r="R295" i="17"/>
  <c r="R294" i="17"/>
  <c r="R293" i="17"/>
  <c r="R292" i="17"/>
  <c r="R291" i="17"/>
  <c r="R290" i="17"/>
  <c r="R289" i="17"/>
  <c r="R288" i="17"/>
  <c r="R287" i="17"/>
  <c r="R286" i="17"/>
  <c r="R285" i="17"/>
  <c r="R284" i="17"/>
  <c r="R283" i="17"/>
  <c r="R282" i="17"/>
  <c r="R281" i="17"/>
  <c r="R280" i="17"/>
  <c r="R279" i="17"/>
  <c r="R278" i="17"/>
  <c r="R277" i="17"/>
  <c r="R276" i="17"/>
  <c r="R275" i="17"/>
  <c r="R274" i="17"/>
  <c r="R273" i="17"/>
  <c r="R272" i="17"/>
  <c r="R271" i="17"/>
  <c r="R270" i="17"/>
  <c r="R269" i="17"/>
  <c r="R268" i="17"/>
  <c r="R267" i="17"/>
  <c r="R266" i="17"/>
  <c r="R265" i="17"/>
  <c r="R264" i="17"/>
  <c r="R263" i="17"/>
  <c r="R262" i="17"/>
  <c r="R261" i="17"/>
  <c r="R260" i="17"/>
  <c r="R259" i="17"/>
  <c r="R258" i="17"/>
  <c r="R257" i="17"/>
  <c r="R256" i="17"/>
  <c r="R255" i="17"/>
  <c r="R254" i="17"/>
  <c r="R253" i="17"/>
  <c r="R252" i="17"/>
  <c r="R251" i="17"/>
  <c r="R250" i="17"/>
  <c r="R249" i="17"/>
  <c r="R248" i="17"/>
  <c r="R247" i="17"/>
  <c r="R246" i="17"/>
  <c r="R245" i="17"/>
  <c r="R244" i="17"/>
  <c r="R243" i="17"/>
  <c r="R242" i="17"/>
  <c r="R241" i="17"/>
  <c r="R240" i="17"/>
  <c r="R239" i="17"/>
  <c r="R238" i="17"/>
  <c r="R237" i="17"/>
  <c r="R236" i="17"/>
  <c r="R235" i="17"/>
  <c r="R234" i="17"/>
  <c r="R233" i="17"/>
  <c r="R232" i="17"/>
  <c r="R231" i="17"/>
  <c r="R230" i="17"/>
  <c r="R227" i="17"/>
  <c r="R226" i="17"/>
  <c r="R225" i="17"/>
  <c r="R224" i="17"/>
  <c r="R223" i="17"/>
  <c r="R222" i="17"/>
  <c r="R221" i="17"/>
  <c r="R220" i="17"/>
  <c r="R219" i="17"/>
  <c r="R218" i="17"/>
  <c r="R217" i="17"/>
  <c r="R216" i="17"/>
  <c r="R215" i="17"/>
  <c r="R214" i="17"/>
  <c r="R213" i="17"/>
  <c r="R212" i="17"/>
  <c r="R211" i="17"/>
  <c r="R210" i="17"/>
  <c r="R209" i="17"/>
  <c r="R208" i="17"/>
  <c r="R207" i="17"/>
  <c r="R206" i="17"/>
  <c r="R205" i="17"/>
  <c r="R204" i="17"/>
  <c r="R203" i="17"/>
  <c r="R202" i="17"/>
  <c r="R201" i="17"/>
  <c r="R200" i="17"/>
  <c r="R199" i="17"/>
  <c r="R198" i="17"/>
  <c r="R197" i="17"/>
  <c r="R196" i="17"/>
  <c r="R195" i="17"/>
  <c r="R194" i="17"/>
  <c r="R193" i="17"/>
  <c r="R192" i="17"/>
  <c r="R191" i="17"/>
  <c r="R190" i="17"/>
  <c r="R189" i="17"/>
  <c r="R188" i="17"/>
  <c r="R187" i="17"/>
  <c r="R186" i="17"/>
  <c r="R185" i="17"/>
  <c r="R184" i="17"/>
  <c r="R183" i="17"/>
  <c r="R181" i="17"/>
  <c r="R180" i="17"/>
  <c r="R179" i="17"/>
  <c r="R178" i="17"/>
  <c r="R177" i="17"/>
  <c r="R176" i="17"/>
  <c r="R175" i="17"/>
  <c r="R174" i="17"/>
  <c r="R173" i="17"/>
  <c r="R172" i="17"/>
  <c r="R171" i="17"/>
  <c r="R170" i="17"/>
  <c r="R169" i="17"/>
  <c r="R168" i="17"/>
  <c r="R167" i="17"/>
  <c r="R166" i="17"/>
  <c r="R165" i="17"/>
  <c r="R164" i="17"/>
  <c r="R163" i="17"/>
  <c r="R162" i="17"/>
  <c r="R161" i="17"/>
  <c r="R160" i="17"/>
  <c r="R159" i="17"/>
  <c r="R158" i="17"/>
  <c r="R157" i="17"/>
  <c r="R156" i="17"/>
  <c r="R155" i="17"/>
  <c r="R154" i="17"/>
  <c r="R153" i="17"/>
  <c r="R152" i="17"/>
  <c r="R151" i="17"/>
  <c r="R150" i="17"/>
  <c r="R149" i="17"/>
  <c r="R148" i="17"/>
  <c r="R147" i="17"/>
  <c r="R146" i="17"/>
  <c r="R145" i="17"/>
  <c r="R144" i="17"/>
  <c r="R143" i="17"/>
  <c r="R142" i="17"/>
  <c r="R141" i="17"/>
  <c r="R140" i="17"/>
  <c r="R139" i="17"/>
  <c r="R138" i="17"/>
  <c r="R137" i="17"/>
  <c r="R136" i="17"/>
  <c r="R135" i="17"/>
  <c r="R134" i="17"/>
  <c r="R133" i="17"/>
  <c r="R132" i="17"/>
  <c r="R131" i="17"/>
  <c r="R130" i="17"/>
  <c r="R129" i="17"/>
  <c r="R128" i="17"/>
  <c r="R127" i="17"/>
  <c r="R126" i="17"/>
  <c r="R125" i="17"/>
  <c r="R124" i="17"/>
  <c r="R123" i="17"/>
  <c r="R122" i="17"/>
  <c r="R121" i="17"/>
  <c r="R120" i="17"/>
  <c r="R119" i="17"/>
  <c r="R118" i="17"/>
  <c r="R117" i="17"/>
  <c r="R116" i="17"/>
  <c r="R115" i="17"/>
  <c r="R114" i="17"/>
  <c r="R113" i="17"/>
  <c r="R112" i="17"/>
  <c r="R111" i="17"/>
  <c r="R110" i="17"/>
  <c r="R109" i="17"/>
  <c r="R108" i="17"/>
  <c r="R107" i="17"/>
  <c r="R106" i="17"/>
  <c r="R105" i="17"/>
  <c r="R104" i="17"/>
  <c r="R103" i="17"/>
  <c r="R102" i="17"/>
  <c r="R101" i="17"/>
  <c r="R100" i="17"/>
  <c r="R99" i="17"/>
  <c r="R98" i="17"/>
  <c r="R97" i="17"/>
  <c r="R96" i="17"/>
  <c r="R95" i="17"/>
  <c r="R94" i="17"/>
  <c r="R93" i="17"/>
  <c r="R92" i="17"/>
  <c r="R91" i="17"/>
  <c r="R90" i="17"/>
  <c r="R89" i="17"/>
  <c r="R88" i="17"/>
  <c r="R87" i="17"/>
  <c r="R86" i="17"/>
  <c r="R85" i="17"/>
  <c r="R84" i="17"/>
  <c r="R83" i="17"/>
  <c r="R82" i="17"/>
  <c r="R81" i="17"/>
  <c r="R80" i="17"/>
  <c r="R79" i="17"/>
  <c r="R78" i="17"/>
  <c r="R77" i="17"/>
  <c r="R76" i="17"/>
  <c r="R75" i="17"/>
  <c r="R74" i="17"/>
  <c r="R73" i="17"/>
  <c r="R72" i="17"/>
  <c r="R71" i="17"/>
  <c r="R70" i="17"/>
  <c r="R69" i="17"/>
  <c r="R68" i="17"/>
  <c r="R67" i="17"/>
  <c r="R66" i="17"/>
  <c r="R65" i="17"/>
  <c r="R64" i="17"/>
  <c r="R63" i="17"/>
  <c r="R62" i="17"/>
  <c r="R61" i="17"/>
  <c r="R60" i="17"/>
  <c r="R59" i="17"/>
  <c r="R58" i="17"/>
  <c r="R57" i="17"/>
  <c r="R56" i="17"/>
  <c r="R55" i="17"/>
  <c r="R54" i="17"/>
  <c r="R53" i="17"/>
  <c r="R52" i="17"/>
  <c r="R51" i="17"/>
  <c r="R50" i="17"/>
  <c r="R49" i="17"/>
  <c r="R48" i="17"/>
  <c r="R47" i="17"/>
  <c r="R46" i="17"/>
  <c r="R45" i="17"/>
  <c r="R44" i="17"/>
  <c r="R43" i="17"/>
  <c r="R42" i="17"/>
  <c r="R41" i="17"/>
  <c r="R40" i="17"/>
  <c r="R39" i="17"/>
  <c r="R38" i="17"/>
  <c r="R37" i="17"/>
  <c r="R36" i="17"/>
  <c r="R35" i="17"/>
  <c r="R34" i="17"/>
  <c r="R33" i="17"/>
  <c r="R32" i="17"/>
  <c r="R31" i="17"/>
  <c r="R30" i="17"/>
  <c r="R29" i="17"/>
  <c r="R28" i="17"/>
  <c r="R27" i="17"/>
  <c r="R26" i="17"/>
  <c r="R25" i="17"/>
  <c r="R24" i="17"/>
  <c r="R23" i="17"/>
  <c r="R22" i="17"/>
  <c r="R21" i="17"/>
  <c r="R20" i="17"/>
  <c r="R19" i="17"/>
  <c r="R18" i="17"/>
  <c r="R17" i="17"/>
  <c r="R16" i="17"/>
  <c r="R15" i="17"/>
  <c r="R14" i="17"/>
  <c r="R13" i="17"/>
  <c r="R12" i="17"/>
  <c r="R11" i="17"/>
  <c r="R10" i="17"/>
  <c r="R9" i="17"/>
  <c r="R8" i="17"/>
  <c r="R7" i="17"/>
  <c r="R6" i="17"/>
  <c r="R5" i="17"/>
  <c r="R4" i="17"/>
  <c r="E30" i="3" l="1"/>
  <c r="E7" i="3"/>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697D7375-6396-44A0-BEFD-7990EE131D42}">
      <text/>
    </comment>
    <comment ref="B3" authorId="0" shapeId="0" xr:uid="{851DE6ED-1684-4EC3-9D41-79469F0DC475}">
      <text>
        <r>
          <rPr>
            <b/>
            <sz val="9"/>
            <color indexed="81"/>
            <rFont val="Tahoma"/>
            <family val="2"/>
          </rPr>
          <t>MP:</t>
        </r>
        <r>
          <rPr>
            <sz val="9"/>
            <color indexed="81"/>
            <rFont val="Tahoma"/>
            <family val="2"/>
          </rPr>
          <t xml:space="preserve">
</t>
        </r>
      </text>
    </comment>
    <comment ref="L7" authorId="0" shapeId="0" xr:uid="{4E7C7A46-6E89-4103-BE47-97318D5E4A9B}">
      <text>
        <r>
          <rPr>
            <b/>
            <sz val="11"/>
            <color indexed="81"/>
            <rFont val="Vandra"/>
          </rPr>
          <t>Problems with material used-  When BWXT inspected parts cacked.  Olivier need to find out next steps.  Order on HOLD</t>
        </r>
      </text>
    </comment>
    <comment ref="E14" authorId="0" shapeId="0" xr:uid="{B1A1594C-4761-46FD-90D9-E9389F8D81E0}">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DC3E7127-2B81-41E7-B9A2-96EBA06DFCA5}">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A8890BC3-26EE-4912-BD72-100D7D3C4D34}">
      <text>
        <r>
          <rPr>
            <b/>
            <sz val="12"/>
            <color indexed="81"/>
            <rFont val="Vandra"/>
          </rPr>
          <t>Feb-13-2025- Lester Submitted Procedures</t>
        </r>
      </text>
    </comment>
    <comment ref="L31" authorId="0" shapeId="0" xr:uid="{64E2093F-4CEB-4F6C-BE7B-0753A36455E7}">
      <text>
        <r>
          <rPr>
            <b/>
            <sz val="11"/>
            <color indexed="81"/>
            <rFont val="Vandra"/>
          </rPr>
          <t>Romania
Oct-27-25- Rev-2 of PO recvd- to include extra cost for Quote C# DW-71669</t>
        </r>
      </text>
    </comment>
    <comment ref="O31" authorId="0" shapeId="0" xr:uid="{50438A8B-AC0F-4C6D-820E-F6E11C43D26C}">
      <text>
        <r>
          <rPr>
            <b/>
            <sz val="11"/>
            <color indexed="81"/>
            <rFont val="Vandra"/>
          </rPr>
          <t>1-st Milestone-  35%  Inv# 52477
2-nd Milestone- 30%  Inv# 52877</t>
        </r>
      </text>
    </comment>
    <comment ref="D33" authorId="0" shapeId="0" xr:uid="{D8D1B2FD-7053-41BC-9B2E-C3BE919B396B}">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t>
        </r>
      </text>
    </comment>
    <comment ref="M33" authorId="0" shapeId="0" xr:uid="{0DE3B733-238A-47A2-BAB9-F171225C0A90}">
      <text>
        <r>
          <rPr>
            <b/>
            <sz val="11"/>
            <color indexed="81"/>
            <rFont val="Vandra"/>
          </rPr>
          <t>PS# 44126      3000-pcs
PS# 44151      6000-pcs
PS# 44215     6000 pcs
PS# 44255    4500 pcs
PS# 44449     3000 pcs
PS# 44481     3000 pcs
PS# 44607     3000 pcs
PS# 44677     1500 pcs
PS# 44819       4500 pcs</t>
        </r>
      </text>
    </comment>
    <comment ref="N33" authorId="0" shapeId="0" xr:uid="{9E37F164-BDBB-4EF2-8E0C-3764053CD211}">
      <text>
        <r>
          <rPr>
            <b/>
            <sz val="11"/>
            <color indexed="81"/>
            <rFont val="Vandra"/>
          </rPr>
          <t>3000 pcs
6000 pcs
6000- pcs
4500 pcs
3000 pcs
3000 pcs
3000 pcs
15000 ps
4500 ps</t>
        </r>
      </text>
    </comment>
    <comment ref="O33" authorId="0" shapeId="0" xr:uid="{EACCA21D-865A-403F-9665-B149EEF642DA}">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t>
        </r>
      </text>
    </comment>
    <comment ref="Q33" authorId="0" shapeId="0" xr:uid="{C28FD36A-F520-4CB9-9E8B-8D9CFC90E031}">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t>
        </r>
      </text>
    </comment>
    <comment ref="L35" authorId="0" shapeId="0" xr:uid="{951158C3-1789-438A-9F6C-484E9A077BF5}">
      <text>
        <r>
          <rPr>
            <b/>
            <sz val="11"/>
            <color indexed="81"/>
            <rFont val="Vandra"/>
          </rPr>
          <t>Qinshan-  original PO Recvd
Jan-7-2025-  Same as J# 71669 for Fro Romania
-Oct-27-25- Rev recvd + cost of Quote # DW-71742</t>
        </r>
      </text>
    </comment>
    <comment ref="O35" authorId="0" shapeId="0" xr:uid="{9E60DAB3-1F4D-4338-8B53-C6C71394D5D9}">
      <text>
        <r>
          <rPr>
            <b/>
            <sz val="11"/>
            <color indexed="81"/>
            <rFont val="Vandra"/>
          </rPr>
          <t>1 st Milestone- 35%  Inv# 52478
2 nd Milestone- 30% Inv# 52876</t>
        </r>
      </text>
    </comment>
    <comment ref="L37" authorId="0" shapeId="0" xr:uid="{EB230835-2C9C-4C81-865E-EB10ED0A7DCC}">
      <text>
        <r>
          <rPr>
            <b/>
            <sz val="11"/>
            <color indexed="81"/>
            <rFont val="Vandra"/>
          </rPr>
          <t>Qinshan</t>
        </r>
      </text>
    </comment>
    <comment ref="O37" authorId="0" shapeId="0" xr:uid="{EA9441FF-8664-42FE-93E5-84E1CF4B466D}">
      <text>
        <r>
          <rPr>
            <b/>
            <sz val="11"/>
            <color indexed="81"/>
            <rFont val="Vandra"/>
          </rPr>
          <t>1st Milestone   30%    Inv# 52544
2nd ilestone     30%   Inv# 52816</t>
        </r>
      </text>
    </comment>
    <comment ref="L39" authorId="0" shapeId="0" xr:uid="{A345E648-49C5-49FB-9705-0BF1B643F4D4}">
      <text>
        <r>
          <rPr>
            <b/>
            <sz val="11"/>
            <color indexed="81"/>
            <rFont val="Vandra"/>
          </rPr>
          <t>Romania</t>
        </r>
      </text>
    </comment>
    <comment ref="O39" authorId="0" shapeId="0" xr:uid="{B6D3C306-8082-4429-A06D-C14E0B333644}">
      <text>
        <r>
          <rPr>
            <b/>
            <sz val="11"/>
            <color indexed="81"/>
            <rFont val="Vandra"/>
          </rPr>
          <t>1st Milestone  25%   Inv# 52642
2nd Milestone 15%   inv# 52875</t>
        </r>
      </text>
    </comment>
    <comment ref="L40" authorId="0" shapeId="0" xr:uid="{DD47F6E5-0902-4661-A6DA-3335309BF787}">
      <text>
        <r>
          <rPr>
            <b/>
            <sz val="11"/>
            <color indexed="81"/>
            <rFont val="Vandra"/>
          </rPr>
          <t>Romania</t>
        </r>
      </text>
    </comment>
    <comment ref="D41" authorId="0" shapeId="0" xr:uid="{2D0E73F5-BAF3-455B-AA27-ABF87AC9F761}">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C9580186-CC11-49A8-AFAC-C5C17CB03140}">
      <text>
        <r>
          <rPr>
            <b/>
            <sz val="12"/>
            <color indexed="81"/>
            <rFont val="Vandra"/>
          </rPr>
          <t>Romania</t>
        </r>
      </text>
    </comment>
    <comment ref="L43" authorId="0" shapeId="0" xr:uid="{A121FC91-4B31-413E-B085-707BFFD12D12}">
      <text>
        <r>
          <rPr>
            <b/>
            <sz val="11"/>
            <color indexed="81"/>
            <rFont val="Vandra"/>
          </rPr>
          <t xml:space="preserve">Romania
PO Rev.1  june 5-25
</t>
        </r>
      </text>
    </comment>
    <comment ref="O43" authorId="0" shapeId="0" xr:uid="{7314CB3A-964D-41EE-9BE6-26A940DCF1F9}">
      <text>
        <r>
          <rPr>
            <b/>
            <sz val="11"/>
            <color indexed="81"/>
            <rFont val="Vandra"/>
          </rPr>
          <t>1st Milestone-  30%  Inv# 52795</t>
        </r>
      </text>
    </comment>
    <comment ref="L44" authorId="0" shapeId="0" xr:uid="{D9CA18AB-D902-459A-B4C8-BEAE79CFD3A4}">
      <text>
        <r>
          <rPr>
            <b/>
            <sz val="11"/>
            <color indexed="81"/>
            <rFont val="Vandra"/>
          </rPr>
          <t xml:space="preserve">Romania
</t>
        </r>
      </text>
    </comment>
    <comment ref="L46" authorId="0" shapeId="0" xr:uid="{F412B371-7080-448B-B234-245020F13BF7}">
      <text>
        <r>
          <rPr>
            <b/>
            <sz val="12"/>
            <color indexed="81"/>
            <rFont val="Vandra"/>
          </rPr>
          <t xml:space="preserve">Qinshan
New Rev.1 Recvd June-19/25
</t>
        </r>
      </text>
    </comment>
    <comment ref="O46" authorId="0" shapeId="0" xr:uid="{5B489DF8-BFCC-4F8B-BB66-88385749851A}">
      <text>
        <r>
          <rPr>
            <b/>
            <sz val="11"/>
            <color indexed="81"/>
            <rFont val="Vandra"/>
          </rPr>
          <t>1st Milestone 25%   Inv# 52643
2nd Milestone 15%  Inv# 52859</t>
        </r>
      </text>
    </comment>
    <comment ref="L47" authorId="0" shapeId="0" xr:uid="{4C2BA042-82B3-48EA-AC14-3ECD0DC16C4A}">
      <text>
        <r>
          <rPr>
            <b/>
            <sz val="12"/>
            <color indexed="81"/>
            <rFont val="Vandra"/>
          </rPr>
          <t>Qinshan</t>
        </r>
      </text>
    </comment>
    <comment ref="D48" authorId="0" shapeId="0" xr:uid="{FE4EF7CF-8119-4492-BC61-4C425F51DC21}">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B12626A6-2027-4765-9003-37DED7CCD2C0}">
      <text>
        <r>
          <rPr>
            <b/>
            <sz val="12"/>
            <color indexed="81"/>
            <rFont val="Vandra"/>
          </rPr>
          <t>Qinshan</t>
        </r>
      </text>
    </comment>
    <comment ref="L52" authorId="0" shapeId="0" xr:uid="{09328DD1-3486-4727-AE62-F1595795C192}">
      <text>
        <r>
          <rPr>
            <b/>
            <sz val="12"/>
            <color indexed="81"/>
            <rFont val="Vandra"/>
          </rPr>
          <t>Romania
New Rev.2 recvd Nov-27-25 for The SSDO tool - changing SS tube back to Alum- Bom It# 3, 4</t>
        </r>
      </text>
    </comment>
    <comment ref="O52" authorId="0" shapeId="0" xr:uid="{CB8FD1C6-E0D0-49A1-90CF-1FC60B894B1F}">
      <text>
        <r>
          <rPr>
            <b/>
            <sz val="11"/>
            <color indexed="81"/>
            <rFont val="Vandra"/>
          </rPr>
          <t>1st Milestone   35%   Inv# 52661
2nd Milestone   15%  Iv# 52993</t>
        </r>
      </text>
    </comment>
    <comment ref="K53" authorId="0" shapeId="0" xr:uid="{ED67945D-5C9A-4341-9C56-15D3A9513B89}">
      <text>
        <r>
          <rPr>
            <b/>
            <sz val="12"/>
            <color indexed="81"/>
            <rFont val="Vandra"/>
          </rPr>
          <t>Nov-18-25 recvd confirmation from David to proceed with Required R/W per Quote # DW-251111</t>
        </r>
      </text>
    </comment>
    <comment ref="L53" authorId="0" shapeId="0" xr:uid="{A6F5BA16-DD66-4F4F-A5BE-13D00C2FC0DF}">
      <text>
        <r>
          <rPr>
            <b/>
            <sz val="12"/>
            <color indexed="81"/>
            <rFont val="Vandra"/>
          </rPr>
          <t>Romania</t>
        </r>
      </text>
    </comment>
    <comment ref="L54" authorId="0" shapeId="0" xr:uid="{A3B3759D-6869-414A-95B5-C8682AA312D2}">
      <text>
        <r>
          <rPr>
            <b/>
            <sz val="12"/>
            <color indexed="81"/>
            <rFont val="Vandra"/>
          </rPr>
          <t>Romania</t>
        </r>
      </text>
    </comment>
    <comment ref="L56" authorId="0" shapeId="0" xr:uid="{5C1E9150-65E0-4F7C-8116-2429FC19D6B9}">
      <text>
        <r>
          <rPr>
            <b/>
            <sz val="12"/>
            <color indexed="81"/>
            <rFont val="Vandra"/>
          </rPr>
          <t>Qinshan- New Rev.2- Revcd June-11-25</t>
        </r>
      </text>
    </comment>
    <comment ref="O56" authorId="0" shapeId="0" xr:uid="{21F3B097-854C-4229-916D-2278788823C6}">
      <text>
        <r>
          <rPr>
            <b/>
            <sz val="11"/>
            <color indexed="81"/>
            <rFont val="Vandra"/>
          </rPr>
          <t>1st Milestone: 35 %   Inv# 52662
2nd Milestone15%     Inv# 52994</t>
        </r>
      </text>
    </comment>
    <comment ref="K57" authorId="0" shapeId="0" xr:uid="{27C2FE9A-2663-4704-AB6C-C614ED751539}">
      <text>
        <r>
          <rPr>
            <b/>
            <sz val="12"/>
            <color indexed="81"/>
            <rFont val="Vandra"/>
          </rPr>
          <t xml:space="preserve">Nov-18-25 recvd confirmation from David to proceed with Required R/W per Quote # DW-251110-Rev-1
</t>
        </r>
      </text>
    </comment>
    <comment ref="L57" authorId="0" shapeId="0" xr:uid="{B13CE4B7-8951-44DA-86C9-5D994AB8D350}">
      <text>
        <r>
          <rPr>
            <b/>
            <sz val="12"/>
            <color indexed="81"/>
            <rFont val="Vandra"/>
          </rPr>
          <t>Qinshan</t>
        </r>
      </text>
    </comment>
    <comment ref="L58" authorId="0" shapeId="0" xr:uid="{3FDF2DDC-CE8B-4D9A-A3A1-21D489FD269B}">
      <text>
        <r>
          <rPr>
            <b/>
            <sz val="12"/>
            <color indexed="81"/>
            <rFont val="Vandra"/>
          </rPr>
          <t>Qinshan</t>
        </r>
      </text>
    </comment>
    <comment ref="C63" authorId="0" shapeId="0" xr:uid="{C4778D12-37C7-4E74-AB1D-5FC467C12AFA}">
      <text>
        <r>
          <rPr>
            <b/>
            <sz val="11"/>
            <color indexed="81"/>
            <rFont val="Vandra"/>
          </rPr>
          <t xml:space="preserve">made for TMU , but Metonics will be paying per Olivier May-2-25
</t>
        </r>
      </text>
    </comment>
    <comment ref="K69" authorId="0" shapeId="0" xr:uid="{426F7841-893C-4E9E-922E-721BB64DCC6F}">
      <text>
        <r>
          <rPr>
            <b/>
            <sz val="12"/>
            <color indexed="81"/>
            <rFont val="Vandra"/>
          </rPr>
          <t xml:space="preserve">new pricing reflects discount given for both RT79 &amp; RT 98 projects </t>
        </r>
      </text>
    </comment>
    <comment ref="L69" authorId="0" shapeId="0" xr:uid="{C003CBD0-54F4-4490-9AE9-05108B5A818E}">
      <text>
        <r>
          <rPr>
            <b/>
            <sz val="12"/>
            <color indexed="81"/>
            <rFont val="Vandra"/>
          </rPr>
          <t>Romania</t>
        </r>
      </text>
    </comment>
    <comment ref="O69" authorId="0" shapeId="0" xr:uid="{5C382FE4-ABD3-466B-9B2F-17341D87631A}">
      <text>
        <r>
          <rPr>
            <b/>
            <sz val="11"/>
            <color indexed="81"/>
            <rFont val="Vandra"/>
          </rPr>
          <t>1st Milestone  30%   Inv# 52699
2nd Milestone 15 %  Inv# 52863</t>
        </r>
      </text>
    </comment>
    <comment ref="P69" authorId="0" shapeId="0" xr:uid="{E9112B85-01D6-41E8-9B3A-3B21A5AF9129}">
      <text>
        <r>
          <rPr>
            <b/>
            <sz val="12"/>
            <color indexed="81"/>
            <rFont val="Vandra"/>
          </rPr>
          <t xml:space="preserve">Original PO Date was Oct-17-2025, but recvd PO Rev.2- on Mar-19-2025-  added RT 98 PO with discounts so the delivery date updated to Nov-24-25
</t>
        </r>
      </text>
    </comment>
    <comment ref="L70" authorId="0" shapeId="0" xr:uid="{C8E41F4F-6D15-4481-A700-6889635D5737}">
      <text>
        <r>
          <rPr>
            <b/>
            <sz val="12"/>
            <color indexed="81"/>
            <rFont val="Vandra"/>
          </rPr>
          <t>Romania</t>
        </r>
      </text>
    </comment>
    <comment ref="P70" authorId="0" shapeId="0" xr:uid="{62E4A75F-F015-4EB1-8469-4036C91BB57B}">
      <text>
        <r>
          <rPr>
            <b/>
            <sz val="12"/>
            <color indexed="81"/>
            <rFont val="Vandra"/>
          </rPr>
          <t xml:space="preserve">Original PO Date was Oct-17-2025, but recvd PO Rev.2- on Mar-19-2025-  added RT 98 PO with discounts so the delivery date updated to Nov-24-25
</t>
        </r>
      </text>
    </comment>
    <comment ref="L71" authorId="0" shapeId="0" xr:uid="{C917A1B6-D990-4D96-AF38-9D73E08DCD84}">
      <text>
        <r>
          <rPr>
            <b/>
            <sz val="12"/>
            <color indexed="81"/>
            <rFont val="Vandra"/>
          </rPr>
          <t>Romania</t>
        </r>
      </text>
    </comment>
    <comment ref="P71" authorId="0" shapeId="0" xr:uid="{57D2CEB6-CD1A-44F6-B627-29EE3689A6DD}">
      <text>
        <r>
          <rPr>
            <b/>
            <sz val="12"/>
            <color indexed="81"/>
            <rFont val="Vandra"/>
          </rPr>
          <t xml:space="preserve">Original PO Date was Oct-17-2025, but recvd PO Rev.2- on Mar-19-2025-  added RT 98 PO with discounts so the delivery date updated to Nov-24-25
</t>
        </r>
      </text>
    </comment>
    <comment ref="L72" authorId="0" shapeId="0" xr:uid="{01CD7576-0863-4E86-B224-E06CA5F951D6}">
      <text>
        <r>
          <rPr>
            <b/>
            <sz val="12"/>
            <color indexed="81"/>
            <rFont val="Vandra"/>
          </rPr>
          <t>Romania</t>
        </r>
      </text>
    </comment>
    <comment ref="P72" authorId="0" shapeId="0" xr:uid="{6DB282E9-D1D1-4AC7-9076-BB91D2693BB9}">
      <text>
        <r>
          <rPr>
            <b/>
            <sz val="12"/>
            <color indexed="81"/>
            <rFont val="Vandra"/>
          </rPr>
          <t xml:space="preserve">Original PO Date was Oct-17-2025, but recvd PO Rev.2- on Mar-19-2025-  added RT 98 PO with discounts so the delivery date updated to Nov-24-25
</t>
        </r>
      </text>
    </comment>
    <comment ref="L73" authorId="0" shapeId="0" xr:uid="{AF52CF4C-1080-403D-BEE8-D4B897D5ED5F}">
      <text>
        <r>
          <rPr>
            <b/>
            <sz val="12"/>
            <color indexed="81"/>
            <rFont val="Vandra"/>
          </rPr>
          <t>Romania</t>
        </r>
      </text>
    </comment>
    <comment ref="P73" authorId="0" shapeId="0" xr:uid="{D6BB747B-2F0C-4D1E-9EBB-ED08234AA960}">
      <text>
        <r>
          <rPr>
            <b/>
            <sz val="12"/>
            <color indexed="81"/>
            <rFont val="Vandra"/>
          </rPr>
          <t xml:space="preserve">Original PO Date was Oct-17-2025, but recvd PO Rev.2- on Mar-19-2025-  added RT 98 PO with discounts so the delivery date updated to Nov-24-25
</t>
        </r>
      </text>
    </comment>
    <comment ref="L74" authorId="0" shapeId="0" xr:uid="{4ED69249-2547-444D-A757-96651D0E040F}">
      <text>
        <r>
          <rPr>
            <b/>
            <sz val="12"/>
            <color indexed="81"/>
            <rFont val="Vandra"/>
          </rPr>
          <t>Romania</t>
        </r>
      </text>
    </comment>
    <comment ref="P74" authorId="0" shapeId="0" xr:uid="{DACE50B9-6BCD-4336-875A-198E2D7738EC}">
      <text>
        <r>
          <rPr>
            <b/>
            <sz val="12"/>
            <color indexed="81"/>
            <rFont val="Vandra"/>
          </rPr>
          <t xml:space="preserve">Original PO Date was Oct-17-2025, but recvd PO Rev.2- on Mar-19-2025-  added RT 98 PO with discounts so the delivery date updated to Nov-24-25
</t>
        </r>
      </text>
    </comment>
    <comment ref="L75" authorId="0" shapeId="0" xr:uid="{4C0AE42B-DC46-4C36-AC54-182D88CC287E}">
      <text>
        <r>
          <rPr>
            <b/>
            <sz val="12"/>
            <color indexed="81"/>
            <rFont val="Vandra"/>
          </rPr>
          <t>Romania</t>
        </r>
      </text>
    </comment>
    <comment ref="P75" authorId="0" shapeId="0" xr:uid="{F5CDF361-8FEB-4FE2-BA30-0A2AB64C87BD}">
      <text>
        <r>
          <rPr>
            <b/>
            <sz val="12"/>
            <color indexed="81"/>
            <rFont val="Vandra"/>
          </rPr>
          <t xml:space="preserve">Original PO Date was Oct-17-2025, but recvd PO Rev.2- on Mar-19-2025-  added RT 98 PO with discounts so the delivery date updated to Nov-24-25
</t>
        </r>
      </text>
    </comment>
    <comment ref="L76" authorId="0" shapeId="0" xr:uid="{D6F63521-7788-46CF-94CD-2B05DBC82FC4}">
      <text>
        <r>
          <rPr>
            <b/>
            <sz val="12"/>
            <color indexed="81"/>
            <rFont val="Vandra"/>
          </rPr>
          <t>Romania</t>
        </r>
      </text>
    </comment>
    <comment ref="P76" authorId="0" shapeId="0" xr:uid="{9F5A8EC1-2444-4CB7-BA36-C06D8DA4412E}">
      <text>
        <r>
          <rPr>
            <b/>
            <sz val="12"/>
            <color indexed="81"/>
            <rFont val="Vandra"/>
          </rPr>
          <t xml:space="preserve">Original PO Date was Oct-17-2025, but recvd PO Rev.2- on Mar-19-2025-  added RT 98 PO with discounts so the delivery date updated to Nov-24-25
</t>
        </r>
      </text>
    </comment>
    <comment ref="L77" authorId="0" shapeId="0" xr:uid="{7875B0B2-4CE8-465B-8446-427242093B91}">
      <text>
        <r>
          <rPr>
            <b/>
            <sz val="12"/>
            <color indexed="81"/>
            <rFont val="Vandra"/>
          </rPr>
          <t>Romania</t>
        </r>
      </text>
    </comment>
    <comment ref="P77" authorId="0" shapeId="0" xr:uid="{F8F737D8-CAED-416E-B398-5719BAF8F291}">
      <text>
        <r>
          <rPr>
            <b/>
            <sz val="12"/>
            <color indexed="81"/>
            <rFont val="Vandra"/>
          </rPr>
          <t xml:space="preserve">Original PO Date was Oct-17-2025, but recvd PO Rev.2- on Mar-19-2025-  added RT 98 PO with discounts so the delivery date updated to Nov-24-25
</t>
        </r>
      </text>
    </comment>
    <comment ref="K79" authorId="0" shapeId="0" xr:uid="{0E05B065-6DCE-4E12-BEAF-049249A21735}">
      <text>
        <r>
          <rPr>
            <b/>
            <sz val="12"/>
            <color indexed="81"/>
            <rFont val="Vandra"/>
          </rPr>
          <t xml:space="preserve">new pricing reflects discount given for both RT79 &amp; RT 98 projects </t>
        </r>
      </text>
    </comment>
    <comment ref="L79" authorId="0" shapeId="0" xr:uid="{076C2DAC-6785-4D33-8387-BFD9571ACD4C}">
      <text>
        <r>
          <rPr>
            <b/>
            <sz val="12"/>
            <color indexed="81"/>
            <rFont val="Vandra"/>
          </rPr>
          <t>Qinshan</t>
        </r>
      </text>
    </comment>
    <comment ref="O79" authorId="0" shapeId="0" xr:uid="{F28124A8-F46C-4A02-AE4A-A338AC792FA1}">
      <text>
        <r>
          <rPr>
            <b/>
            <sz val="11"/>
            <color indexed="81"/>
            <rFont val="Vandra"/>
          </rPr>
          <t>1st Milestone   30%   Inv# 52700
2nd Milestone   15%  Inv# 52864</t>
        </r>
      </text>
    </comment>
    <comment ref="P79" authorId="0" shapeId="0" xr:uid="{5A033062-D2B0-4E14-9CD8-DB44C045B943}">
      <text>
        <r>
          <rPr>
            <b/>
            <sz val="12"/>
            <color indexed="81"/>
            <rFont val="Vandra"/>
          </rPr>
          <t xml:space="preserve">Original PO Date was Oct-17-2025, but recvd PO Rev.2- on Mar-19-2025-  added RT 98 PO with discounts so the delivery date updated to Nov-24-25
</t>
        </r>
      </text>
    </comment>
    <comment ref="L80" authorId="0" shapeId="0" xr:uid="{186DBF6C-92D1-4F87-838E-1B92D0E20091}">
      <text>
        <r>
          <rPr>
            <b/>
            <sz val="12"/>
            <color indexed="81"/>
            <rFont val="Vandra"/>
          </rPr>
          <t>Qinshan</t>
        </r>
      </text>
    </comment>
    <comment ref="P80" authorId="0" shapeId="0" xr:uid="{5EEA8825-BE47-48D4-BC8C-952E4B836BBB}">
      <text>
        <r>
          <rPr>
            <b/>
            <sz val="12"/>
            <color indexed="81"/>
            <rFont val="Vandra"/>
          </rPr>
          <t xml:space="preserve">Original PO Date was Oct-17-2025, but recvd PO Rev.2- on Mar-19-2025-  added RT 98 PO with discounts so the delivery date updated to Nov-24-25
</t>
        </r>
      </text>
    </comment>
    <comment ref="L81" authorId="0" shapeId="0" xr:uid="{066D1AD4-9D31-493D-B2F5-B983EBC86637}">
      <text>
        <r>
          <rPr>
            <b/>
            <sz val="12"/>
            <color indexed="81"/>
            <rFont val="Vandra"/>
          </rPr>
          <t>Qinshan</t>
        </r>
      </text>
    </comment>
    <comment ref="P81" authorId="0" shapeId="0" xr:uid="{294F596C-BCE0-4F5E-96F6-8BEE279C1A2F}">
      <text>
        <r>
          <rPr>
            <b/>
            <sz val="12"/>
            <color indexed="81"/>
            <rFont val="Vandra"/>
          </rPr>
          <t xml:space="preserve">Original PO Date was Oct-17-2025, but recvd PO Rev.2- on Mar-19-2025-  added RT 98 PO with discounts so the delivery date updated to Nov-24-25
</t>
        </r>
      </text>
    </comment>
    <comment ref="L82" authorId="0" shapeId="0" xr:uid="{41301D47-E429-4032-B08F-6E95726828DC}">
      <text>
        <r>
          <rPr>
            <b/>
            <sz val="12"/>
            <color indexed="81"/>
            <rFont val="Vandra"/>
          </rPr>
          <t>Qinshan</t>
        </r>
      </text>
    </comment>
    <comment ref="P82" authorId="0" shapeId="0" xr:uid="{FE36B1B5-9BE7-4803-8A2D-71F13562B3FE}">
      <text>
        <r>
          <rPr>
            <b/>
            <sz val="12"/>
            <color indexed="81"/>
            <rFont val="Vandra"/>
          </rPr>
          <t xml:space="preserve">Original PO Date was Oct-17-2025, but recvd PO Rev.2- on Mar-19-2025-  added RT 98 PO with discounts so the delivery date updated to Nov-24-25
</t>
        </r>
      </text>
    </comment>
    <comment ref="L83" authorId="0" shapeId="0" xr:uid="{2FA7500E-9D1D-4A9C-A3E4-B1F9112F22A2}">
      <text>
        <r>
          <rPr>
            <b/>
            <sz val="12"/>
            <color indexed="81"/>
            <rFont val="Vandra"/>
          </rPr>
          <t>Qinshan</t>
        </r>
      </text>
    </comment>
    <comment ref="P83" authorId="0" shapeId="0" xr:uid="{C15B3686-A003-40B8-8107-9BB3B1CCB486}">
      <text>
        <r>
          <rPr>
            <b/>
            <sz val="12"/>
            <color indexed="81"/>
            <rFont val="Vandra"/>
          </rPr>
          <t xml:space="preserve">Original PO Date was Oct-17-2025, but recvd PO Rev.2- on Mar-19-2025-  added RT 98 PO with discounts so the delivery date updated to Nov-24-25
</t>
        </r>
      </text>
    </comment>
    <comment ref="L84" authorId="0" shapeId="0" xr:uid="{7CF2C62A-F8CB-4FC4-A67E-15A4EB71558B}">
      <text>
        <r>
          <rPr>
            <b/>
            <sz val="12"/>
            <color indexed="81"/>
            <rFont val="Vandra"/>
          </rPr>
          <t>Qinshan</t>
        </r>
      </text>
    </comment>
    <comment ref="P84" authorId="0" shapeId="0" xr:uid="{5EBB759A-5A67-4512-B417-D01CC4034B8B}">
      <text>
        <r>
          <rPr>
            <b/>
            <sz val="12"/>
            <color indexed="81"/>
            <rFont val="Vandra"/>
          </rPr>
          <t xml:space="preserve">Original PO Date was Oct-17-2025, but recvd PO Rev.2- on Mar-19-2025-  added RT 98 PO with discounts so the delivery date updated to Nov-24-25
</t>
        </r>
      </text>
    </comment>
    <comment ref="L85" authorId="0" shapeId="0" xr:uid="{CB7DCD07-1ACF-49F8-B77A-410439F789FD}">
      <text>
        <r>
          <rPr>
            <b/>
            <sz val="12"/>
            <color indexed="81"/>
            <rFont val="Vandra"/>
          </rPr>
          <t>Qinshan</t>
        </r>
      </text>
    </comment>
    <comment ref="P85" authorId="0" shapeId="0" xr:uid="{2EB8AE3A-92E2-44D3-9E61-1FDE4652452F}">
      <text>
        <r>
          <rPr>
            <b/>
            <sz val="12"/>
            <color indexed="81"/>
            <rFont val="Vandra"/>
          </rPr>
          <t xml:space="preserve">Original PO Date was Oct-17-2025, but recvd PO Rev.2- on Mar-19-2025-  added RT 98 PO with discounts so the delivery date updated to Nov-24-25
</t>
        </r>
      </text>
    </comment>
    <comment ref="L86" authorId="0" shapeId="0" xr:uid="{563DE4B4-EB95-4CA1-A7C7-2836DC8267C7}">
      <text>
        <r>
          <rPr>
            <b/>
            <sz val="12"/>
            <color indexed="81"/>
            <rFont val="Vandra"/>
          </rPr>
          <t>Qinshan</t>
        </r>
      </text>
    </comment>
    <comment ref="P86" authorId="0" shapeId="0" xr:uid="{B03B2E1B-A872-48E1-9F4D-09BE9B9D07F9}">
      <text>
        <r>
          <rPr>
            <b/>
            <sz val="12"/>
            <color indexed="81"/>
            <rFont val="Vandra"/>
          </rPr>
          <t xml:space="preserve">Original PO Date was Oct-17-2025, but recvd PO Rev.2- on Mar-19-2025-  added RT 98 PO with discounts so the delivery date updated to Nov-24-25
</t>
        </r>
      </text>
    </comment>
    <comment ref="L87" authorId="0" shapeId="0" xr:uid="{C8835A12-2317-43BC-8E1E-CEC29738EF0B}">
      <text>
        <r>
          <rPr>
            <b/>
            <sz val="12"/>
            <color indexed="81"/>
            <rFont val="Vandra"/>
          </rPr>
          <t>Qinshan</t>
        </r>
      </text>
    </comment>
    <comment ref="P87" authorId="0" shapeId="0" xr:uid="{3D9CA8DC-F486-4A44-9EF6-C2F9462BCA9C}">
      <text>
        <r>
          <rPr>
            <b/>
            <sz val="12"/>
            <color indexed="81"/>
            <rFont val="Vandra"/>
          </rPr>
          <t xml:space="preserve">Original PO Date was Oct-17-2025, but recvd PO Rev.2- on Mar-19-2025-  added RT 98 PO with discounts so the delivery date updated to Nov-24-25
</t>
        </r>
      </text>
    </comment>
    <comment ref="O89" authorId="0" shapeId="0" xr:uid="{9F4594AB-97E3-498C-B00E-23A0F7592818}">
      <text>
        <r>
          <rPr>
            <b/>
            <sz val="11"/>
            <color indexed="81"/>
            <rFont val="Vandra"/>
          </rPr>
          <t>1st Milestone  30 % Inv# 52759</t>
        </r>
      </text>
    </comment>
    <comment ref="K90" authorId="0" shapeId="0" xr:uid="{006ECAE8-FA81-4932-878A-A76B99773038}">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93AFC016-00E6-413A-BAC0-87EAA7C91015}">
      <text>
        <r>
          <rPr>
            <b/>
            <sz val="11"/>
            <color indexed="81"/>
            <rFont val="Vandra"/>
          </rPr>
          <t xml:space="preserve">I submitted all drawings for this order
May-22-25- Olivier asked Sam to reprint larger drawings and restamp
</t>
        </r>
      </text>
    </comment>
    <comment ref="O98" authorId="0" shapeId="0" xr:uid="{412BFAA8-1613-43EB-A8E2-AFD0A60B0E3D}">
      <text>
        <r>
          <rPr>
            <b/>
            <sz val="11"/>
            <color indexed="81"/>
            <rFont val="Vandra"/>
          </rPr>
          <t>1st Milestone  30%  Inv# 52946</t>
        </r>
      </text>
    </comment>
    <comment ref="K101" authorId="0" shapeId="0" xr:uid="{5F0C1652-7AF0-4F07-9386-ABAF6A66C95D}">
      <text>
        <r>
          <rPr>
            <b/>
            <sz val="11"/>
            <color indexed="81"/>
            <rFont val="Vandra"/>
          </rPr>
          <t>includes cost for Dwg# RT-87590-71400-102-1-DD-B- Ta[  $ 330.00 ea x 3</t>
        </r>
      </text>
    </comment>
    <comment ref="L101" authorId="0" shapeId="0" xr:uid="{AD614FD1-4839-49E7-9058-E92B8F384A50}">
      <text>
        <r>
          <rPr>
            <b/>
            <sz val="11"/>
            <color indexed="81"/>
            <rFont val="Vandra"/>
          </rPr>
          <t>I submitted All Drawing for this order
May-22-25- Olivier asked Sam to reprint larger drawings and re-stamp.
New Rev.1 Recvd Aug-6-25 to include cost of Tabs</t>
        </r>
      </text>
    </comment>
    <comment ref="L103" authorId="0" shapeId="0" xr:uid="{3092EBD6-864F-4DF8-B6D9-9A922E155CB9}">
      <text>
        <r>
          <rPr>
            <b/>
            <sz val="11"/>
            <color indexed="81"/>
            <rFont val="Vandra"/>
          </rPr>
          <t>Romania
Rev-1 Recvd Dec-17-25- Additn Epoxy Gel</t>
        </r>
      </text>
    </comment>
    <comment ref="O103" authorId="0" shapeId="0" xr:uid="{81B893F2-1132-493B-8BAF-781889032177}">
      <text>
        <r>
          <rPr>
            <b/>
            <sz val="11"/>
            <color indexed="81"/>
            <rFont val="Vandra"/>
          </rPr>
          <t>1 st- Milestone   30%  Inv# 52865</t>
        </r>
      </text>
    </comment>
    <comment ref="L105" authorId="0" shapeId="0" xr:uid="{C723EC08-3E48-4770-A8AD-9EC30E66C89C}">
      <text>
        <r>
          <rPr>
            <b/>
            <sz val="11"/>
            <color indexed="81"/>
            <rFont val="Vandra"/>
          </rPr>
          <t>Romania</t>
        </r>
      </text>
    </comment>
    <comment ref="O105" authorId="0" shapeId="0" xr:uid="{DF59A679-F4BC-46A5-94FE-BD6ACE7E5C41}">
      <text>
        <r>
          <rPr>
            <b/>
            <sz val="11"/>
            <color indexed="81"/>
            <rFont val="Vandra"/>
          </rPr>
          <t>1st Milestone  30%   Inv# 52866</t>
        </r>
      </text>
    </comment>
    <comment ref="P105" authorId="0" shapeId="0" xr:uid="{F41E3DE5-6A44-41F0-811D-E1129F1ED50E}">
      <text>
        <r>
          <rPr>
            <b/>
            <sz val="11"/>
            <color indexed="81"/>
            <rFont val="Vandra"/>
          </rPr>
          <t xml:space="preserve">Delivery Date for Candu - Changed from Jan-26-26 to Nov-30-25
</t>
        </r>
      </text>
    </comment>
    <comment ref="L109" authorId="0" shapeId="0" xr:uid="{F32EDA5D-CE59-414B-9C0F-BA6DFB2E65AA}">
      <text>
        <r>
          <rPr>
            <b/>
            <sz val="11"/>
            <color indexed="81"/>
            <rFont val="Vandra"/>
          </rPr>
          <t>Qinshan</t>
        </r>
      </text>
    </comment>
    <comment ref="D114" authorId="0" shapeId="0" xr:uid="{C90C3CDE-A9D7-4F65-869F-0C2A25E27762}">
      <text>
        <r>
          <rPr>
            <b/>
            <sz val="11"/>
            <color indexed="81"/>
            <rFont val="Vandra"/>
          </rPr>
          <t>20- pcs shipped
24 pcs</t>
        </r>
      </text>
    </comment>
    <comment ref="L114" authorId="0" shapeId="0" xr:uid="{33F8FCD5-ED5A-49E0-89E0-F89D7309C3A9}">
      <text>
        <r>
          <rPr>
            <b/>
            <sz val="11"/>
            <color indexed="81"/>
            <rFont val="Vandra"/>
          </rPr>
          <t>Rev.1- Revd Aug-8-25</t>
        </r>
      </text>
    </comment>
    <comment ref="M114" authorId="0" shapeId="0" xr:uid="{2F82AA2F-65B8-40A2-91F7-27816C4FDA95}">
      <text>
        <r>
          <rPr>
            <b/>
            <sz val="11"/>
            <color indexed="81"/>
            <rFont val="Vandra"/>
          </rPr>
          <t>20- pcs  PS# 44650</t>
        </r>
      </text>
    </comment>
    <comment ref="N114" authorId="0" shapeId="0" xr:uid="{373B541C-DD38-4EEB-A2AB-1B9EA0D82533}">
      <text>
        <r>
          <rPr>
            <b/>
            <sz val="11"/>
            <color indexed="81"/>
            <rFont val="Vandra"/>
          </rPr>
          <t>20- pcs shpped</t>
        </r>
      </text>
    </comment>
    <comment ref="O114" authorId="0" shapeId="0" xr:uid="{5800D249-8386-4F86-B25C-CE3B89FD1CF9}">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8EEED27E-EE77-425D-8AA5-925D74608DAB}">
      <text>
        <r>
          <rPr>
            <b/>
            <sz val="11"/>
            <color indexed="81"/>
            <rFont val="Vandra"/>
          </rPr>
          <t xml:space="preserve">20- pcs shipped   Aug-25-25
</t>
        </r>
      </text>
    </comment>
    <comment ref="D116" authorId="0" shapeId="0" xr:uid="{56C68194-6E80-4423-8F70-B9908E157314}">
      <text>
        <r>
          <rPr>
            <b/>
            <sz val="11"/>
            <color indexed="81"/>
            <rFont val="Vandra"/>
          </rPr>
          <t>10- pcs shipped
10- pcs shipped
116 pcs shipped</t>
        </r>
      </text>
    </comment>
    <comment ref="M116" authorId="0" shapeId="0" xr:uid="{18165B5B-9557-4BA9-8935-7BF670A6AC9F}">
      <text>
        <r>
          <rPr>
            <b/>
            <sz val="11"/>
            <color indexed="81"/>
            <rFont val="Vandra"/>
          </rPr>
          <t>10- pcs    PS# 44651
10-pcs     PS# 44702</t>
        </r>
      </text>
    </comment>
    <comment ref="N116" authorId="0" shapeId="0" xr:uid="{3A0E9E2B-EFC1-48F1-AC06-2EC002B94685}">
      <text>
        <r>
          <rPr>
            <b/>
            <sz val="11"/>
            <color indexed="81"/>
            <rFont val="Vandra"/>
          </rPr>
          <t>10- pcs shipped
10-pc shipped</t>
        </r>
      </text>
    </comment>
    <comment ref="O116" authorId="0" shapeId="0" xr:uid="{CF8EC25A-5FE0-403A-BEF6-BFA79B91BF5E}">
      <text>
        <r>
          <rPr>
            <b/>
            <sz val="9"/>
            <color indexed="81"/>
            <rFont val="Tahoma"/>
            <family val="2"/>
          </rPr>
          <t>MP:</t>
        </r>
        <r>
          <rPr>
            <sz val="9"/>
            <color indexed="81"/>
            <rFont val="Tahoma"/>
            <family val="2"/>
          </rPr>
          <t xml:space="preserve">
</t>
        </r>
        <r>
          <rPr>
            <sz val="11"/>
            <color indexed="81"/>
            <rFont val="Tahoma"/>
            <family val="2"/>
          </rPr>
          <t>Inv 52916  10 pcs 
Inv 52972 10 pcs
Inv 53151 116 pcs</t>
        </r>
      </text>
    </comment>
    <comment ref="Q116" authorId="0" shapeId="0" xr:uid="{C437373F-5E77-4FBC-AEE4-B4763ACFB82E}">
      <text>
        <r>
          <rPr>
            <b/>
            <sz val="11"/>
            <color indexed="81"/>
            <rFont val="Vandra"/>
          </rPr>
          <t xml:space="preserve">10- pcs   shipd   Aug-25-25
10- pcs   dhipd   Sept-23-25
</t>
        </r>
      </text>
    </comment>
    <comment ref="L118" authorId="0" shapeId="0" xr:uid="{0250003F-927C-47FB-A5E5-430664DF69C7}">
      <text>
        <r>
          <rPr>
            <b/>
            <sz val="11"/>
            <color indexed="81"/>
            <rFont val="Vandra"/>
          </rPr>
          <t>Romania</t>
        </r>
      </text>
    </comment>
    <comment ref="O118" authorId="0" shapeId="0" xr:uid="{CB29147D-70B0-4955-98DB-E88BE1E5A812}">
      <text>
        <r>
          <rPr>
            <b/>
            <sz val="11"/>
            <color indexed="81"/>
            <rFont val="Vandra"/>
          </rPr>
          <t xml:space="preserve">1st Milestone 30% - Inv# 52867
2nd Milestone 30%  Inv# 53180
</t>
        </r>
      </text>
    </comment>
    <comment ref="L119" authorId="0" shapeId="0" xr:uid="{EDA5F2F8-3F61-4146-BF88-E1AF8FAEC515}">
      <text>
        <r>
          <rPr>
            <b/>
            <sz val="11"/>
            <color indexed="81"/>
            <rFont val="Vandra"/>
          </rPr>
          <t>Romania</t>
        </r>
      </text>
    </comment>
    <comment ref="P119" authorId="0" shapeId="0" xr:uid="{DB9C2254-AD11-474B-823B-77D17469EECF}">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21" authorId="0" shapeId="0" xr:uid="{98C69569-411D-4B91-8F9E-2541665EA55F}">
      <text>
        <r>
          <rPr>
            <b/>
            <sz val="11"/>
            <color indexed="81"/>
            <rFont val="Vandra"/>
          </rPr>
          <t>Called Prime Mold Jan-22-26.  parts are still out for laser welding, should be completed by Mid next week, still will have to touch up with EDM and expected by of before the end of Feb-5-6</t>
        </r>
      </text>
    </comment>
    <comment ref="P121" authorId="0" shapeId="0" xr:uid="{84F571BA-881C-4ED1-A7E9-0BDF9536DF0F}">
      <text>
        <r>
          <rPr>
            <b/>
            <sz val="11"/>
            <color indexed="81"/>
            <rFont val="Vandra"/>
          </rPr>
          <t xml:space="preserve">Ocr-28-25-  Gus said this part is completed-
Original delivery date was Oct-15-25-  Pushed out to Nov-21-25
</t>
        </r>
      </text>
    </comment>
    <comment ref="L123" authorId="0" shapeId="0" xr:uid="{A2DC8B7F-A259-40A8-894F-007708EB4BEB}">
      <text>
        <r>
          <rPr>
            <b/>
            <sz val="11"/>
            <color indexed="81"/>
            <rFont val="Vandra"/>
          </rPr>
          <t>Qinshan
Sanchia- Said Ignore the Original Version of PO sent. July-22-25-  Newer Version will be sent shortly</t>
        </r>
      </text>
    </comment>
    <comment ref="L128" authorId="0" shapeId="0" xr:uid="{50534B4B-04B8-46D7-8FA8-D7CC6DB02C52}">
      <text>
        <r>
          <rPr>
            <b/>
            <sz val="11"/>
            <color indexed="81"/>
            <rFont val="Vandra"/>
          </rPr>
          <t>Qinshan</t>
        </r>
      </text>
    </comment>
    <comment ref="L129" authorId="0" shapeId="0" xr:uid="{58604C4F-29CA-4E8D-88D5-8773B2B0DCAB}">
      <text>
        <r>
          <rPr>
            <b/>
            <sz val="11"/>
            <color indexed="81"/>
            <rFont val="Vandra"/>
          </rPr>
          <t>Qinshan</t>
        </r>
      </text>
    </comment>
    <comment ref="L130" authorId="0" shapeId="0" xr:uid="{FC7F9B73-340F-4441-8C85-7411EF0E513C}">
      <text>
        <r>
          <rPr>
            <b/>
            <sz val="11"/>
            <color indexed="81"/>
            <rFont val="Vandra"/>
          </rPr>
          <t>Qinshan</t>
        </r>
      </text>
    </comment>
    <comment ref="L131" authorId="0" shapeId="0" xr:uid="{38EC30AE-35EA-44BE-838C-9AD82BEB4A0A}">
      <text>
        <r>
          <rPr>
            <b/>
            <sz val="11"/>
            <color indexed="81"/>
            <rFont val="Vandra"/>
          </rPr>
          <t>Qinshan</t>
        </r>
      </text>
    </comment>
    <comment ref="L132" authorId="0" shapeId="0" xr:uid="{EEBD5757-52E3-4C07-B005-A0F4B518C31E}">
      <text>
        <r>
          <rPr>
            <b/>
            <sz val="11"/>
            <color indexed="81"/>
            <rFont val="Vandra"/>
          </rPr>
          <t>Qinshan</t>
        </r>
      </text>
    </comment>
    <comment ref="L133" authorId="0" shapeId="0" xr:uid="{1C18506D-2CB3-4CCE-9E7B-7137066F44A9}">
      <text>
        <r>
          <rPr>
            <b/>
            <sz val="11"/>
            <color indexed="81"/>
            <rFont val="Vandra"/>
          </rPr>
          <t>Qinshan</t>
        </r>
      </text>
    </comment>
    <comment ref="L134" authorId="0" shapeId="0" xr:uid="{18C7D92A-3772-493C-8948-F1085356E2AA}">
      <text>
        <r>
          <rPr>
            <b/>
            <sz val="11"/>
            <color indexed="81"/>
            <rFont val="Vandra"/>
          </rPr>
          <t>Qinshan</t>
        </r>
      </text>
    </comment>
    <comment ref="L135" authorId="0" shapeId="0" xr:uid="{B5C281AE-B5AE-44F5-AF4A-76F8237B4D00}">
      <text>
        <r>
          <rPr>
            <b/>
            <sz val="11"/>
            <color indexed="81"/>
            <rFont val="Vandra"/>
          </rPr>
          <t>Qinshan</t>
        </r>
      </text>
    </comment>
    <comment ref="L136" authorId="0" shapeId="0" xr:uid="{54584726-5693-4FCF-A487-7D950859A1CD}">
      <text>
        <r>
          <rPr>
            <b/>
            <sz val="11"/>
            <color indexed="81"/>
            <rFont val="Vandra"/>
          </rPr>
          <t>Qinshan</t>
        </r>
      </text>
    </comment>
    <comment ref="L137" authorId="0" shapeId="0" xr:uid="{7364E202-F52E-4765-938C-C21B6854F50E}">
      <text>
        <r>
          <rPr>
            <b/>
            <sz val="11"/>
            <color indexed="81"/>
            <rFont val="Vandra"/>
          </rPr>
          <t>Qinshan</t>
        </r>
      </text>
    </comment>
    <comment ref="E138" authorId="0" shapeId="0" xr:uid="{0F2E0FED-DDB9-4D5F-9A51-EE54F5EFE7FD}">
      <text>
        <r>
          <rPr>
            <b/>
            <sz val="11"/>
            <color indexed="81"/>
            <rFont val="Vandra"/>
          </rPr>
          <t>West tech will not be ready until Sept-8-25</t>
        </r>
      </text>
    </comment>
    <comment ref="L138" authorId="0" shapeId="0" xr:uid="{F4050E96-9AC8-40EC-84AD-FC9599F4ADB6}">
      <text>
        <r>
          <rPr>
            <b/>
            <sz val="11"/>
            <color indexed="81"/>
            <rFont val="Vandra"/>
          </rPr>
          <t>Qinshan</t>
        </r>
      </text>
    </comment>
    <comment ref="A139" authorId="0" shapeId="0" xr:uid="{8366D53A-99BE-47C9-8A3F-78DA8AE2CA37}">
      <text/>
    </comment>
    <comment ref="L139" authorId="0" shapeId="0" xr:uid="{A8C82BC7-0834-4811-8737-87BA2BDF23EC}">
      <text>
        <r>
          <rPr>
            <b/>
            <sz val="11"/>
            <color indexed="81"/>
            <rFont val="Vandra"/>
          </rPr>
          <t>Additional Parts requested, on Quote# ME-251127 for additional Qty of 3 pcs req'd</t>
        </r>
      </text>
    </comment>
    <comment ref="L145" authorId="0" shapeId="0" xr:uid="{8F9AD47C-1EFC-4C63-889A-EDEF9E2E05EA}">
      <text>
        <r>
          <rPr>
            <b/>
            <sz val="11"/>
            <color indexed="81"/>
            <rFont val="Vandra"/>
          </rPr>
          <t>Group 2G for Qinshan</t>
        </r>
      </text>
    </comment>
    <comment ref="D149" authorId="0" shapeId="0" xr:uid="{5471416D-A73D-4270-9782-43B179A96E27}">
      <text>
        <r>
          <rPr>
            <b/>
            <sz val="11"/>
            <color indexed="81"/>
            <rFont val="Vandra"/>
          </rPr>
          <t>recvd- 6 large</t>
        </r>
      </text>
    </comment>
    <comment ref="L149" authorId="0" shapeId="0" xr:uid="{5ACFC44D-5622-474B-97D0-5D41C871B8F4}">
      <text>
        <r>
          <rPr>
            <b/>
            <sz val="11"/>
            <color indexed="81"/>
            <rFont val="Vandra"/>
          </rPr>
          <t>Romania- SA and EF Transport Containers
Nov-5-25- PO Rev.1 Recvd</t>
        </r>
      </text>
    </comment>
    <comment ref="O149" authorId="0" shapeId="0" xr:uid="{48B867EC-114A-467A-8B17-077807AC7B3B}">
      <text>
        <r>
          <rPr>
            <b/>
            <sz val="11"/>
            <color indexed="81"/>
            <rFont val="Vandra"/>
          </rPr>
          <t>1st Milestone 25%  Inv# 53057</t>
        </r>
      </text>
    </comment>
    <comment ref="D150" authorId="0" shapeId="0" xr:uid="{272A358E-CFA0-4027-9AE0-5001B2FC6FA1}">
      <text>
        <r>
          <rPr>
            <b/>
            <sz val="11"/>
            <color indexed="81"/>
            <rFont val="Vandra"/>
          </rPr>
          <t>recvd 7- small
recvd 7- small on Nov 14-25, 2- pcs extra of what was quoted and on the PO</t>
        </r>
      </text>
    </comment>
    <comment ref="L150" authorId="0" shapeId="0" xr:uid="{2C8CDE56-C9FF-4958-99CF-6D41143C5721}">
      <text>
        <r>
          <rPr>
            <b/>
            <sz val="11"/>
            <color indexed="81"/>
            <rFont val="Vandra"/>
          </rPr>
          <t>Romania- SA and EF Transport Containers</t>
        </r>
      </text>
    </comment>
    <comment ref="P152" authorId="0" shapeId="0" xr:uid="{BB14AD71-1E43-4A60-A79D-7D9354A625B4}">
      <text>
        <r>
          <rPr>
            <b/>
            <sz val="11"/>
            <color indexed="81"/>
            <rFont val="Vandra"/>
          </rPr>
          <t>Aug-1-25 delivery date changed due to long lead 6 Weeks Unistrut mat;l</t>
        </r>
      </text>
    </comment>
    <comment ref="L154" authorId="0" shapeId="0" xr:uid="{1C8A808D-AD2A-4600-8B35-56CC099176BD}">
      <text>
        <r>
          <rPr>
            <b/>
            <sz val="11"/>
            <color indexed="81"/>
            <rFont val="Vandra"/>
          </rPr>
          <t>Qinshan-  Same ase J# 71852 &amp; 71853
Bore Gauge- ordered by Candu F/I to be  delivered to RTD per e-mail Oct-1-25</t>
        </r>
      </text>
    </comment>
    <comment ref="L157" authorId="0" shapeId="0" xr:uid="{5773472D-CEE0-4111-94C0-480B48D80BD8}">
      <text>
        <r>
          <rPr>
            <b/>
            <sz val="11"/>
            <color indexed="81"/>
            <rFont val="Vandra"/>
          </rPr>
          <t xml:space="preserve">Qinshan- New Rev
2 Recve  Aug-5-25
</t>
        </r>
      </text>
    </comment>
    <comment ref="O175" authorId="0" shapeId="0" xr:uid="{1A17F064-97CF-4B4B-9255-F78D36D964BD}">
      <text>
        <r>
          <rPr>
            <b/>
            <sz val="11"/>
            <color indexed="81"/>
            <rFont val="Vandra"/>
          </rPr>
          <t>1st Milestone   30%   inv# 52950
2nd Milestone   25%  Inv# 53178</t>
        </r>
      </text>
    </comment>
    <comment ref="P175" authorId="0" shapeId="0" xr:uid="{A90534B4-5D69-4DF7-BFE6-3376CE5E25D4}">
      <text>
        <r>
          <rPr>
            <b/>
            <sz val="11"/>
            <color indexed="81"/>
            <rFont val="Vandra"/>
          </rPr>
          <t>Romania-  Delivery Date promised by Gus , Steve &amp; Olivier</t>
        </r>
      </text>
    </comment>
    <comment ref="L179" authorId="0" shapeId="0" xr:uid="{1171DB0E-7143-4A24-B81D-AF0823260498}">
      <text>
        <r>
          <rPr>
            <b/>
            <sz val="11"/>
            <color indexed="81"/>
            <rFont val="Vandra"/>
          </rPr>
          <t>OA Sohni Jatoi</t>
        </r>
      </text>
    </comment>
    <comment ref="O181" authorId="0" shapeId="0" xr:uid="{F325DAC1-BFA5-4A26-9BD8-8EEC1E525A8C}">
      <text>
        <r>
          <rPr>
            <sz val="12"/>
            <color indexed="81"/>
            <rFont val="Tahoma"/>
            <family val="2"/>
          </rPr>
          <t>1st Milestone 30%  Inv# 53177</t>
        </r>
      </text>
    </comment>
    <comment ref="P181" authorId="0" shapeId="0" xr:uid="{46FB4F59-8DDB-4FC2-81F4-3D0E9F057612}">
      <text>
        <r>
          <rPr>
            <b/>
            <sz val="11"/>
            <color indexed="81"/>
            <rFont val="Vandra"/>
          </rPr>
          <t>Original Date Jan-23-25,  Date revised on Aug-14-25-  To Feb-16-26</t>
        </r>
      </text>
    </comment>
    <comment ref="E182" authorId="0" shapeId="0" xr:uid="{93854994-1871-4D71-900A-D9580D6A8D70}">
      <text>
        <r>
          <rPr>
            <b/>
            <sz val="11"/>
            <color indexed="81"/>
            <rFont val="Vandra"/>
          </rPr>
          <t>Dec-31-25- Additional part ordered  on PO rev.1</t>
        </r>
      </text>
    </comment>
    <comment ref="B189" authorId="0" shapeId="0" xr:uid="{B45CB1E1-9919-4F08-AB3C-F29D0B9B0121}">
      <text>
        <r>
          <rPr>
            <b/>
            <sz val="11"/>
            <color indexed="81"/>
            <rFont val="Vandra"/>
          </rPr>
          <t>completed</t>
        </r>
      </text>
    </comment>
    <comment ref="K192" authorId="0" shapeId="0" xr:uid="{CA1ABD7B-23FB-4C33-AD9E-C5DC12DC4F1E}">
      <text>
        <r>
          <rPr>
            <b/>
            <sz val="11"/>
            <color indexed="81"/>
            <rFont val="Vandra"/>
          </rPr>
          <t>Additional to add cost for NPT Nipple
$ 250.0 ea</t>
        </r>
      </text>
    </comment>
    <comment ref="L194" authorId="0" shapeId="0" xr:uid="{34954050-2220-497B-92D8-E68D8BBA99D7}">
      <text>
        <r>
          <rPr>
            <b/>
            <sz val="11"/>
            <color indexed="81"/>
            <rFont val="Vandra"/>
          </rPr>
          <t>Romania</t>
        </r>
      </text>
    </comment>
    <comment ref="O194" authorId="0" shapeId="0" xr:uid="{47429768-40A9-4257-9D5C-6586EAFA479B}">
      <text>
        <r>
          <rPr>
            <b/>
            <sz val="11"/>
            <color indexed="81"/>
            <rFont val="Vandra"/>
          </rPr>
          <t xml:space="preserve">1st Milestone  30%   </t>
        </r>
        <r>
          <rPr>
            <b/>
            <i/>
            <sz val="11"/>
            <color indexed="81"/>
            <rFont val="Vandra"/>
          </rPr>
          <t>nv# 53179</t>
        </r>
      </text>
    </comment>
    <comment ref="P194" authorId="0" shapeId="0" xr:uid="{51AABD88-0434-4197-829A-590B2F6125D5}">
      <text>
        <r>
          <rPr>
            <b/>
            <sz val="11"/>
            <color indexed="81"/>
            <rFont val="Vandra"/>
          </rPr>
          <t>Delivery date reduced by 5 weeks per Olivier from 37 to 32 wks per E-mail dated Aug-15-25</t>
        </r>
      </text>
    </comment>
    <comment ref="P195" authorId="0" shapeId="0" xr:uid="{BFE53B77-8C79-4C0D-9D1C-26D407684DC6}">
      <text>
        <r>
          <rPr>
            <b/>
            <sz val="11"/>
            <color indexed="81"/>
            <rFont val="Vandra"/>
          </rPr>
          <t>Delivery date reduced by 5 weeks per Olivier from 37 to 32 wks per E-mail dated Aug-15-25</t>
        </r>
      </text>
    </comment>
    <comment ref="P196" authorId="0" shapeId="0" xr:uid="{0F6E74F6-980C-45B8-9C24-B222ECE6ECDA}">
      <text>
        <r>
          <rPr>
            <b/>
            <sz val="11"/>
            <color indexed="81"/>
            <rFont val="Vandra"/>
          </rPr>
          <t>Delivery date reduced by 5 weeks per Olivier from 37 to 32 wks per E-mail dated Aug-15-25</t>
        </r>
      </text>
    </comment>
    <comment ref="P197" authorId="0" shapeId="0" xr:uid="{5A9EF094-8823-4A4A-B363-BC0C6DF714EF}">
      <text>
        <r>
          <rPr>
            <b/>
            <sz val="11"/>
            <color indexed="81"/>
            <rFont val="Vandra"/>
          </rPr>
          <t>Delivery date reduced by 5 weeks per Olivier from 37 to 32 wks per E-mail dated Aug-15-25</t>
        </r>
      </text>
    </comment>
    <comment ref="P198" authorId="0" shapeId="0" xr:uid="{94E390F8-877E-4710-A0EE-19AF2E6C99EB}">
      <text>
        <r>
          <rPr>
            <b/>
            <sz val="11"/>
            <color indexed="81"/>
            <rFont val="Vandra"/>
          </rPr>
          <t>Delivery date reduced by 5 weeks per Olivier from 37 to 32 wks per E-mail dated Aug-15-25</t>
        </r>
      </text>
    </comment>
    <comment ref="P199" authorId="0" shapeId="0" xr:uid="{30CF0C30-A44F-444E-B4D4-BF665661B8D9}">
      <text>
        <r>
          <rPr>
            <b/>
            <sz val="11"/>
            <color indexed="81"/>
            <rFont val="Vandra"/>
          </rPr>
          <t>Delivery date reduced by 5 weeks per Olivier from 37 to 32 wks per E-mail dated Aug-15-25</t>
        </r>
      </text>
    </comment>
    <comment ref="P200" authorId="0" shapeId="0" xr:uid="{A698F6DA-C058-484B-B616-DF63DCB646ED}">
      <text>
        <r>
          <rPr>
            <b/>
            <sz val="11"/>
            <color indexed="81"/>
            <rFont val="Vandra"/>
          </rPr>
          <t>Delivery date reduced by 5 weeks per Olivier from 37 to 32 wks per E-mail dated Aug-15-25</t>
        </r>
      </text>
    </comment>
    <comment ref="P201" authorId="0" shapeId="0" xr:uid="{289283B8-F90A-4A7A-9BDB-FDA3AF4C77EF}">
      <text>
        <r>
          <rPr>
            <b/>
            <sz val="11"/>
            <color indexed="81"/>
            <rFont val="Vandra"/>
          </rPr>
          <t>Delivery date reduced by 5 weeks per Olivier from 37 to 32 wks per E-mail dated Aug-15-25</t>
        </r>
      </text>
    </comment>
    <comment ref="P202" authorId="0" shapeId="0" xr:uid="{6CAC6152-B72E-4203-B6F0-1EA2079A632D}">
      <text>
        <r>
          <rPr>
            <b/>
            <sz val="11"/>
            <color indexed="81"/>
            <rFont val="Vandra"/>
          </rPr>
          <t>Delivery date reduced by 5 weeks per Olivier from 37 to 32 wks per E-mail dated Aug-15-25</t>
        </r>
      </text>
    </comment>
    <comment ref="P203" authorId="0" shapeId="0" xr:uid="{89F04179-B45D-484E-92E7-E15F8F915682}">
      <text>
        <r>
          <rPr>
            <b/>
            <sz val="11"/>
            <color indexed="81"/>
            <rFont val="Vandra"/>
          </rPr>
          <t>Delivery date reduced by 5 weeks per Olivier from 37 to 32 wks per E-mail dated Aug-15-25</t>
        </r>
      </text>
    </comment>
    <comment ref="P204" authorId="0" shapeId="0" xr:uid="{99179FCA-5BF9-4F1D-9899-6762DE7783AF}">
      <text>
        <r>
          <rPr>
            <b/>
            <sz val="11"/>
            <color indexed="81"/>
            <rFont val="Vandra"/>
          </rPr>
          <t>Delivery date reduced by 5 weeks per Olivier from 37 to 32 wks per E-mail dated Aug-15-25</t>
        </r>
      </text>
    </comment>
    <comment ref="P205" authorId="0" shapeId="0" xr:uid="{58B361E4-7DBE-42DA-BE60-46244901787C}">
      <text>
        <r>
          <rPr>
            <b/>
            <sz val="11"/>
            <color indexed="81"/>
            <rFont val="Vandra"/>
          </rPr>
          <t>Delivery date reduced by 5 weeks per Olivier from 37 to 32 wks per E-mail dated Aug-15-25</t>
        </r>
      </text>
    </comment>
    <comment ref="P206" authorId="0" shapeId="0" xr:uid="{21DE5F70-5784-43AD-B2F3-235B5F5E4CB8}">
      <text>
        <r>
          <rPr>
            <b/>
            <sz val="11"/>
            <color indexed="81"/>
            <rFont val="Vandra"/>
          </rPr>
          <t>Delivery date reduced by 5 weeks per Olivier from 37 to 32 wks per E-mail dated Aug-15-25</t>
        </r>
      </text>
    </comment>
    <comment ref="P207" authorId="0" shapeId="0" xr:uid="{00B7A8C5-DA74-4EE2-B2E3-A5E738A0D1E5}">
      <text>
        <r>
          <rPr>
            <b/>
            <sz val="11"/>
            <color indexed="81"/>
            <rFont val="Vandra"/>
          </rPr>
          <t>Delivery date reduced by 5 weeks per Olivier from 37 to 32 wks per E-mail dated Aug-15-25</t>
        </r>
      </text>
    </comment>
    <comment ref="P208" authorId="0" shapeId="0" xr:uid="{563DF405-9951-45AB-B3DC-71F55DF43316}">
      <text>
        <r>
          <rPr>
            <b/>
            <sz val="11"/>
            <color indexed="81"/>
            <rFont val="Vandra"/>
          </rPr>
          <t>Delivery date reduced by 5 weeks per Olivier from 37 to 32 wks per E-mail dated Aug-15-25</t>
        </r>
      </text>
    </comment>
    <comment ref="P209" authorId="0" shapeId="0" xr:uid="{C572D4E9-9C8C-4EB0-9CA4-34568DB34A53}">
      <text>
        <r>
          <rPr>
            <b/>
            <sz val="11"/>
            <color indexed="81"/>
            <rFont val="Vandra"/>
          </rPr>
          <t>Delivery date reduced by 5 weeks per Olivier from 37 to 32 wks per E-mail dated Aug-15-25</t>
        </r>
      </text>
    </comment>
    <comment ref="P210" authorId="0" shapeId="0" xr:uid="{B43C4D42-13D6-417C-A849-A9053A5DB131}">
      <text>
        <r>
          <rPr>
            <b/>
            <sz val="11"/>
            <color indexed="81"/>
            <rFont val="Vandra"/>
          </rPr>
          <t>Delivery date reduced by 5 weeks per Olivier from 37 to 32 wks per E-mail dated Aug-15-25</t>
        </r>
      </text>
    </comment>
    <comment ref="L212" authorId="0" shapeId="0" xr:uid="{7C634AFB-C62B-4267-B10C-613400033190}">
      <text>
        <r>
          <rPr>
            <b/>
            <sz val="11"/>
            <color indexed="81"/>
            <rFont val="Vandra"/>
          </rPr>
          <t>AS of Jan-8-2026- Parts completed but still waiting to send for B/O, waiting to  gather additional parts</t>
        </r>
      </text>
    </comment>
    <comment ref="P212" authorId="0" shapeId="0" xr:uid="{E8FB0117-54FA-42FC-BDEB-35D555EC27DC}">
      <text>
        <r>
          <rPr>
            <b/>
            <sz val="12"/>
            <color indexed="81"/>
            <rFont val="Vandra"/>
          </rPr>
          <t>PO Date stated Jan-13-26, but e-mail received stating parts req'd rush.  Spoke to Gus on Nov-19-25 stating that Parts ready for B/O and can be delivered by Dec-9-25</t>
        </r>
      </text>
    </comment>
    <comment ref="E214" authorId="0" shapeId="0" xr:uid="{9A3B9278-5344-4B97-9677-7BB74B0584D1}">
      <text>
        <r>
          <rPr>
            <b/>
            <sz val="11"/>
            <color indexed="81"/>
            <rFont val="Vandra"/>
          </rPr>
          <t>As per Scope of Work- Do not fabricate  BOM item # 33 per release # RT-ET-07586</t>
        </r>
      </text>
    </comment>
    <comment ref="L214" authorId="0" shapeId="0" xr:uid="{7BEEB705-2281-4AEE-8375-7C771E0ADF32}">
      <text>
        <r>
          <rPr>
            <b/>
            <sz val="11"/>
            <color indexed="81"/>
            <rFont val="Vandra"/>
          </rPr>
          <t>Qinshan- Sept-4-25- Sam to print Dwgs for me per Steve request</t>
        </r>
      </text>
    </comment>
    <comment ref="P214" authorId="0" shapeId="0" xr:uid="{E02AFFCD-7688-4BA6-B6C5-EF2D2E7F6826}">
      <text>
        <r>
          <rPr>
            <b/>
            <sz val="11"/>
            <color indexed="81"/>
            <rFont val="Vandra"/>
          </rPr>
          <t>Sept-15-25-  Date Asked by CANDU from Mar-16-26 to FEB-24-26- no can do</t>
        </r>
      </text>
    </comment>
    <comment ref="P215" authorId="0" shapeId="0" xr:uid="{55BCBE4D-A5BD-48D5-A5F3-8888F5B49105}">
      <text>
        <r>
          <rPr>
            <b/>
            <sz val="11"/>
            <color indexed="81"/>
            <rFont val="Vandra"/>
          </rPr>
          <t>Sept-15-25-  Date Asked by CANDU from Mar-16-27 to FEB-24-27</t>
        </r>
      </text>
    </comment>
    <comment ref="P216" authorId="0" shapeId="0" xr:uid="{855AD192-0778-4BE2-86EF-5CEBBF3D89C3}">
      <text>
        <r>
          <rPr>
            <b/>
            <sz val="11"/>
            <color indexed="81"/>
            <rFont val="Vandra"/>
          </rPr>
          <t>Sept-15-25-  Date Asked by CANDU from Mar-16-27 to FEB-24-27</t>
        </r>
      </text>
    </comment>
    <comment ref="P217" authorId="0" shapeId="0" xr:uid="{E207080E-B159-4E47-AF3D-7B00BDB66F74}">
      <text>
        <r>
          <rPr>
            <b/>
            <sz val="11"/>
            <color indexed="81"/>
            <rFont val="Vandra"/>
          </rPr>
          <t>Sept-15-25-  Date Asked by CANDU from Mar-16-27 to FEB-24-27</t>
        </r>
      </text>
    </comment>
    <comment ref="P218" authorId="0" shapeId="0" xr:uid="{442BB3E5-722A-44CF-98AE-94B3EED88389}">
      <text>
        <r>
          <rPr>
            <b/>
            <sz val="11"/>
            <color indexed="81"/>
            <rFont val="Vandra"/>
          </rPr>
          <t>Sept-15-25-  Date Asked by CANDU from Mar-16-27 to FEB-24-27</t>
        </r>
      </text>
    </comment>
    <comment ref="E219" authorId="0" shapeId="0" xr:uid="{3CBDE7CF-C4DC-4997-9744-ED22555829C1}">
      <text>
        <r>
          <rPr>
            <b/>
            <sz val="11"/>
            <color indexed="81"/>
            <rFont val="Vandra"/>
          </rPr>
          <t>AS per Scope of Work - DO NOT Quote /Fab the following items :
BOM it #16-16" lift Rig  # RT-ET-07654
BOM It# 17- PT Scribing Tool # RT-ET-07591
BOM It# 19- Roller Support # RT-ET-07669</t>
        </r>
      </text>
    </comment>
    <comment ref="P219" authorId="0" shapeId="0" xr:uid="{1CBE0ADC-25B1-4B60-9EE1-CECADA3D4545}">
      <text>
        <r>
          <rPr>
            <b/>
            <sz val="11"/>
            <color indexed="81"/>
            <rFont val="Vandra"/>
          </rPr>
          <t>Sept-15-25-  Date Asked by CANDU from Mar-16-27 to FEB-24-27</t>
        </r>
      </text>
    </comment>
    <comment ref="E220" authorId="0" shapeId="0" xr:uid="{CF8739F9-B949-4DC2-914C-ADE394C74913}">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20" authorId="0" shapeId="0" xr:uid="{D122DB04-28C7-4BA3-8B38-CEE95370F48C}">
      <text/>
    </comment>
    <comment ref="P220" authorId="0" shapeId="0" xr:uid="{666E4168-E614-4278-86B6-5E12E0E70E3B}">
      <text>
        <r>
          <rPr>
            <b/>
            <sz val="11"/>
            <color indexed="81"/>
            <rFont val="Vandra"/>
          </rPr>
          <t>Sept-15-25-  Date Asked by CANDU from Mar-16-27 to FEB-24-27</t>
        </r>
      </text>
    </comment>
    <comment ref="E221" authorId="0" shapeId="0" xr:uid="{6DB03C49-34ED-4144-A52A-7EBD8AED27A9}">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21" authorId="0" shapeId="0" xr:uid="{9B82B137-E8E1-4CB0-BFEF-E9C7D33CCDD9}">
      <text>
        <r>
          <rPr>
            <b/>
            <sz val="11"/>
            <color indexed="81"/>
            <rFont val="Vandra"/>
          </rPr>
          <t>Sept-15-25-  Date Asked by CANDU from Mar-16-27 to FEB-24-27</t>
        </r>
      </text>
    </comment>
    <comment ref="P222" authorId="0" shapeId="0" xr:uid="{42292D34-4AE5-45CB-8B62-29BEA8525153}">
      <text>
        <r>
          <rPr>
            <b/>
            <sz val="11"/>
            <color indexed="81"/>
            <rFont val="Vandra"/>
          </rPr>
          <t>Sept-15-25-  Date Asked by CANDU from Mar-16-27 to FEB-24-27</t>
        </r>
      </text>
    </comment>
    <comment ref="P223" authorId="0" shapeId="0" xr:uid="{6AFFCC00-5206-4D42-A7F8-2AD08A0CDB07}">
      <text>
        <r>
          <rPr>
            <b/>
            <sz val="11"/>
            <color indexed="81"/>
            <rFont val="Vandra"/>
          </rPr>
          <t>Sept-15-25-  Date Asked by CANDU from Mar-16-27 to FEB-24-27</t>
        </r>
      </text>
    </comment>
    <comment ref="P224" authorId="0" shapeId="0" xr:uid="{7AFDFE5B-0195-4369-9215-9C17B8E28CD9}">
      <text>
        <r>
          <rPr>
            <b/>
            <sz val="11"/>
            <color indexed="81"/>
            <rFont val="Vandra"/>
          </rPr>
          <t>Sept-15-25-  Date Asked by CANDU from Mar-16-27 to FEB-24-27</t>
        </r>
      </text>
    </comment>
    <comment ref="P225" authorId="0" shapeId="0" xr:uid="{E64D7C43-94F2-43F5-9782-528FBCC9BE7D}">
      <text>
        <r>
          <rPr>
            <b/>
            <sz val="11"/>
            <color indexed="81"/>
            <rFont val="Vandra"/>
          </rPr>
          <t>Sept-15-25-  Date Asked by CANDU from Mar-16-27 to FEB-24-27</t>
        </r>
      </text>
    </comment>
    <comment ref="P226" authorId="0" shapeId="0" xr:uid="{5310D129-FEA0-4562-90DF-E6BBDF1836E5}">
      <text>
        <r>
          <rPr>
            <b/>
            <sz val="11"/>
            <color indexed="81"/>
            <rFont val="Vandra"/>
          </rPr>
          <t>Sept-15-25-  Date Asked by CANDU from Mar-16-27 to FEB-24-27</t>
        </r>
      </text>
    </comment>
    <comment ref="P227" authorId="0" shapeId="0" xr:uid="{C0E3D0D0-0816-4EB0-A388-BA3E45012FF4}">
      <text>
        <r>
          <rPr>
            <b/>
            <sz val="11"/>
            <color indexed="81"/>
            <rFont val="Vandra"/>
          </rPr>
          <t>Sept-15-25-  Date Asked by CANDU from Mar-16-27 to FEB-24-27</t>
        </r>
      </text>
    </comment>
    <comment ref="L228" authorId="0" shapeId="0" xr:uid="{17F2E931-746B-4F1F-A7A0-88ABA3C97A5A}">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28" authorId="0" shapeId="0" xr:uid="{AE1B37FC-2B78-47E6-8D2C-9D993B085DB4}">
      <text>
        <r>
          <rPr>
            <b/>
            <sz val="11"/>
            <color indexed="81"/>
            <rFont val="Vandra"/>
          </rPr>
          <t>Delivery based on the 25 Weeks quoted on LP-251127A</t>
        </r>
      </text>
    </comment>
    <comment ref="H231" authorId="0" shapeId="0" xr:uid="{E28E5924-88D8-4D91-AAF7-9B2417E0F3BB}">
      <text>
        <r>
          <rPr>
            <b/>
            <sz val="11"/>
            <color indexed="81"/>
            <rFont val="Vandra"/>
          </rPr>
          <t>Entered order on Sept-9-25 and signed acceptance Sept-9-25  so busy submitted only submitted dwgs on Sept-22-25</t>
        </r>
      </text>
    </comment>
    <comment ref="P231" authorId="0" shapeId="0" xr:uid="{773C43DA-6DF3-4458-A92E-7FB75CD47918}">
      <text>
        <r>
          <rPr>
            <b/>
            <sz val="11"/>
            <color indexed="81"/>
            <rFont val="Vandra"/>
          </rPr>
          <t>e-mail sent sept 15-25-26  requesting new revised Date.
Changed from May-17-26</t>
        </r>
      </text>
    </comment>
    <comment ref="H232" authorId="0" shapeId="0" xr:uid="{42FA7F29-690B-4B10-9776-B3F6ED3EE6D7}">
      <text>
        <r>
          <rPr>
            <b/>
            <sz val="11"/>
            <color indexed="81"/>
            <rFont val="Vandra"/>
          </rPr>
          <t>Entered order on Sept-9-25 and signed acceptance Sept-9-25  so busy submitted only submitted dwgs on Sept-22-25</t>
        </r>
      </text>
    </comment>
    <comment ref="P232" authorId="0" shapeId="0" xr:uid="{F08B606B-1857-467E-AE62-B7CC6878591C}">
      <text>
        <r>
          <rPr>
            <b/>
            <sz val="11"/>
            <color indexed="81"/>
            <rFont val="Vandra"/>
          </rPr>
          <t>e-mail sent sept 15-25-26  requesting new revised Date.
Changed from May-17-26</t>
        </r>
      </text>
    </comment>
    <comment ref="H233" authorId="0" shapeId="0" xr:uid="{F1F80FA3-99FE-4803-9876-027DE1770911}">
      <text>
        <r>
          <rPr>
            <b/>
            <sz val="11"/>
            <color indexed="81"/>
            <rFont val="Vandra"/>
          </rPr>
          <t>Entered order on Sept-9-25 and signed acceptance Sept-9-25  so busy submitted only submitted dwgs on Sept-22-25</t>
        </r>
      </text>
    </comment>
    <comment ref="P233" authorId="0" shapeId="0" xr:uid="{4BCD1376-F6AE-4F3B-9534-46632147F0AD}">
      <text>
        <r>
          <rPr>
            <b/>
            <sz val="11"/>
            <color indexed="81"/>
            <rFont val="Vandra"/>
          </rPr>
          <t>e-mail sent sept 15-25-26  requesting new revised Date.
Changed from May-17-26</t>
        </r>
      </text>
    </comment>
    <comment ref="H234" authorId="0" shapeId="0" xr:uid="{3188F138-D337-485A-8CAA-A21C985275A0}">
      <text>
        <r>
          <rPr>
            <b/>
            <sz val="11"/>
            <color indexed="81"/>
            <rFont val="Vandra"/>
          </rPr>
          <t>Entered order on Sept-9-25 and signed acceptance Sept-9-25  so busy submitted only submitted dwgs on Sept-22-25</t>
        </r>
      </text>
    </comment>
    <comment ref="P234" authorId="0" shapeId="0" xr:uid="{9BC939A0-2156-4A31-AAFB-F1816A41717B}">
      <text>
        <r>
          <rPr>
            <b/>
            <sz val="11"/>
            <color indexed="81"/>
            <rFont val="Vandra"/>
          </rPr>
          <t>e-mail sent sept 15-25-26  requesting new revised Date.
Changed from May-17-26</t>
        </r>
      </text>
    </comment>
    <comment ref="H235" authorId="0" shapeId="0" xr:uid="{A7D9585A-9EF9-4077-A96F-DEFA961E817C}">
      <text>
        <r>
          <rPr>
            <b/>
            <sz val="11"/>
            <color indexed="81"/>
            <rFont val="Vandra"/>
          </rPr>
          <t>Entered order on Sept-9-25 and signed acceptance Sept-9-25  so busy submitted only submitted dwgs on Sept-22-25</t>
        </r>
      </text>
    </comment>
    <comment ref="P235" authorId="0" shapeId="0" xr:uid="{D8EE5D58-2A97-4A49-8EFA-D4630B823FDB}">
      <text>
        <r>
          <rPr>
            <b/>
            <sz val="11"/>
            <color indexed="81"/>
            <rFont val="Vandra"/>
          </rPr>
          <t>e-mail sent sept 15-25-26  requesting new revised Date.
Changed from May-17-26</t>
        </r>
      </text>
    </comment>
    <comment ref="H236" authorId="0" shapeId="0" xr:uid="{F97204BA-4E48-40D5-9C8C-6A6CB58E8FD8}">
      <text>
        <r>
          <rPr>
            <b/>
            <sz val="11"/>
            <color indexed="81"/>
            <rFont val="Vandra"/>
          </rPr>
          <t>Entered order on Sept-9-25 and signed acceptance Sept-9-25  so busy submitted only submitted dwgs on Sept-22-25</t>
        </r>
      </text>
    </comment>
    <comment ref="P236" authorId="0" shapeId="0" xr:uid="{AB8F71D0-3F36-4B0D-B798-AD4920333916}">
      <text>
        <r>
          <rPr>
            <b/>
            <sz val="11"/>
            <color indexed="81"/>
            <rFont val="Vandra"/>
          </rPr>
          <t>e-mail sent sept 15-25-26  requesting new revised Date.
Changed from May-17-26</t>
        </r>
      </text>
    </comment>
    <comment ref="H237" authorId="0" shapeId="0" xr:uid="{85D2F9EF-C072-4234-B2A5-9765B14E40AE}">
      <text>
        <r>
          <rPr>
            <b/>
            <sz val="11"/>
            <color indexed="81"/>
            <rFont val="Vandra"/>
          </rPr>
          <t>Entered order on Sept-9-25 and signed acceptance Sept-9-25  so busy submitted only submitted dwgs on Sept-22-25</t>
        </r>
      </text>
    </comment>
    <comment ref="P237" authorId="0" shapeId="0" xr:uid="{5CCAF618-C610-4297-9D2D-1FEF1015042F}">
      <text>
        <r>
          <rPr>
            <b/>
            <sz val="11"/>
            <color indexed="81"/>
            <rFont val="Vandra"/>
          </rPr>
          <t>e-mail sent sept 15-25-26  requesting new revised Date.
Changed from May-17-26</t>
        </r>
      </text>
    </comment>
    <comment ref="H238" authorId="0" shapeId="0" xr:uid="{3ACABA1A-B02B-4B32-BE46-4E28B87BAB35}">
      <text>
        <r>
          <rPr>
            <b/>
            <sz val="11"/>
            <color indexed="81"/>
            <rFont val="Vandra"/>
          </rPr>
          <t>Entered order on Sept-9-25 and signed acceptance Sept-9-25  so busy submitted only submitted dwgs on Sept-22-25</t>
        </r>
      </text>
    </comment>
    <comment ref="P238" authorId="0" shapeId="0" xr:uid="{7CE7020A-DCBB-4F00-8C1F-5122A6E988C9}">
      <text>
        <r>
          <rPr>
            <b/>
            <sz val="11"/>
            <color indexed="81"/>
            <rFont val="Vandra"/>
          </rPr>
          <t>e-mail sent sept 15-25-26  requesting new revised Date.
Changed from May-17-26</t>
        </r>
      </text>
    </comment>
    <comment ref="H239" authorId="0" shapeId="0" xr:uid="{3B20DBC8-50AC-45F5-B0B2-18B7D90D32BB}">
      <text>
        <r>
          <rPr>
            <b/>
            <sz val="11"/>
            <color indexed="81"/>
            <rFont val="Vandra"/>
          </rPr>
          <t>Entered order on Sept-9-25 and signed acceptance Sept-9-25  so busy submitted only submitted dwgs on Sept-22-25</t>
        </r>
      </text>
    </comment>
    <comment ref="P239" authorId="0" shapeId="0" xr:uid="{B0D06A8F-AA1E-4ECE-BDA0-EC4548BEB175}">
      <text>
        <r>
          <rPr>
            <b/>
            <sz val="11"/>
            <color indexed="81"/>
            <rFont val="Vandra"/>
          </rPr>
          <t>e-mail sent sept 15-25-26  requesting new revised Date.
Changed from May-17-26</t>
        </r>
      </text>
    </comment>
    <comment ref="H240" authorId="0" shapeId="0" xr:uid="{25307404-09C7-4AE9-98C4-1CB88D4C7A07}">
      <text>
        <r>
          <rPr>
            <b/>
            <sz val="11"/>
            <color indexed="81"/>
            <rFont val="Vandra"/>
          </rPr>
          <t>Entered order on Sept-9-25 and signed acceptance Sept-9-25  so busy submitted only submitted dwgs on Sept-22-25</t>
        </r>
      </text>
    </comment>
    <comment ref="L243" authorId="0" shapeId="0" xr:uid="{BA75E2C2-A6F9-4231-830D-89E7E1F792FB}">
      <text>
        <r>
          <rPr>
            <b/>
            <sz val="11"/>
            <color indexed="81"/>
            <rFont val="Vandra"/>
          </rPr>
          <t>Herlette Entered- Was off</t>
        </r>
      </text>
    </comment>
    <comment ref="L244" authorId="0" shapeId="0" xr:uid="{468D6B66-BD02-4C99-85FF-B1E1C022E031}">
      <text>
        <r>
          <rPr>
            <b/>
            <sz val="11"/>
            <color indexed="81"/>
            <rFont val="Vandra"/>
          </rPr>
          <t>Herlette Entered- Was off</t>
        </r>
      </text>
    </comment>
    <comment ref="L245" authorId="0" shapeId="0" xr:uid="{D7843E00-9301-4278-AAE0-9AC1C86DE218}">
      <text>
        <r>
          <rPr>
            <b/>
            <sz val="11"/>
            <color indexed="81"/>
            <rFont val="Vandra"/>
          </rPr>
          <t>Herlette Entered- Was off</t>
        </r>
      </text>
    </comment>
    <comment ref="L246" authorId="0" shapeId="0" xr:uid="{6C9AE0DF-8E10-46B1-B15E-0FFF5B8F7E57}">
      <text>
        <r>
          <rPr>
            <b/>
            <sz val="11"/>
            <color indexed="81"/>
            <rFont val="Vandra"/>
          </rPr>
          <t>Herlette Entered- Was off</t>
        </r>
      </text>
    </comment>
    <comment ref="L247" authorId="0" shapeId="0" xr:uid="{A5D06201-3F6E-42B1-83CC-305C93A8AAF4}">
      <text>
        <r>
          <rPr>
            <b/>
            <sz val="11"/>
            <color indexed="81"/>
            <rFont val="Vandra"/>
          </rPr>
          <t>Herlette Entered- Was off</t>
        </r>
      </text>
    </comment>
    <comment ref="L248" authorId="0" shapeId="0" xr:uid="{569829AC-7D34-46A8-8AB9-D162F7AAC41F}">
      <text>
        <r>
          <rPr>
            <b/>
            <sz val="11"/>
            <color indexed="81"/>
            <rFont val="Vandra"/>
          </rPr>
          <t>Herlette Entered- Was off</t>
        </r>
      </text>
    </comment>
    <comment ref="P254" authorId="0" shapeId="0" xr:uid="{0523156B-778E-428C-95E8-B3E22D9BF607}">
      <text>
        <r>
          <rPr>
            <b/>
            <sz val="11"/>
            <color indexed="81"/>
            <rFont val="Vandra"/>
          </rPr>
          <t xml:space="preserve">Original PO Date was Feb-5-25, Steve, Olivier &amp; Gus - Pushed out to Feb-23-26
</t>
        </r>
      </text>
    </comment>
    <comment ref="P255" authorId="0" shapeId="0" xr:uid="{CE37D213-2D18-4435-B263-B806C5711733}">
      <text>
        <r>
          <rPr>
            <b/>
            <sz val="11"/>
            <color indexed="81"/>
            <rFont val="Vandra"/>
          </rPr>
          <t xml:space="preserve">Original PO Date was Feb-5-25, Steve, Olivier &amp; Gus - Pushed out to Feb-26-25
</t>
        </r>
      </text>
    </comment>
    <comment ref="P256" authorId="0" shapeId="0" xr:uid="{79A40537-4F1E-4F50-A6A7-2C232F237E25}">
      <text>
        <r>
          <rPr>
            <b/>
            <sz val="11"/>
            <color indexed="81"/>
            <rFont val="Vandra"/>
          </rPr>
          <t xml:space="preserve">Original PO Date was Feb-5-25, Steve, Olivier &amp; Gus - Pushed out to Feb-26-25
</t>
        </r>
      </text>
    </comment>
    <comment ref="P257" authorId="0" shapeId="0" xr:uid="{71BBF192-0767-4AFD-9042-515C0F1FDFFA}">
      <text>
        <r>
          <rPr>
            <b/>
            <sz val="11"/>
            <color indexed="81"/>
            <rFont val="Vandra"/>
          </rPr>
          <t xml:space="preserve">Original PO Date was Feb-5-25, Steve, Olivier &amp; Gus - Pushed out to Feb-26-25
</t>
        </r>
      </text>
    </comment>
    <comment ref="P258" authorId="0" shapeId="0" xr:uid="{D5BB1080-FE1B-4B68-BBC2-089BCFC18E5E}">
      <text>
        <r>
          <rPr>
            <b/>
            <sz val="11"/>
            <color indexed="81"/>
            <rFont val="Vandra"/>
          </rPr>
          <t xml:space="preserve">Original PO Date was Feb-5-25, Steve, Olivier &amp; Gus - Pushed out to Feb-26-25
</t>
        </r>
      </text>
    </comment>
    <comment ref="P259" authorId="0" shapeId="0" xr:uid="{CDD32538-CE84-4A07-85F1-18EED9B9CF0B}">
      <text>
        <r>
          <rPr>
            <b/>
            <sz val="11"/>
            <color indexed="81"/>
            <rFont val="Vandra"/>
          </rPr>
          <t xml:space="preserve">Original PO Date was Feb-5-25, Steve, Olivier &amp; Gus - Pushed out to Feb-26-25
</t>
        </r>
      </text>
    </comment>
    <comment ref="P260" authorId="0" shapeId="0" xr:uid="{9D7BC25E-FE60-44DD-948F-0E7160BFF4E1}">
      <text>
        <r>
          <rPr>
            <b/>
            <sz val="11"/>
            <color indexed="81"/>
            <rFont val="Vandra"/>
          </rPr>
          <t xml:space="preserve">Original PO Date was Feb-5-25, Steve, Olivier &amp; Gus - Pushed out to Feb-26-25
</t>
        </r>
      </text>
    </comment>
    <comment ref="P262" authorId="0" shapeId="0" xr:uid="{FD8D39A4-16F8-45C5-BB7A-D0A29F101C91}">
      <text>
        <r>
          <rPr>
            <b/>
            <sz val="11"/>
            <color indexed="81"/>
            <rFont val="Vandra"/>
          </rPr>
          <t>Original PO Date was Jan-30-26, but Steve, Olivier &amp; Gus moved it to Feb-27-26</t>
        </r>
      </text>
    </comment>
    <comment ref="P263" authorId="0" shapeId="0" xr:uid="{EC338015-999E-4408-83D8-653B1AF02BE8}">
      <text>
        <r>
          <rPr>
            <b/>
            <sz val="11"/>
            <color indexed="81"/>
            <rFont val="Vandra"/>
          </rPr>
          <t>Original PO Date was Jan-30-26, but Steve, Olivier &amp; Gus moved it to Feb-27-26</t>
        </r>
      </text>
    </comment>
    <comment ref="P264" authorId="0" shapeId="0" xr:uid="{919E889A-1D30-4F06-AF9A-9FF9F6322B9E}">
      <text>
        <r>
          <rPr>
            <b/>
            <sz val="11"/>
            <color indexed="81"/>
            <rFont val="Vandra"/>
          </rPr>
          <t>Original PO Date was Jan-30-26, but Steve, Olivier &amp; Gus moved it to Feb-27-26</t>
        </r>
      </text>
    </comment>
    <comment ref="L265" authorId="0" shapeId="0" xr:uid="{5A421F56-1E72-48B9-AE36-D04F927229FB}">
      <text>
        <r>
          <rPr>
            <b/>
            <sz val="11"/>
            <color indexed="81"/>
            <rFont val="Vandra"/>
          </rPr>
          <t>Quote Submitted Nov-27-25 for X piece of Tool EF Tool Rack-  RT-88000-0300-000-1-GA-E  LP-251127- recvd Approval to proceed on Dec-3-2025 @ 10:34</t>
        </r>
      </text>
    </comment>
    <comment ref="E273" authorId="0" shapeId="0" xr:uid="{1FE6AFDB-A7D4-42E8-BE82-F1E2AD82F4EA}">
      <text>
        <r>
          <rPr>
            <b/>
            <sz val="11"/>
            <color indexed="81"/>
            <rFont val="Vandra"/>
          </rPr>
          <t>Jan-6-26- e-mail Lifting Device - Paint Safety yellow</t>
        </r>
      </text>
    </comment>
    <comment ref="L273" authorId="0" shapeId="0" xr:uid="{D3CDBDE1-4B75-4E82-8A29-0CEBAD9C7017}">
      <text>
        <r>
          <rPr>
            <b/>
            <sz val="11"/>
            <color indexed="81"/>
            <rFont val="Vandra"/>
          </rPr>
          <t>ISO with supplementary Clauses
Needs Source Inspectionn</t>
        </r>
      </text>
    </comment>
    <comment ref="P273" authorId="0" shapeId="0" xr:uid="{0A212C2A-459C-44FA-821D-B3121BBE1C96}">
      <text>
        <r>
          <rPr>
            <b/>
            <sz val="11"/>
            <color indexed="81"/>
            <rFont val="Vandra"/>
          </rPr>
          <t>Original Delivery : Jan-19-26, but changed to read Feb-13-26-  Accepted vial e-mail Oct-3-25 per Sanchia</t>
        </r>
      </text>
    </comment>
    <comment ref="E274" authorId="0" shapeId="0" xr:uid="{A5F020ED-EA37-456F-891D-230999B3EEDD}">
      <text>
        <r>
          <rPr>
            <b/>
            <sz val="11"/>
            <color indexed="81"/>
            <rFont val="Vandra"/>
          </rPr>
          <t>Jan-6-26- e-mail Lifting Device - Paint Safety yellow</t>
        </r>
      </text>
    </comment>
    <comment ref="L274" authorId="0" shapeId="0" xr:uid="{9AD2ED07-E71E-416C-808B-4B51E11C55A3}">
      <text>
        <r>
          <rPr>
            <b/>
            <sz val="11"/>
            <color indexed="81"/>
            <rFont val="Vandra"/>
          </rPr>
          <t>ISO with supplementary Clauses
Needs Source Inspectionn</t>
        </r>
      </text>
    </comment>
    <comment ref="E275" authorId="0" shapeId="0" xr:uid="{6015CBFF-9AB4-44CF-B6A3-EF944F4CE5D3}">
      <text>
        <r>
          <rPr>
            <b/>
            <sz val="11"/>
            <color indexed="81"/>
            <rFont val="Vandra"/>
          </rPr>
          <t>Jan-6-26- e-mail Lifting Device - Paint Safety yellow</t>
        </r>
      </text>
    </comment>
    <comment ref="L275" authorId="0" shapeId="0" xr:uid="{F5C5A8C4-3617-453C-8B21-1496A08EB463}">
      <text>
        <r>
          <rPr>
            <b/>
            <sz val="11"/>
            <color indexed="81"/>
            <rFont val="Vandra"/>
          </rPr>
          <t>ISO with supplementary Clauses
Needs Source Inspectionn</t>
        </r>
      </text>
    </comment>
    <comment ref="E276" authorId="0" shapeId="0" xr:uid="{7293C1BB-05B7-43A4-B7A2-46744B360A3B}">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76" authorId="0" shapeId="0" xr:uid="{D4E4AF57-1D52-4B5E-BFF0-24042CC92C8E}">
      <text>
        <r>
          <rPr>
            <b/>
            <sz val="11"/>
            <color indexed="81"/>
            <rFont val="Vandra"/>
          </rPr>
          <t>ISO with supplementary Clauses
Needs Source Inspectionn</t>
        </r>
      </text>
    </comment>
    <comment ref="E277" authorId="0" shapeId="0" xr:uid="{F547C238-E1A0-4CCC-9393-D63B3A795A09}">
      <text>
        <r>
          <rPr>
            <b/>
            <sz val="11"/>
            <color indexed="81"/>
            <rFont val="Vandra"/>
          </rPr>
          <t>Jan-6-26- e-mail Lifting Device - Paint Safety yellow</t>
        </r>
      </text>
    </comment>
    <comment ref="L277" authorId="0" shapeId="0" xr:uid="{03EB82BB-A6DD-4390-9F5A-6565D0171866}">
      <text>
        <r>
          <rPr>
            <b/>
            <sz val="11"/>
            <color indexed="81"/>
            <rFont val="Vandra"/>
          </rPr>
          <t>ISO with supplementary Clauses
Needs Source Inspectionn</t>
        </r>
      </text>
    </comment>
    <comment ref="L283" authorId="0" shapeId="0" xr:uid="{403C85CB-9A97-43CB-963F-3B991D5173A9}">
      <text>
        <r>
          <rPr>
            <b/>
            <sz val="11"/>
            <color indexed="81"/>
            <rFont val="Vandra"/>
          </rPr>
          <t>Oct-4-25-  Send t-e-mail to Cindy- PO needs to be revised to add cost of QA Doc $ 2000 as per our quote</t>
        </r>
      </text>
    </comment>
    <comment ref="F285" authorId="0" shapeId="0" xr:uid="{94764D00-5323-468E-B52E-0CA48DC8003E}">
      <text>
        <r>
          <rPr>
            <b/>
            <sz val="11"/>
            <color indexed="81"/>
            <rFont val="Vandra"/>
          </rPr>
          <t xml:space="preserve">New Rev Recvd Oct-23-25
</t>
        </r>
      </text>
    </comment>
    <comment ref="Q285" authorId="0" shapeId="0" xr:uid="{865C40CE-74EC-4C3F-82A1-8142DAF23C51}">
      <text>
        <r>
          <rPr>
            <b/>
            <sz val="11"/>
            <color indexed="81"/>
            <rFont val="Vandra"/>
          </rPr>
          <t>Shipped Via Fedex # 888162467664  PU#
CPU614013460232</t>
        </r>
      </text>
    </comment>
    <comment ref="P289" authorId="0" shapeId="0" xr:uid="{3933982F-E121-4542-ABD2-E094FD21367C}">
      <text>
        <r>
          <rPr>
            <b/>
            <sz val="11"/>
            <color indexed="81"/>
            <rFont val="Vandra"/>
          </rPr>
          <t>AS per Olivier's e-miail Oct-9-25 dates will be changed to Jan-9-26 due to the Christmas Holdidays</t>
        </r>
      </text>
    </comment>
    <comment ref="F291" authorId="0" shapeId="0" xr:uid="{54D67C0A-912E-4EFC-A0B6-C81C28B0BE19}">
      <text>
        <r>
          <rPr>
            <b/>
            <sz val="11"/>
            <color indexed="81"/>
            <rFont val="Vandra"/>
          </rPr>
          <t>New rev A recvd Jan-14-26</t>
        </r>
      </text>
    </comment>
    <comment ref="P291" authorId="0" shapeId="0" xr:uid="{C2DA3B04-D4B9-47AD-8AEE-262ADF8AFE9B}">
      <text>
        <r>
          <rPr>
            <b/>
            <sz val="11"/>
            <color indexed="81"/>
            <rFont val="Vandra"/>
          </rPr>
          <t>AS per Olivier's e-miail Oct-9-25 dates will be changed to Jan-9-26 due to the Christmas Holdidays</t>
        </r>
      </text>
    </comment>
    <comment ref="Q295" authorId="0" shapeId="0" xr:uid="{E1E85EB4-729F-4605-93B6-3358A0B26A07}">
      <text>
        <r>
          <rPr>
            <b/>
            <sz val="11"/>
            <color indexed="81"/>
            <rFont val="Vandra"/>
          </rPr>
          <t>Shipped Via Fedex # 888162467664  PU#
CPU614013460232</t>
        </r>
      </text>
    </comment>
    <comment ref="P316" authorId="0" shapeId="0" xr:uid="{D0C0B322-7BF4-450E-B996-BAAE8C9F95E1}">
      <text>
        <r>
          <rPr>
            <b/>
            <sz val="11"/>
            <color indexed="81"/>
            <rFont val="Vandra"/>
          </rPr>
          <t>As per e-mail recvd Nov-22-25, ship this PO for Feb.1-25-  Was originally for Dec-19-25</t>
        </r>
      </text>
    </comment>
    <comment ref="L322" authorId="0" shapeId="0" xr:uid="{C9A58F26-3813-4D37-BE59-19A0E3BC7D9D}">
      <text>
        <r>
          <rPr>
            <b/>
            <sz val="11"/>
            <color indexed="81"/>
            <rFont val="Vandra"/>
          </rPr>
          <t xml:space="preserve">Rev.1 PO recve- Dec-23-25
</t>
        </r>
      </text>
    </comment>
    <comment ref="P322" authorId="0" shapeId="0" xr:uid="{E98C92B6-0EA1-42A7-816B-9C095F691E8C}">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B327" authorId="0" shapeId="0" xr:uid="{7C06C383-1723-46B8-BCEB-A94FB8CEF0B4}">
      <text>
        <r>
          <rPr>
            <b/>
            <sz val="11"/>
            <color indexed="81"/>
            <rFont val="Vandra"/>
          </rPr>
          <t>completed</t>
        </r>
      </text>
    </comment>
    <comment ref="L334" authorId="0" shapeId="0" xr:uid="{4823E6B9-AB3A-4525-B04E-EAEE43026104}">
      <text>
        <r>
          <rPr>
            <b/>
            <sz val="11"/>
            <color indexed="81"/>
            <rFont val="Vandra"/>
          </rPr>
          <t>TMR-2025-0090
Quality :: N299-4</t>
        </r>
      </text>
    </comment>
    <comment ref="L335" authorId="0" shapeId="0" xr:uid="{9794D6FC-932F-4BD5-89E4-466B37F9FC1F}">
      <text>
        <r>
          <rPr>
            <b/>
            <sz val="11"/>
            <color indexed="81"/>
            <rFont val="Vandra"/>
          </rPr>
          <t xml:space="preserve">Jan-8-26- Risa &amp; Gus said that this part was scrapped twice.  Being Remade- Pushed out delivery date to Jan-16-26
</t>
        </r>
      </text>
    </comment>
    <comment ref="L337" authorId="0" shapeId="0" xr:uid="{7C593810-5006-470A-B463-25CB4905B94E}">
      <text>
        <r>
          <rPr>
            <b/>
            <sz val="14"/>
            <color indexed="81"/>
            <rFont val="Vandra"/>
          </rPr>
          <t>Same as j# 72692-72708
AS program: Z299.4</t>
        </r>
      </text>
    </comment>
    <comment ref="L338" authorId="0" shapeId="0" xr:uid="{D836575F-4A3D-49D7-9A00-31F78DC2E9BF}">
      <text>
        <r>
          <rPr>
            <b/>
            <sz val="14"/>
            <color indexed="81"/>
            <rFont val="Vandra"/>
          </rPr>
          <t>Same as j# 72692-72708
AS program: Z299.4</t>
        </r>
      </text>
    </comment>
    <comment ref="L339" authorId="0" shapeId="0" xr:uid="{1CAF8716-C484-45B9-BCFD-45DF4C55665E}">
      <text>
        <r>
          <rPr>
            <b/>
            <sz val="14"/>
            <color indexed="81"/>
            <rFont val="Vandra"/>
          </rPr>
          <t>Same as j# 72692-72708
AS program: Z299.4</t>
        </r>
      </text>
    </comment>
    <comment ref="L340" authorId="0" shapeId="0" xr:uid="{D2929AFF-1592-4999-95A8-B7236ED8D48D}">
      <text>
        <r>
          <rPr>
            <b/>
            <sz val="14"/>
            <color indexed="81"/>
            <rFont val="Vandra"/>
          </rPr>
          <t>Same as j# 72692-72708
AS program: Z299.4</t>
        </r>
      </text>
    </comment>
    <comment ref="L341" authorId="0" shapeId="0" xr:uid="{46D47AEC-E5E9-41BB-8E58-32C5B0282DB6}">
      <text>
        <r>
          <rPr>
            <b/>
            <sz val="14"/>
            <color indexed="81"/>
            <rFont val="Vandra"/>
          </rPr>
          <t>Same as j# 72692-72708
AS program: Z299.4</t>
        </r>
      </text>
    </comment>
    <comment ref="L342" authorId="0" shapeId="0" xr:uid="{C60710AA-03D2-423A-9F1C-9BFAFA6A177B}">
      <text>
        <r>
          <rPr>
            <b/>
            <sz val="14"/>
            <color indexed="81"/>
            <rFont val="Vandra"/>
          </rPr>
          <t>Same as j# 72692-72708
AS program: Z299.4</t>
        </r>
      </text>
    </comment>
    <comment ref="L343" authorId="0" shapeId="0" xr:uid="{76662B4A-C1B0-425F-8773-3634D86E99B0}">
      <text>
        <r>
          <rPr>
            <b/>
            <sz val="14"/>
            <color indexed="81"/>
            <rFont val="Vandra"/>
          </rPr>
          <t>Same as j# 72692-72708
AS program: Z299.4</t>
        </r>
      </text>
    </comment>
    <comment ref="L344" authorId="0" shapeId="0" xr:uid="{7C71A0F2-A9BF-4F29-BAD5-F7ED23DE30BF}">
      <text>
        <r>
          <rPr>
            <b/>
            <sz val="14"/>
            <color indexed="81"/>
            <rFont val="Vandra"/>
          </rPr>
          <t>Same as j# 72692-72708
AS program: Z299.4</t>
        </r>
      </text>
    </comment>
    <comment ref="L345" authorId="0" shapeId="0" xr:uid="{AD646067-C88C-4E2F-8BB9-FFA954AD5FDB}">
      <text>
        <r>
          <rPr>
            <b/>
            <sz val="14"/>
            <color indexed="81"/>
            <rFont val="Vandra"/>
          </rPr>
          <t>Same as j# 72692-72708
AS program: Z299.4</t>
        </r>
      </text>
    </comment>
    <comment ref="L346" authorId="0" shapeId="0" xr:uid="{9834C1CD-BE60-41A2-A7E6-CFBFCD5AFA41}">
      <text>
        <r>
          <rPr>
            <b/>
            <sz val="14"/>
            <color indexed="81"/>
            <rFont val="Vandra"/>
          </rPr>
          <t>Same as j# 72692-72708
AS program: Z299.4</t>
        </r>
      </text>
    </comment>
    <comment ref="L347" authorId="0" shapeId="0" xr:uid="{D5DDE300-0748-47EA-AF8A-EF57C0AD3792}">
      <text>
        <r>
          <rPr>
            <b/>
            <sz val="14"/>
            <color indexed="81"/>
            <rFont val="Vandra"/>
          </rPr>
          <t>Same as j# 72692-72708
AS program: Z299.4</t>
        </r>
      </text>
    </comment>
    <comment ref="L348" authorId="0" shapeId="0" xr:uid="{A0A4827A-608B-46E2-ADD2-A024003D31BD}">
      <text>
        <r>
          <rPr>
            <b/>
            <sz val="14"/>
            <color indexed="81"/>
            <rFont val="Vandra"/>
          </rPr>
          <t>Same as j# 72692-72708
AS program: Z299.4</t>
        </r>
      </text>
    </comment>
    <comment ref="L349" authorId="0" shapeId="0" xr:uid="{EF4EBB4B-C862-414D-9865-13E19F0E408A}">
      <text>
        <r>
          <rPr>
            <b/>
            <sz val="14"/>
            <color indexed="81"/>
            <rFont val="Vandra"/>
          </rPr>
          <t>Same as j# 72692-72708
AS program: Z299.4</t>
        </r>
      </text>
    </comment>
    <comment ref="L350" authorId="0" shapeId="0" xr:uid="{43D2F456-0773-48BF-8B1E-319233F7769D}">
      <text>
        <r>
          <rPr>
            <b/>
            <sz val="14"/>
            <color indexed="81"/>
            <rFont val="Vandra"/>
          </rPr>
          <t>Same as j# 72692-72708
AS program: Z299.4</t>
        </r>
      </text>
    </comment>
    <comment ref="L351" authorId="0" shapeId="0" xr:uid="{083E993C-AEC6-4084-9B7B-B76FF4568E35}">
      <text>
        <r>
          <rPr>
            <b/>
            <sz val="14"/>
            <color indexed="81"/>
            <rFont val="Vandra"/>
          </rPr>
          <t>Same as j# 72692-72708
AS program: Z299.4</t>
        </r>
      </text>
    </comment>
    <comment ref="L352" authorId="0" shapeId="0" xr:uid="{50B2DDFF-AF0E-4204-8296-C26BD067022B}">
      <text>
        <r>
          <rPr>
            <b/>
            <sz val="14"/>
            <color indexed="81"/>
            <rFont val="Vandra"/>
          </rPr>
          <t>Same as j# 72692-72708
AS program: Z299.4</t>
        </r>
      </text>
    </comment>
    <comment ref="L353" authorId="0" shapeId="0" xr:uid="{C1FB272C-0720-4134-BC5A-EF59E353D818}">
      <text>
        <r>
          <rPr>
            <b/>
            <sz val="14"/>
            <color indexed="81"/>
            <rFont val="Vandra"/>
          </rPr>
          <t>Same as j# 72692-72708
AS program: Z299.4</t>
        </r>
      </text>
    </comment>
    <comment ref="P355" authorId="0" shapeId="0" xr:uid="{6415F20C-8DA7-45A2-B49C-35A774FEF380}">
      <text>
        <r>
          <rPr>
            <b/>
            <sz val="12"/>
            <color indexed="81"/>
            <rFont val="Vandra"/>
          </rPr>
          <t>Nov-14-25- Pushed out original req'd delivery from Feb-6-26 to Feb-13-26-  Confirmed so we cannot drop the ball</t>
        </r>
      </text>
    </comment>
    <comment ref="J356" authorId="0" shapeId="0" xr:uid="{02FE0A69-5440-4FA0-B6A4-EC93C4AF059C}">
      <text>
        <r>
          <rPr>
            <b/>
            <sz val="11"/>
            <color indexed="81"/>
            <rFont val="Vandra"/>
          </rPr>
          <t>Nov-15-25- Olivier said to make 10 +10 stock for upcoming Assy, since we're already making 700 pcs
save on cost</t>
        </r>
      </text>
    </comment>
    <comment ref="L358" authorId="0" shapeId="0" xr:uid="{91953370-740B-4746-8091-06A8915A8F9B}">
      <text>
        <r>
          <rPr>
            <b/>
            <sz val="12"/>
            <color indexed="81"/>
            <rFont val="Vandra"/>
          </rPr>
          <t>Nov-15-25- Rev.1 of PO recvd to add an extra cart- Delivery date pushed from Jan-6-26 to Jan-30-26 pending clarification of Caster / floor lock issue</t>
        </r>
      </text>
    </comment>
    <comment ref="L360" authorId="0" shapeId="0" xr:uid="{B676142A-A184-47B3-8885-92D20BA90128}">
      <text>
        <r>
          <rPr>
            <b/>
            <sz val="12"/>
            <color indexed="81"/>
            <rFont val="Vandra"/>
          </rPr>
          <t>Nov-15-25- Rev.1 of PO recvd to add an extra cart- Delivery date pushed from Jan-6-26 to Jan-30-26 pending clarification of Caster / floor lock issue</t>
        </r>
      </text>
    </comment>
    <comment ref="D362" authorId="0" shapeId="0" xr:uid="{F4F90C96-2147-4936-B1C6-565AE85A36EF}">
      <text>
        <r>
          <rPr>
            <sz val="12"/>
            <color indexed="81"/>
            <rFont val="Arial"/>
            <family val="2"/>
          </rPr>
          <t>12,000- pcs - shipped
4500- pcs   Shipped
1500-pcs  shipped
3000-pcs   shipped
4500-pcs  shipped
4500-pcs  shipped
6000- pcs shipped</t>
        </r>
      </text>
    </comment>
    <comment ref="M362" authorId="0" shapeId="0" xr:uid="{BE7760E4-2F59-49A2-B059-F9D8961C99A4}">
      <text>
        <r>
          <rPr>
            <b/>
            <sz val="12"/>
            <color indexed="81"/>
            <rFont val="Vandra"/>
          </rPr>
          <t>12,000  pcs    PS# 44837
4,500  pcs      PS#  44868
1500  pcs       PS#  44877
3000  pcs       PS# 44887
4500 pcs        PS# 44903
4500 pcs        PS# 44911
6000 pcs        PS# 44928</t>
        </r>
      </text>
    </comment>
    <comment ref="N362" authorId="0" shapeId="0" xr:uid="{79F34C5B-C833-4633-A8BC-4DA5293851B4}">
      <text>
        <r>
          <rPr>
            <b/>
            <sz val="12"/>
            <color indexed="81"/>
            <rFont val="Vandra"/>
          </rPr>
          <t>12,000 pcs
4500 pcs
3000 pcs
4500 pcs
4500 pcs
6000 pcs</t>
        </r>
      </text>
    </comment>
    <comment ref="O362" authorId="0" shapeId="0" xr:uid="{A1C1254F-BC8C-4322-8181-375C23B5A983}">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t>
        </r>
      </text>
    </comment>
    <comment ref="Q362" authorId="0" shapeId="0" xr:uid="{30F92399-CAB1-418F-98DA-23ACE396CE29}">
      <text>
        <r>
          <rPr>
            <b/>
            <sz val="12"/>
            <color indexed="81"/>
            <rFont val="Vandra"/>
          </rPr>
          <t>12.000-  pcs  - shipd  Nov-18-25
4500 pcs      - shipd   Dec-9-25
1500-pcs      - shipd   Dec-11-25
3000-pcs      -shipd   Dec-17-25
4500-pcs      -shipd   Jan-5-26
4500-pcs      -shipd   Jan-9-26
6000-pcs      -shipd   Jan-21-26</t>
        </r>
      </text>
    </comment>
    <comment ref="E366" authorId="0" shapeId="0" xr:uid="{B32A86AE-980A-4F75-BE2C-CD5C48BE2262}">
      <text>
        <r>
          <rPr>
            <b/>
            <sz val="11"/>
            <color indexed="81"/>
            <rFont val="Vandra"/>
          </rPr>
          <t xml:space="preserve">Sue Copied MP from previous Job 60046  &amp; 60045  &amp; Submitted
</t>
        </r>
      </text>
    </comment>
    <comment ref="P373" authorId="0" shapeId="0" xr:uid="{2A09ADC5-641F-471F-9B66-489D475D7B75}">
      <text>
        <r>
          <rPr>
            <b/>
            <sz val="11"/>
            <color indexed="81"/>
            <rFont val="Vandra"/>
          </rPr>
          <t>Delivered promised- Needs to be kept</t>
        </r>
      </text>
    </comment>
    <comment ref="P375" authorId="0" shapeId="0" xr:uid="{D337290E-9305-4B25-AB3C-67B1CFFFE783}">
      <text>
        <r>
          <rPr>
            <b/>
            <sz val="11"/>
            <color indexed="81"/>
            <rFont val="Vandra"/>
          </rPr>
          <t>Original PO Date was for Dec-19-25, but quoted 3.1/2-4 weeks and that falls for Jan-5-26.
PS# 44858 was made in error and showed as delivered.
It should have been J# 72960 that was shipped.</t>
        </r>
      </text>
    </comment>
    <comment ref="L385" authorId="0" shapeId="0" xr:uid="{86EA5645-93B7-41BF-ABE1-3C78F150873C}">
      <text>
        <r>
          <rPr>
            <b/>
            <sz val="11"/>
            <color indexed="81"/>
            <rFont val="Vandra"/>
          </rPr>
          <t>Dec-29-25- MITP Submitted - Approved Jan-15-26</t>
        </r>
      </text>
    </comment>
    <comment ref="P385" authorId="0" shapeId="0" xr:uid="{03EA2C68-A6BD-49EF-8654-799E24E3CCAD}">
      <text>
        <r>
          <rPr>
            <b/>
            <sz val="11"/>
            <color indexed="81"/>
            <rFont val="Vandra"/>
          </rPr>
          <t>PO States Feb-13-25-  Sent e-mail Dec-15-25 stating our Quote stated 8-9 weeks not including Holidays-  New Delivery Date
should be FEB-26-26</t>
        </r>
      </text>
    </comment>
    <comment ref="L386" authorId="0" shapeId="0" xr:uid="{546BED35-F40E-435A-8A99-DC5D97ED3D2E}">
      <text>
        <r>
          <rPr>
            <b/>
            <sz val="11"/>
            <color indexed="81"/>
            <rFont val="Vandra"/>
          </rPr>
          <t>Dec-29-25- MITP Submitted - Approved Jan-15-26</t>
        </r>
      </text>
    </comment>
    <comment ref="E387" authorId="0" shapeId="0" xr:uid="{0A8715EB-8879-43C3-B20D-2EDEF99720F9}">
      <text>
        <r>
          <rPr>
            <b/>
            <sz val="11"/>
            <color indexed="81"/>
            <rFont val="Vandra"/>
          </rPr>
          <t>Jan-26-26- MITP Approved</t>
        </r>
      </text>
    </comment>
    <comment ref="L387" authorId="0" shapeId="0" xr:uid="{0765F176-A951-47EE-8093-417A318980C4}">
      <text>
        <r>
          <rPr>
            <b/>
            <sz val="11"/>
            <color indexed="81"/>
            <rFont val="Vandra"/>
          </rPr>
          <t xml:space="preserve">Dec-29-25- MITP Submitted </t>
        </r>
      </text>
    </comment>
    <comment ref="E388" authorId="0" shapeId="0" xr:uid="{79372783-6093-4415-BD2D-DE314C65753E}">
      <text>
        <r>
          <rPr>
            <b/>
            <sz val="11"/>
            <color indexed="81"/>
            <rFont val="Vandra"/>
          </rPr>
          <t>Jan-26-26- MITP Approved</t>
        </r>
      </text>
    </comment>
    <comment ref="L388" authorId="0" shapeId="0" xr:uid="{F9372D9A-BA00-4F82-935B-0EEA6C14FD1C}">
      <text>
        <r>
          <rPr>
            <b/>
            <sz val="11"/>
            <color indexed="81"/>
            <rFont val="Vandra"/>
          </rPr>
          <t xml:space="preserve">Dec-29-25- MITP Submitted </t>
        </r>
      </text>
    </comment>
    <comment ref="E389" authorId="0" shapeId="0" xr:uid="{EDEAAB22-BFDC-4C42-8643-78AB26E9E06F}">
      <text>
        <r>
          <rPr>
            <b/>
            <sz val="11"/>
            <color indexed="81"/>
            <rFont val="Vandra"/>
          </rPr>
          <t>Jan-26-26- MITP Approved</t>
        </r>
      </text>
    </comment>
    <comment ref="L389" authorId="0" shapeId="0" xr:uid="{9FA1791B-15BA-4E7B-AB74-A9327A61BE62}">
      <text>
        <r>
          <rPr>
            <b/>
            <sz val="11"/>
            <color indexed="81"/>
            <rFont val="Vandra"/>
          </rPr>
          <t xml:space="preserve">Dec-29-25- MITP Submitted </t>
        </r>
      </text>
    </comment>
    <comment ref="E390" authorId="0" shapeId="0" xr:uid="{85B5231B-1FEB-4D8F-AE1E-67FF09FA012C}">
      <text>
        <r>
          <rPr>
            <b/>
            <sz val="11"/>
            <color indexed="81"/>
            <rFont val="Vandra"/>
          </rPr>
          <t>Jan-26-26- MITP Approved</t>
        </r>
      </text>
    </comment>
    <comment ref="L390" authorId="0" shapeId="0" xr:uid="{59E955A4-9649-4FE7-9874-2EE983A53577}">
      <text>
        <r>
          <rPr>
            <b/>
            <sz val="11"/>
            <color indexed="81"/>
            <rFont val="Vandra"/>
          </rPr>
          <t xml:space="preserve">Dec-29-25- MITP Submitted </t>
        </r>
      </text>
    </comment>
    <comment ref="E399" authorId="0" shapeId="0" xr:uid="{A07BDAB3-DBCF-4814-8896-7901FE551E88}">
      <text>
        <r>
          <rPr>
            <b/>
            <sz val="11"/>
            <color indexed="81"/>
            <rFont val="Vandra"/>
          </rPr>
          <t>Dec-29-25- I think Olivier will be ordering this from Hsun as well as J# 73024</t>
        </r>
      </text>
    </comment>
    <comment ref="L402" authorId="0" shapeId="0" xr:uid="{5571E663-BEFB-467F-9B25-C81B9F0A21B0}">
      <text>
        <r>
          <rPr>
            <b/>
            <sz val="11"/>
            <color indexed="81"/>
            <rFont val="Vandra"/>
          </rPr>
          <t>New Rev.2 PO recve Dec-23-2025 to add extra parts</t>
        </r>
      </text>
    </comment>
    <comment ref="L405" authorId="0" shapeId="0" xr:uid="{2B931DA5-FF25-4E69-846F-3CA6151180F8}">
      <text>
        <r>
          <rPr>
            <b/>
            <sz val="11"/>
            <color indexed="81"/>
            <rFont val="Vandra"/>
          </rPr>
          <t>New Rev.1- Recvd 12-24-25 to Add X pc
Previously made on J# 71869
Needs to Add $ 2500.00 for QA Documents</t>
        </r>
      </text>
    </comment>
    <comment ref="P405" authorId="0" shapeId="0" xr:uid="{0F2CEA09-37B7-43F4-AC0E-507F44E99829}">
      <text>
        <r>
          <rPr>
            <b/>
            <sz val="11"/>
            <color indexed="81"/>
            <rFont val="Vandra"/>
          </rPr>
          <t>Original Order was showing  Feb-20-26, but requested New Date of May--2026- Accepted Via e-mail Jan-15-2026</t>
        </r>
      </text>
    </comment>
    <comment ref="P407" authorId="0" shapeId="0" xr:uid="{2D5D2B72-FE3A-4696-90F5-82F3A687CE77}">
      <text>
        <r>
          <rPr>
            <b/>
            <sz val="11"/>
            <color indexed="81"/>
            <rFont val="Vandra"/>
          </rPr>
          <t>Dec-29-25- Requested date changed to Feb-20-25</t>
        </r>
      </text>
    </comment>
    <comment ref="P413" authorId="0" shapeId="0" xr:uid="{A21EB49D-C92A-4B7E-9FAF-8289AAAAB16F}">
      <text>
        <r>
          <rPr>
            <b/>
            <sz val="11"/>
            <color indexed="81"/>
            <rFont val="Vandra"/>
          </rPr>
          <t>Dec-29-25- Requested date changed to Feb-20-25</t>
        </r>
      </text>
    </comment>
    <comment ref="P415" authorId="0" shapeId="0" xr:uid="{96C0AA89-AB95-46B4-A581-7DFFEC697F16}">
      <text>
        <r>
          <rPr>
            <b/>
            <sz val="11"/>
            <color indexed="81"/>
            <rFont val="Vandra"/>
          </rPr>
          <t>Dec-29-25- Requested date changed to Feb-20-25</t>
        </r>
      </text>
    </comment>
    <comment ref="P417" authorId="0" shapeId="0" xr:uid="{3AA8ED55-BF44-4494-8129-7BD404F30D5A}">
      <text>
        <r>
          <rPr>
            <b/>
            <sz val="11"/>
            <color indexed="81"/>
            <rFont val="Vandra"/>
          </rPr>
          <t>Dec-29-25- Requested date changed to Feb-27-25
Jan-2-26- Date change Accepted</t>
        </r>
      </text>
    </comment>
    <comment ref="F419" authorId="0" shapeId="0" xr:uid="{D99A0B49-AEBD-4902-BE1D-BD7E41B4A107}">
      <text>
        <r>
          <rPr>
            <b/>
            <sz val="11"/>
            <color indexed="81"/>
            <rFont val="Vandra"/>
          </rPr>
          <t>Rev.B recvd on Jan-6-26</t>
        </r>
      </text>
    </comment>
    <comment ref="P425" authorId="0" shapeId="0" xr:uid="{22A91985-0259-4924-B92E-6A3FF5487814}">
      <text>
        <r>
          <rPr>
            <b/>
            <sz val="11"/>
            <color indexed="81"/>
            <rFont val="Vandra"/>
          </rPr>
          <t>Dec-29-25- Requested date changed to Feb-20-25</t>
        </r>
      </text>
    </comment>
    <comment ref="P427" authorId="0" shapeId="0" xr:uid="{9751B989-1AC1-4DF8-8A4F-D43BEEE9A2C7}">
      <text>
        <r>
          <rPr>
            <b/>
            <sz val="11"/>
            <color indexed="81"/>
            <rFont val="Vandra"/>
          </rPr>
          <t>Dec-29-25- Requested date changed to Feb-27-25</t>
        </r>
      </text>
    </comment>
    <comment ref="P429" authorId="0" shapeId="0" xr:uid="{3D6AD9DE-15BD-421E-A3EC-02C788B73D31}">
      <text>
        <r>
          <rPr>
            <b/>
            <sz val="11"/>
            <color indexed="81"/>
            <rFont val="Vandra"/>
          </rPr>
          <t>Dec-29-25- Requested date changed to Feb-27-25</t>
        </r>
      </text>
    </comment>
    <comment ref="E433" authorId="0" shapeId="0" xr:uid="{2B8C2CB0-2923-41A1-9372-DE94E846C2C8}">
      <text>
        <r>
          <rPr>
            <b/>
            <sz val="11"/>
            <color indexed="81"/>
            <rFont val="Vandra"/>
          </rPr>
          <t>Olivier will order from Vegas Fasteners MFG # 62436</t>
        </r>
      </text>
    </comment>
    <comment ref="L433" authorId="0" shapeId="0" xr:uid="{2D4B948E-409A-4164-882B-AC93E5E7E3F0}">
      <text>
        <r>
          <rPr>
            <b/>
            <sz val="11"/>
            <color indexed="81"/>
            <rFont val="Vandra"/>
          </rPr>
          <t>Pickering Project
Jan-5-26- Anu Requested Partial Shipment.</t>
        </r>
      </text>
    </comment>
    <comment ref="O433" authorId="0" shapeId="0" xr:uid="{F5ABF3B7-FCE5-4BC1-A1FB-4C649E5CECCA}">
      <text>
        <r>
          <rPr>
            <b/>
            <sz val="11"/>
            <color indexed="81"/>
            <rFont val="Vandra"/>
          </rPr>
          <t>1st Milestone 30%   Inv# 53181</t>
        </r>
      </text>
    </comment>
    <comment ref="P433" authorId="0" shapeId="0" xr:uid="{8CA75410-590B-42D9-A5A2-878B22990B1E}">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434" authorId="0" shapeId="0" xr:uid="{34968F08-188D-4B0F-ADFC-B929CF4CD14F}">
      <text>
        <r>
          <rPr>
            <b/>
            <sz val="11"/>
            <color indexed="81"/>
            <rFont val="Vandra"/>
          </rPr>
          <t xml:space="preserve">Olivier : ordering from Hsun Quote# 30121
</t>
        </r>
      </text>
    </comment>
    <comment ref="P434" authorId="0" shapeId="0" xr:uid="{E526D6A8-5436-4066-AC8A-F1D585CF25E9}">
      <text>
        <r>
          <rPr>
            <b/>
            <sz val="11"/>
            <color indexed="81"/>
            <rFont val="Vandra"/>
          </rPr>
          <t>Dec-29-25- Olivier will be ordering mat'l from US and China as per his e-mail to Sam.  I gave him the job numbers, and waiting for Confirmed delivery date before signing back order Acknowledgement</t>
        </r>
      </text>
    </comment>
    <comment ref="E435" authorId="0" shapeId="0" xr:uid="{157CD9EC-E712-4CEA-A8CE-98B3BDD7B813}">
      <text>
        <r>
          <rPr>
            <b/>
            <sz val="11"/>
            <color indexed="81"/>
            <rFont val="Vandra"/>
          </rPr>
          <t>Olivier : ordering from Hsun Quote# 30121</t>
        </r>
      </text>
    </comment>
    <comment ref="P435" authorId="0" shapeId="0" xr:uid="{A226F27C-E62D-4B93-9347-43A228CAACCB}">
      <text>
        <r>
          <rPr>
            <b/>
            <sz val="11"/>
            <color indexed="81"/>
            <rFont val="Vandra"/>
          </rPr>
          <t>Dec-29-25- Olivier will be ordering mat'l from US and China as per his e-mail to Sam.  I gave him the job numbers, and waiting for Confirmed delivery date before signing back order Acknowledgement</t>
        </r>
      </text>
    </comment>
    <comment ref="E436" authorId="0" shapeId="0" xr:uid="{E0FEB4FC-CC43-499B-9A89-A90CC7861AA7}">
      <text>
        <r>
          <rPr>
            <b/>
            <sz val="11"/>
            <color indexed="81"/>
            <rFont val="Vandra"/>
          </rPr>
          <t>Olivier : ordering from Hsun Quote# 30121</t>
        </r>
      </text>
    </comment>
    <comment ref="P436" authorId="0" shapeId="0" xr:uid="{88F4B250-E758-4AF8-AD50-E47088E32D8A}">
      <text>
        <r>
          <rPr>
            <b/>
            <sz val="11"/>
            <color indexed="81"/>
            <rFont val="Vandra"/>
          </rPr>
          <t>Dec-29-25- Olivier will be ordering mat'l from US and China as per his e-mail to Sam.  I gave him the job numbers, and waiting for Confirmed delivery date before signing back order Acknowledgement</t>
        </r>
      </text>
    </comment>
    <comment ref="E440" authorId="0" shapeId="0" xr:uid="{42CB80DD-924C-4611-8BC5-381E0079B1F8}">
      <text>
        <r>
          <rPr>
            <b/>
            <sz val="11"/>
            <color indexed="81"/>
            <rFont val="Vandra"/>
          </rPr>
          <t>MITP submitted Jan-6-26</t>
        </r>
      </text>
    </comment>
    <comment ref="E441" authorId="0" shapeId="0" xr:uid="{EC0D90B1-DE6C-4E0F-80DE-D04A76E491B4}">
      <text>
        <r>
          <rPr>
            <b/>
            <sz val="11"/>
            <color indexed="81"/>
            <rFont val="Vandra"/>
          </rPr>
          <t xml:space="preserve">MITP submitted Jan-6-26
</t>
        </r>
      </text>
    </comment>
    <comment ref="F441" authorId="0" shapeId="0" xr:uid="{8F97717D-3127-443E-B2ED-1E27E97C83FD}">
      <text>
        <r>
          <rPr>
            <b/>
            <sz val="11"/>
            <color indexed="81"/>
            <rFont val="Vandra"/>
          </rPr>
          <t>Jan-22-25-  New Rev. AC Dwg recvd</t>
        </r>
      </text>
    </comment>
    <comment ref="E456" authorId="0" shapeId="0" xr:uid="{DED07D18-37E8-42E7-B2BF-2151EE31D99F}">
      <text>
        <r>
          <rPr>
            <b/>
            <sz val="11"/>
            <color indexed="81"/>
            <rFont val="Vandra"/>
          </rPr>
          <t>Original Part # GD322-4150- Changed to 
GD322-0001-1-RFIX01 per e-mail recvd from Greg Bourcier Jan-14-26</t>
        </r>
      </text>
    </comment>
    <comment ref="J464" authorId="0" shapeId="0" xr:uid="{536E39AD-DE9A-4A70-B07D-276F8495E160}">
      <text>
        <r>
          <rPr>
            <b/>
            <sz val="11"/>
            <color indexed="81"/>
            <rFont val="Vandra"/>
          </rPr>
          <t>purchased from CAD Mirco- Ref Inv# 399243, 400771</t>
        </r>
      </text>
    </comment>
    <comment ref="K464" authorId="0" shapeId="0" xr:uid="{4AF920E8-0C74-40A1-A91B-B2A78670CD47}">
      <text>
        <r>
          <rPr>
            <b/>
            <sz val="11"/>
            <color indexed="81"/>
            <rFont val="Vandra"/>
          </rPr>
          <t xml:space="preserve">red is the cost fo Transportation
</t>
        </r>
      </text>
    </comment>
    <comment ref="L475" authorId="0" shapeId="0" xr:uid="{AEBA9794-2105-4491-8A8A-9174D7383A1F}">
      <text>
        <r>
          <rPr>
            <b/>
            <sz val="11"/>
            <color indexed="81"/>
            <rFont val="Vandra"/>
          </rPr>
          <t>REF Quote# LP-260108-R.1, OK to proceed per E-mail from Laila Jan-15-26</t>
        </r>
      </text>
    </comment>
    <comment ref="E477" authorId="0" shapeId="0" xr:uid="{E5CA66BA-EE8B-457D-8E8A-0C71F1329728}">
      <text>
        <r>
          <rPr>
            <b/>
            <sz val="11"/>
            <color indexed="81"/>
            <rFont val="Vandra"/>
          </rPr>
          <t>MITP Submit'd  Jan-23-26</t>
        </r>
      </text>
    </comment>
    <comment ref="L477" authorId="0" shapeId="0" xr:uid="{1D6DD5B5-E9AF-4C86-A78F-1FB52F988734}">
      <text>
        <r>
          <rPr>
            <b/>
            <sz val="11"/>
            <color indexed="81"/>
            <rFont val="Vandra"/>
          </rPr>
          <t>CAT "A" -MITP reqd</t>
        </r>
      </text>
    </comment>
    <comment ref="L487" authorId="0" shapeId="0" xr:uid="{8AB536EB-B3E2-4CF9-BEBA-51247CA7E86E}">
      <text>
        <r>
          <rPr>
            <b/>
            <sz val="11"/>
            <color indexed="81"/>
            <rFont val="Vandra"/>
          </rPr>
          <t>CAT B1- Filled out Contract Review check list for this order to try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<sst xmlns="http://schemas.openxmlformats.org/spreadsheetml/2006/main" count="2258" uniqueCount="1017">
  <si>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</si>
  <si>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</si>
  <si>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</si>
  <si>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</si>
  <si>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</si>
  <si>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</si>
  <si>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</si>
  <si>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</si>
  <si>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</si>
  <si>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</si>
  <si>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</si>
  <si>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</si>
  <si>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</si>
  <si>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</si>
  <si>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</si>
  <si>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</si>
  <si>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</si>
  <si>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</si>
  <si>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</si>
  <si>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</si>
  <si>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</si>
  <si>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</si>
  <si>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</si>
  <si>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</si>
  <si>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</si>
  <si>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</si>
  <si>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</si>
  <si>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</si>
  <si>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</si>
  <si>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</si>
  <si>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</si>
  <si>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</si>
  <si>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</si>
  <si>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</si>
  <si>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</si>
  <si>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</si>
  <si>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</si>
  <si>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</si>
  <si>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</si>
  <si>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</si>
  <si>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</si>
  <si>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</si>
  <si>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</si>
  <si>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</si>
  <si>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</si>
  <si>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</si>
  <si>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</si>
  <si>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</si>
  <si>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</si>
  <si>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</si>
  <si>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</si>
  <si>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</si>
  <si>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</si>
  <si>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</si>
  <si>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</si>
  <si>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</si>
  <si>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</si>
  <si>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</si>
  <si>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</si>
  <si>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</si>
  <si>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</si>
  <si>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</si>
  <si>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</si>
  <si>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</si>
  <si>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</si>
  <si>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</si>
  <si>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</si>
  <si>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</si>
  <si>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</si>
  <si>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</si>
  <si>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</si>
  <si>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</si>
  <si>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</si>
  <si>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</si>
  <si>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</si>
  <si>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</si>
  <si>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</si>
  <si>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</si>
  <si>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</si>
  <si>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</si>
  <si>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</si>
  <si>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</si>
  <si>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</si>
  <si>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</si>
  <si>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</si>
  <si>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</si>
  <si>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</si>
  <si>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</si>
  <si>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</si>
  <si>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</si>
  <si>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</si>
  <si>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</si>
  <si>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</si>
  <si>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</si>
  <si>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</si>
  <si>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</si>
  <si>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</si>
  <si>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</si>
  <si>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</si>
  <si>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</si>
  <si>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</si>
  <si>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</si>
  <si>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</si>
  <si>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</si>
  <si>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</si>
  <si>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</si>
  <si>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</si>
  <si>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</si>
  <si>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</si>
  <si>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</si>
  <si>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</si>
  <si>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</si>
  <si>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</si>
  <si>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</si>
  <si>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</si>
  <si>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</si>
  <si>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</si>
  <si>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</si>
  <si>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</si>
  <si>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</si>
  <si>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</si>
  <si>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</si>
  <si>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</si>
  <si>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</si>
  <si>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</si>
  <si>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</si>
  <si>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</si>
  <si>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</si>
  <si>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</si>
  <si>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</si>
  <si>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</si>
  <si>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</si>
  <si>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</si>
  <si>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</si>
  <si>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</si>
  <si>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</si>
  <si>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</si>
  <si>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</si>
  <si>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</si>
  <si>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</si>
  <si>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</si>
  <si>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</si>
  <si>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</si>
  <si>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</si>
  <si>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</si>
  <si>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</si>
  <si>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</si>
  <si>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</si>
  <si>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</si>
  <si>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</si>
  <si>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</si>
  <si>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</si>
  <si>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</si>
  <si>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</si>
  <si>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</si>
  <si>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</si>
  <si>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</si>
  <si>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</si>
  <si>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</si>
  <si>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</si>
  <si>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</si>
  <si>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</si>
  <si>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</si>
  <si>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</si>
  <si>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</si>
  <si>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</si>
  <si>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</si>
  <si>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</si>
  <si>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</si>
  <si>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</si>
  <si>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</si>
  <si>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</si>
  <si>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</si>
  <si>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</si>
  <si>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</si>
  <si>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</si>
  <si>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</si>
  <si>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</si>
  <si>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</si>
  <si>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</si>
  <si>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</si>
  <si>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</si>
  <si>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</si>
  <si>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</si>
  <si>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</si>
  <si>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</si>
  <si>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</si>
  <si>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</si>
  <si>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</si>
  <si>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</si>
  <si>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</si>
  <si>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</si>
  <si>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</si>
  <si>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</si>
  <si>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</si>
  <si>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</si>
  <si>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</si>
  <si>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</si>
  <si>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</si>
  <si>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</si>
  <si>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</si>
  <si>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</si>
  <si>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</si>
  <si>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</si>
  <si>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</si>
  <si>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</si>
  <si>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</si>
  <si>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</si>
  <si>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</si>
  <si>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</si>
  <si>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</si>
  <si>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</si>
  <si>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</si>
  <si>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</si>
  <si>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</si>
  <si>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</si>
  <si>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</si>
  <si>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</si>
  <si>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</si>
  <si>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</si>
  <si>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</si>
  <si>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</si>
  <si>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</si>
  <si>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</si>
  <si>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</si>
  <si>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</si>
  <si>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</si>
  <si>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</si>
  <si>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</si>
  <si>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</si>
  <si>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</si>
  <si>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</si>
  <si>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</si>
  <si>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</si>
  <si>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</si>
  <si>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</si>
  <si>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</si>
  <si>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</si>
  <si>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</si>
  <si>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</si>
  <si>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</si>
  <si>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</si>
  <si>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</si>
  <si>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</si>
  <si>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</si>
  <si>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</si>
  <si>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</si>
  <si>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</si>
  <si>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</si>
  <si>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</si>
  <si>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</si>
  <si>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</si>
  <si>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</si>
  <si>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</si>
  <si>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</si>
  <si>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</si>
  <si>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</si>
  <si>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</si>
  <si>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</si>
  <si>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</si>
  <si>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</si>
  <si>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</si>
  <si>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</si>
  <si>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</si>
  <si>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</si>
  <si>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</si>
  <si>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Cambria"/>
        <family val="1"/>
        <scheme val="major"/>
      </rPr>
      <t>NEL-IH-24-00</t>
    </r>
  </si>
  <si>
    <r>
      <t>Insert Housing Size 36-</t>
    </r>
    <r>
      <rPr>
        <b/>
        <sz val="10"/>
        <color rgb="FFFF0000"/>
        <rFont val="Cambria"/>
        <family val="1"/>
        <scheme val="major"/>
      </rPr>
      <t>NEL-IH-36-00</t>
    </r>
  </si>
  <si>
    <r>
      <t>Pin Size 16-16 -</t>
    </r>
    <r>
      <rPr>
        <b/>
        <sz val="10"/>
        <color rgb="FFFF0000"/>
        <rFont val="Cambria"/>
        <family val="1"/>
        <scheme val="major"/>
      </rPr>
      <t xml:space="preserve"> NEL-PN-00-1616</t>
    </r>
  </si>
  <si>
    <r>
      <t xml:space="preserve">Pin Size 16,20 - </t>
    </r>
    <r>
      <rPr>
        <b/>
        <sz val="9"/>
        <color rgb="FFFF0000"/>
        <rFont val="Cambria"/>
        <family val="1"/>
        <scheme val="major"/>
      </rPr>
      <t>NEL-PN-00-1620</t>
    </r>
  </si>
  <si>
    <r>
      <t xml:space="preserve">Contact Clip Size 16- </t>
    </r>
    <r>
      <rPr>
        <b/>
        <sz val="10"/>
        <color rgb="FFFF0000"/>
        <rFont val="Cambria"/>
        <family val="1"/>
        <scheme val="major"/>
      </rPr>
      <t>NEL-CC-00-16</t>
    </r>
  </si>
  <si>
    <r>
      <rPr>
        <b/>
        <sz val="12"/>
        <rFont val="Cambria"/>
        <family val="1"/>
        <scheme val="major"/>
      </rPr>
      <t>RT98</t>
    </r>
    <r>
      <rPr>
        <sz val="12"/>
        <rFont val="Cambria"/>
        <family val="1"/>
        <scheme val="major"/>
      </rPr>
      <t>-87900-PN-R002</t>
    </r>
  </si>
  <si>
    <r>
      <t>Removal PA Tool Cart-</t>
    </r>
    <r>
      <rPr>
        <b/>
        <sz val="8"/>
        <color rgb="FFFF0000"/>
        <rFont val="Cambria"/>
        <family val="1"/>
        <scheme val="major"/>
      </rPr>
      <t>RT-7538-000-PRT</t>
    </r>
  </si>
  <si>
    <t>RT-87920-0351-01-GA-D</t>
  </si>
  <si>
    <t>CTI Bore Gauge</t>
  </si>
  <si>
    <t>Laila Parveen</t>
  </si>
  <si>
    <t>B</t>
  </si>
  <si>
    <t>PD-20551</t>
  </si>
  <si>
    <r>
      <t xml:space="preserve">Puffer Caps &amp; Nozzles  </t>
    </r>
    <r>
      <rPr>
        <b/>
        <sz val="12"/>
        <color rgb="FFFF0000"/>
        <rFont val="Cambria"/>
        <family val="1"/>
        <scheme val="major"/>
      </rPr>
      <t>34 x 50 Mesh</t>
    </r>
  </si>
  <si>
    <t>Jatin Munjal</t>
  </si>
  <si>
    <r>
      <rPr>
        <b/>
        <sz val="12"/>
        <rFont val="Cambria"/>
        <family val="1"/>
        <scheme val="major"/>
      </rPr>
      <t>RT98</t>
    </r>
    <r>
      <rPr>
        <sz val="12"/>
        <rFont val="Cambria"/>
        <family val="1"/>
        <scheme val="major"/>
      </rPr>
      <t>-87540-PN-R001</t>
    </r>
  </si>
  <si>
    <t>RT-87713-0001-1-GA-D</t>
  </si>
  <si>
    <t>Sanchia Bartley-Ndiaye</t>
  </si>
  <si>
    <t>RT-87550-0100-01-GA-E</t>
  </si>
  <si>
    <r>
      <t xml:space="preserve">Bellows Cutting Tool </t>
    </r>
    <r>
      <rPr>
        <b/>
        <sz val="12"/>
        <rFont val="Cambria"/>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</si>
  <si>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</si>
  <si>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</si>
  <si>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</si>
  <si>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</si>
  <si>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</si>
  <si>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</si>
  <si>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</si>
  <si>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</si>
  <si>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</si>
  <si>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</si>
  <si>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</si>
  <si>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</si>
  <si>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</si>
  <si>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</si>
  <si>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</si>
  <si>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</si>
  <si>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</si>
  <si>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</si>
  <si>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</si>
  <si>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</si>
  <si>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</si>
  <si>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</si>
  <si>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</si>
  <si>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</si>
  <si>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</si>
  <si>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</si>
  <si>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</si>
  <si>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</si>
  <si>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</si>
  <si>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</si>
  <si>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</si>
  <si>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</si>
  <si>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</si>
  <si>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</si>
  <si>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</si>
  <si>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</si>
  <si>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</si>
  <si>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</si>
  <si>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</si>
  <si>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</si>
  <si>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</si>
  <si>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</si>
  <si>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</si>
  <si>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</si>
  <si>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</si>
  <si>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</si>
  <si>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</si>
  <si>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</si>
  <si>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</si>
  <si>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RT-88030-0250-1-GA-D</t>
  </si>
  <si>
    <t>Eddy Current Spacer Detection Trough</t>
  </si>
  <si>
    <t>RT-87640-70300-000-1-GA-E</t>
  </si>
  <si>
    <t>Mockup LWTF Trolley</t>
  </si>
  <si>
    <r>
      <rPr>
        <b/>
        <sz val="12"/>
        <rFont val="Cambria"/>
        <family val="1"/>
        <scheme val="major"/>
      </rPr>
      <t>RT98</t>
    </r>
    <r>
      <rPr>
        <sz val="12"/>
        <rFont val="Cambria"/>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</si>
  <si>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</si>
  <si>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</si>
  <si>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</si>
  <si>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</si>
  <si>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</si>
  <si>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</si>
  <si>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</si>
  <si>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</si>
  <si>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</si>
  <si>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</si>
  <si>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</si>
  <si>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</si>
  <si>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</si>
  <si>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</si>
  <si>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</si>
  <si>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Cambria"/>
        <family val="1"/>
        <scheme val="major"/>
      </rPr>
      <t>RT98</t>
    </r>
    <r>
      <rPr>
        <sz val="12"/>
        <rFont val="Cambria"/>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</si>
  <si>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</si>
  <si>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</si>
  <si>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</si>
  <si>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</si>
  <si>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</si>
  <si>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</si>
  <si>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</si>
  <si>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</si>
  <si>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</si>
  <si>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</si>
  <si>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</si>
  <si>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</si>
  <si>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</si>
  <si>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</si>
  <si>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</si>
  <si>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</si>
  <si>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</si>
  <si>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</si>
  <si>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</si>
  <si>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</si>
  <si>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</si>
  <si>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</si>
  <si>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</si>
  <si>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</si>
  <si>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</si>
  <si>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</si>
  <si>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Tony Mazza</t>
  </si>
  <si>
    <t>Pablo Gracida</t>
  </si>
  <si>
    <t>RT-88030-0310-1-GA-D</t>
  </si>
  <si>
    <t>RT-88030-0021-01-GA-1</t>
  </si>
  <si>
    <t>Eddy Current Verification Bench</t>
  </si>
  <si>
    <t>Tool Encoder Bracket Assy</t>
  </si>
  <si>
    <r>
      <t>RT98-</t>
    </r>
    <r>
      <rPr>
        <sz val="10.5"/>
        <color theme="1"/>
        <rFont val="Cambria"/>
        <family val="1"/>
        <scheme val="major"/>
      </rPr>
      <t>88030-PN-R001</t>
    </r>
    <r>
      <rPr>
        <b/>
        <sz val="10.5"/>
        <color rgb="FFFF3300"/>
        <rFont val="Cambria"/>
        <family val="1"/>
        <scheme val="major"/>
      </rPr>
      <t>- R.2</t>
    </r>
  </si>
  <si>
    <r>
      <t xml:space="preserve">RT98-88030-PN-R001- </t>
    </r>
    <r>
      <rPr>
        <b/>
        <sz val="10.5"/>
        <color rgb="FFFF0000"/>
        <rFont val="Cambria"/>
        <family val="1"/>
        <scheme val="major"/>
      </rPr>
      <t>R.2</t>
    </r>
  </si>
  <si>
    <r>
      <rPr>
        <b/>
        <sz val="11"/>
        <rFont val="Cambria"/>
        <family val="1"/>
        <scheme val="major"/>
      </rPr>
      <t>RT98-</t>
    </r>
    <r>
      <rPr>
        <sz val="11"/>
        <rFont val="Cambria"/>
        <family val="1"/>
        <scheme val="major"/>
      </rPr>
      <t>87550-PN-R004-</t>
    </r>
    <r>
      <rPr>
        <b/>
        <sz val="11"/>
        <color rgb="FFFF0000"/>
        <rFont val="Cambria"/>
        <family val="1"/>
        <scheme val="major"/>
      </rPr>
      <t>R.1</t>
    </r>
  </si>
  <si>
    <t>William Won</t>
  </si>
  <si>
    <t>Steve Davey</t>
  </si>
  <si>
    <t>213025-1</t>
  </si>
  <si>
    <t xml:space="preserve">Front Plate </t>
  </si>
  <si>
    <t xml:space="preserve">Housing </t>
  </si>
  <si>
    <t>Hub</t>
  </si>
  <si>
    <t>208374-1</t>
  </si>
  <si>
    <t>Housing</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</si>
  <si>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</si>
  <si>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</si>
  <si>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</si>
  <si>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</si>
  <si>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</si>
  <si>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</si>
  <si>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</si>
  <si>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</si>
  <si>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</si>
  <si>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</si>
  <si>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</si>
  <si>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</si>
  <si>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</si>
  <si>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</si>
  <si>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</si>
  <si>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</si>
  <si>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</si>
  <si>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</si>
  <si>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Cambria"/>
        <family val="1"/>
        <scheme val="major"/>
      </rPr>
      <t>RT98</t>
    </r>
    <r>
      <rPr>
        <sz val="12"/>
        <rFont val="Cambria"/>
        <family val="1"/>
        <scheme val="major"/>
      </rPr>
      <t>-88010-PN-R009</t>
    </r>
  </si>
  <si>
    <t>RT-88040-0040-01-DD-C</t>
  </si>
  <si>
    <t>Gauge Expander Tool- Ring Gauge</t>
  </si>
  <si>
    <r>
      <rPr>
        <b/>
        <sz val="12"/>
        <rFont val="Cambria"/>
        <family val="1"/>
        <scheme val="major"/>
      </rPr>
      <t>RT98</t>
    </r>
    <r>
      <rPr>
        <sz val="12"/>
        <rFont val="Cambria"/>
        <family val="1"/>
        <scheme val="major"/>
      </rPr>
      <t>-88010-PN-R008</t>
    </r>
  </si>
  <si>
    <t>RT-88000-70034-000-1-GA-e</t>
  </si>
  <si>
    <t>RT-88000-70051-000-1-GA-E</t>
  </si>
  <si>
    <t>RT-88010-0032-1-DD-B</t>
  </si>
  <si>
    <t>RT-88010-0031-1-DD-B</t>
  </si>
  <si>
    <t>RT-88000-70210-060-1-DD-B</t>
  </si>
  <si>
    <t>RT-88010-0120-1-DD-C</t>
  </si>
  <si>
    <t>RT-88010-0121-1-DD-B</t>
  </si>
  <si>
    <t>RT-88010-0050-1-GA-C</t>
  </si>
  <si>
    <t>Gauge AS Length Gauge</t>
  </si>
  <si>
    <t>Gauge P/T Expander Reach setting Gauge</t>
  </si>
  <si>
    <t>Gauge P/T Ring Gauge ( Blue)</t>
  </si>
  <si>
    <t>Gauge P/T Ring Gauge ( Red)</t>
  </si>
  <si>
    <t>Gauge P/T Ring Gauge ( Yellow)</t>
  </si>
  <si>
    <t>Gauge Ring Gauge for Bore Gauge</t>
  </si>
  <si>
    <t>Gauge P/T Category Check Tool</t>
  </si>
  <si>
    <t>P/T Category Check Tool</t>
  </si>
  <si>
    <t>P/T Category Check Tool- PLug306</t>
  </si>
  <si>
    <t>Gauge EF Liner Tube Plug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</si>
  <si>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</si>
  <si>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</si>
  <si>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</si>
  <si>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</si>
  <si>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</si>
  <si>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</si>
  <si>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</si>
  <si>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</si>
  <si>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</si>
  <si>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</si>
  <si>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</si>
  <si>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</si>
  <si>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</si>
  <si>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Cambria"/>
        <family val="1"/>
        <scheme val="major"/>
      </rPr>
      <t>RT98</t>
    </r>
    <r>
      <rPr>
        <sz val="12"/>
        <rFont val="Cambria"/>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</si>
  <si>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</si>
  <si>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</si>
  <si>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</si>
  <si>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</si>
  <si>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</si>
  <si>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</si>
  <si>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</si>
  <si>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</si>
  <si>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</si>
  <si>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</si>
  <si>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Cambria"/>
        <family val="1"/>
        <scheme val="major"/>
      </rPr>
      <t>RT98-</t>
    </r>
    <r>
      <rPr>
        <sz val="12"/>
        <rFont val="Cambria"/>
        <family val="1"/>
        <scheme val="major"/>
      </rPr>
      <t>87710-PN-R006</t>
    </r>
  </si>
  <si>
    <t>C6-Bore Gauge</t>
  </si>
  <si>
    <t>C6-Bore Gague- Narrow Landing</t>
  </si>
  <si>
    <r>
      <rPr>
        <b/>
        <sz val="12"/>
        <rFont val="Cambria"/>
        <family val="1"/>
        <scheme val="major"/>
      </rPr>
      <t>RT98</t>
    </r>
    <r>
      <rPr>
        <sz val="12"/>
        <rFont val="Cambria"/>
        <family val="1"/>
        <scheme val="major"/>
      </rPr>
      <t>-87900-PN-R003</t>
    </r>
  </si>
  <si>
    <t>RT-87272-0010-01-GA-E</t>
  </si>
  <si>
    <t>Hinge Mockup Columen for Comm.</t>
  </si>
  <si>
    <r>
      <rPr>
        <b/>
        <sz val="11"/>
        <rFont val="Cambria"/>
        <family val="1"/>
        <scheme val="major"/>
      </rPr>
      <t>RT98</t>
    </r>
    <r>
      <rPr>
        <sz val="11"/>
        <rFont val="Cambria"/>
        <family val="1"/>
        <scheme val="major"/>
      </rPr>
      <t>-87272-PN-R020-</t>
    </r>
    <r>
      <rPr>
        <b/>
        <sz val="11"/>
        <color rgb="FFFF0000"/>
        <rFont val="Cambria"/>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</si>
  <si>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</si>
  <si>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</si>
  <si>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</si>
  <si>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</si>
  <si>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</si>
  <si>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</si>
  <si>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</si>
  <si>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</si>
  <si>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</si>
  <si>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</si>
  <si>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</si>
  <si>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</si>
  <si>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</si>
  <si>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</si>
  <si>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</si>
  <si>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</si>
  <si>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</si>
  <si>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</si>
  <si>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</si>
  <si>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</si>
  <si>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</si>
  <si>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</si>
  <si>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</si>
  <si>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</si>
  <si>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</si>
  <si>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Cambria"/>
        <family val="1"/>
        <scheme val="major"/>
      </rPr>
      <t>Rev.1</t>
    </r>
  </si>
  <si>
    <t>Chris Morrision</t>
  </si>
  <si>
    <t>RT-87290-7002-1-GA-D</t>
  </si>
  <si>
    <t>Material Handling Carts</t>
  </si>
  <si>
    <r>
      <rPr>
        <b/>
        <sz val="12"/>
        <rFont val="Cambria"/>
        <family val="1"/>
        <scheme val="major"/>
      </rPr>
      <t>RT98</t>
    </r>
    <r>
      <rPr>
        <sz val="12"/>
        <rFont val="Cambria"/>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</si>
  <si>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</si>
  <si>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</si>
  <si>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</si>
  <si>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</si>
  <si>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</si>
  <si>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</si>
  <si>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Cambria"/>
        <family val="1"/>
        <scheme val="major"/>
      </rPr>
      <t>RT79-</t>
    </r>
    <r>
      <rPr>
        <sz val="12"/>
        <rFont val="Cambria"/>
        <family val="1"/>
        <scheme val="major"/>
      </rPr>
      <t>87630-PN-R011</t>
    </r>
  </si>
  <si>
    <t>NK21-B-DD-N31732-45</t>
  </si>
  <si>
    <t>Damper shaft Bearing</t>
  </si>
  <si>
    <t>21-31732-PN-R038</t>
  </si>
  <si>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</si>
  <si>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</si>
  <si>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</si>
  <si>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</si>
  <si>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</si>
  <si>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</si>
  <si>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</si>
  <si>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</si>
  <si>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</si>
  <si>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</si>
  <si>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</si>
  <si>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</si>
  <si>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G35-16-TRS-2</t>
  </si>
  <si>
    <t>Support Bar - Item# SB1</t>
  </si>
  <si>
    <t>3759146-00</t>
  </si>
  <si>
    <t>G35-16-TRS-3</t>
  </si>
  <si>
    <t>Misc Alum Plate-Item PL3</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</si>
  <si>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</si>
  <si>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</si>
  <si>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</si>
  <si>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</si>
  <si>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</si>
  <si>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</si>
  <si>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</si>
  <si>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</si>
  <si>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</si>
  <si>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</si>
  <si>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</si>
  <si>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</si>
  <si>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</si>
  <si>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</si>
  <si>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</si>
  <si>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</si>
  <si>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</si>
  <si>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</si>
  <si>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</si>
  <si>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</si>
  <si>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</si>
  <si>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</si>
  <si>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</si>
  <si>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</si>
  <si>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</si>
  <si>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</si>
  <si>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</si>
  <si>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</si>
  <si>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</si>
  <si>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</si>
  <si>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</si>
  <si>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</si>
  <si>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</si>
  <si>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</si>
  <si>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</si>
  <si>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895+ 250</t>
  </si>
  <si>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</si>
  <si>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</si>
  <si>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</si>
  <si>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</si>
  <si>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</si>
  <si>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</si>
  <si>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</si>
  <si>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</si>
  <si>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</si>
  <si>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</si>
  <si>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</si>
  <si>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</si>
  <si>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</si>
  <si>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</si>
  <si>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</si>
  <si>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</si>
  <si>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</si>
  <si>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</si>
  <si>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</si>
  <si>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</si>
  <si>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</si>
  <si>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</si>
  <si>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</si>
  <si>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</si>
  <si>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</si>
  <si>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</si>
  <si>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</si>
  <si>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</si>
  <si>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</si>
  <si>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</si>
  <si>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</si>
  <si>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</si>
  <si>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</si>
  <si>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</si>
  <si>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</si>
  <si>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</si>
  <si>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</si>
  <si>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</si>
  <si>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</si>
  <si>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</si>
  <si>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</si>
  <si>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</si>
  <si>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</si>
  <si>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</si>
  <si>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</si>
  <si>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</si>
  <si>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</si>
  <si>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</si>
  <si>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</si>
  <si>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r>
      <rPr>
        <b/>
        <sz val="11"/>
        <color rgb="FF0070C0"/>
        <rFont val="Cambria"/>
        <family val="1"/>
        <scheme val="major"/>
      </rPr>
      <t>RT79</t>
    </r>
    <r>
      <rPr>
        <sz val="11"/>
        <rFont val="Cambria"/>
        <family val="1"/>
        <scheme val="major"/>
      </rPr>
      <t>-87900-PN-R003-</t>
    </r>
    <r>
      <rPr>
        <b/>
        <sz val="11"/>
        <color rgb="FFFF0000"/>
        <rFont val="Cambria"/>
        <family val="1"/>
        <scheme val="major"/>
      </rPr>
      <t>r.1</t>
    </r>
  </si>
  <si>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</si>
  <si>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</si>
  <si>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</si>
  <si>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</si>
  <si>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</si>
  <si>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</si>
  <si>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</si>
  <si>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</si>
  <si>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</si>
  <si>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</si>
  <si>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</si>
  <si>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</si>
  <si>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</si>
  <si>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</si>
  <si>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</si>
  <si>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</si>
  <si>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</si>
  <si>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Cambria"/>
        <family val="1"/>
        <scheme val="major"/>
      </rPr>
      <t>c/w Wings</t>
    </r>
  </si>
  <si>
    <t>LWTF Trolley- Corridor-NO Wing</t>
  </si>
  <si>
    <t>Harnoor Singh</t>
  </si>
  <si>
    <t>Device Mount</t>
  </si>
  <si>
    <t>90218-Rev.3</t>
  </si>
  <si>
    <t>90218-Rev.4</t>
  </si>
  <si>
    <t>3~4</t>
  </si>
  <si>
    <t>5~6</t>
  </si>
  <si>
    <t>90218-Rev.5</t>
  </si>
  <si>
    <t>7~8</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</si>
  <si>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</si>
  <si>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</si>
  <si>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</si>
  <si>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</si>
  <si>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</si>
  <si>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</si>
  <si>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RT-88000+70047-000-1-GA-D</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</si>
  <si>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</si>
  <si>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</si>
  <si>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</si>
  <si>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</si>
  <si>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</si>
  <si>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</si>
  <si>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</si>
  <si>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</si>
  <si>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</si>
  <si>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</si>
  <si>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</si>
  <si>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</si>
  <si>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</si>
  <si>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</si>
  <si>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</si>
  <si>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</si>
  <si>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Sanket Patil</t>
  </si>
  <si>
    <t>Cap Receiving Cup</t>
  </si>
  <si>
    <t>PD-21053</t>
  </si>
  <si>
    <t>Transfer Block</t>
  </si>
  <si>
    <t>Cover for Base Block</t>
  </si>
  <si>
    <t>Cap Removal Tool</t>
  </si>
  <si>
    <t>Cover For Table</t>
  </si>
  <si>
    <t>67967-DT</t>
  </si>
  <si>
    <t>SS Depositor Tube 2"</t>
  </si>
  <si>
    <r>
      <rPr>
        <b/>
        <sz val="11"/>
        <color rgb="FF00B0F0"/>
        <rFont val="Cambria"/>
        <family val="1"/>
        <scheme val="major"/>
      </rPr>
      <t>RT79</t>
    </r>
    <r>
      <rPr>
        <sz val="11"/>
        <rFont val="Cambria"/>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</si>
  <si>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</si>
  <si>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</si>
  <si>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</si>
  <si>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</si>
  <si>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</si>
  <si>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</si>
  <si>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</si>
  <si>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</si>
  <si>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</si>
  <si>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</si>
  <si>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</si>
  <si>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</si>
  <si>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</si>
  <si>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</si>
  <si>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</si>
  <si>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</si>
  <si>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Cambria"/>
        <family val="1"/>
        <scheme val="major"/>
      </rPr>
      <t>MCR-</t>
    </r>
    <r>
      <rPr>
        <sz val="12"/>
        <rFont val="Cambria"/>
        <family val="1"/>
        <scheme val="major"/>
      </rPr>
      <t>17000-PN-R053</t>
    </r>
  </si>
  <si>
    <r>
      <rPr>
        <b/>
        <sz val="12"/>
        <color theme="5" tint="-0.249977111117893"/>
        <rFont val="Cambria"/>
        <family val="1"/>
        <scheme val="major"/>
      </rPr>
      <t>MCR</t>
    </r>
    <r>
      <rPr>
        <sz val="12"/>
        <rFont val="Cambria"/>
        <family val="1"/>
        <scheme val="major"/>
      </rPr>
      <t>-17000-PN-R054</t>
    </r>
  </si>
  <si>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</si>
  <si>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</si>
  <si>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</si>
  <si>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r>
      <rPr>
        <b/>
        <sz val="11"/>
        <rFont val="Cambria"/>
        <family val="1"/>
        <scheme val="major"/>
      </rPr>
      <t>RT98</t>
    </r>
    <r>
      <rPr>
        <sz val="11"/>
        <rFont val="Cambria"/>
        <family val="1"/>
        <scheme val="major"/>
      </rPr>
      <t>-88040-PN-R004</t>
    </r>
    <r>
      <rPr>
        <b/>
        <sz val="11"/>
        <rFont val="Cambria"/>
        <family val="1"/>
        <scheme val="major"/>
      </rPr>
      <t xml:space="preserve"> </t>
    </r>
    <r>
      <rPr>
        <b/>
        <sz val="11"/>
        <color rgb="FFFF0000"/>
        <rFont val="Cambria"/>
        <family val="1"/>
        <scheme val="major"/>
      </rPr>
      <t>R. 1</t>
    </r>
  </si>
  <si>
    <t>Madhu Ragaven Mani</t>
  </si>
  <si>
    <t>4034463-101</t>
  </si>
  <si>
    <t>Plate, IGF</t>
  </si>
  <si>
    <t>PO1021988</t>
  </si>
  <si>
    <t>S60401-101</t>
  </si>
  <si>
    <t>Travis Krebs</t>
  </si>
  <si>
    <t>Output Shaft</t>
  </si>
  <si>
    <t>4036946-101</t>
  </si>
  <si>
    <t>Weldment, Vibe Fixture</t>
  </si>
  <si>
    <t>PO1022106</t>
  </si>
  <si>
    <t>4039839-101</t>
  </si>
  <si>
    <t>Plate Washer</t>
  </si>
  <si>
    <t>Peter</t>
  </si>
  <si>
    <t>RT-88000-70210-041-1-DD-D</t>
  </si>
  <si>
    <t>RT-88010-0033-1-DD-B</t>
  </si>
  <si>
    <t>Nena Nicko</t>
  </si>
  <si>
    <t>SAMPLE</t>
  </si>
  <si>
    <t>CHRIS</t>
  </si>
  <si>
    <t>Water Pump Housing to repair-wel</t>
  </si>
  <si>
    <t>4033641-101</t>
  </si>
  <si>
    <t>Disk, IRB</t>
  </si>
  <si>
    <t>PO1022244</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</si>
  <si>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</si>
  <si>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</si>
  <si>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</si>
  <si>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</si>
  <si>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</si>
  <si>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</si>
  <si>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</si>
  <si>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</si>
  <si>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</si>
  <si>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</si>
  <si>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</si>
  <si>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</si>
  <si>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</si>
  <si>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</si>
  <si>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</si>
  <si>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</si>
  <si>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</si>
  <si>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</si>
  <si>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</si>
  <si>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</si>
  <si>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</si>
  <si>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</si>
  <si>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</si>
  <si>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</si>
  <si>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</si>
  <si>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</si>
  <si>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</si>
  <si>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Cambria"/>
        <family val="1"/>
        <scheme val="major"/>
      </rPr>
      <t>87920-PN-R006-</t>
    </r>
    <r>
      <rPr>
        <b/>
        <sz val="11"/>
        <color rgb="FFFF0000"/>
        <rFont val="Cambria"/>
        <family val="1"/>
        <scheme val="major"/>
      </rPr>
      <t>R.2</t>
    </r>
  </si>
  <si>
    <t>MCR-17200-003-000000-01-GA-E</t>
  </si>
  <si>
    <t>Protective Sleeve &amp; Guide Tool</t>
  </si>
  <si>
    <t>CAT6017-2</t>
  </si>
  <si>
    <t>Pintle Pin Removal</t>
  </si>
  <si>
    <t>abc</t>
    <phoneticPr fontId="87" type="noConversion"/>
  </si>
  <si>
    <t>900-03</t>
  </si>
  <si>
    <r>
      <t xml:space="preserve">634828-18000-52X-R231- </t>
    </r>
    <r>
      <rPr>
        <b/>
        <sz val="9"/>
        <color rgb="FFFF0000"/>
        <rFont val="Cambria"/>
        <family val="1"/>
        <scheme val="major"/>
      </rPr>
      <t>R.03</t>
    </r>
  </si>
  <si>
    <r>
      <rPr>
        <b/>
        <sz val="11"/>
        <color rgb="FF0070C0"/>
        <rFont val="Cambria"/>
        <family val="1"/>
        <scheme val="major"/>
      </rPr>
      <t>RT79</t>
    </r>
    <r>
      <rPr>
        <b/>
        <sz val="11"/>
        <rFont val="Cambria"/>
        <family val="1"/>
        <scheme val="major"/>
      </rPr>
      <t>-88030-PN-R001</t>
    </r>
    <r>
      <rPr>
        <b/>
        <sz val="11"/>
        <color rgb="FFFF3300"/>
        <rFont val="Cambria"/>
        <family val="1"/>
        <scheme val="major"/>
      </rPr>
      <t>-R.2</t>
    </r>
  </si>
  <si>
    <r>
      <t>23133.58 +</t>
    </r>
    <r>
      <rPr>
        <sz val="10"/>
        <color rgb="FFFF0000"/>
        <rFont val="Cambria"/>
        <family val="1"/>
        <scheme val="major"/>
      </rPr>
      <t>3822</t>
    </r>
  </si>
  <si>
    <r>
      <t>23133.58 +</t>
    </r>
    <r>
      <rPr>
        <b/>
        <sz val="10"/>
        <color rgb="FFFF0000"/>
        <rFont val="Cambria"/>
        <family val="1"/>
        <scheme val="major"/>
      </rPr>
      <t>3822</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</si>
  <si>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</si>
  <si>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LWTF Mock-UP Trolley Frame</t>
  </si>
  <si>
    <r>
      <rPr>
        <b/>
        <sz val="11.5"/>
        <rFont val="Cambria"/>
        <family val="1"/>
        <scheme val="major"/>
      </rPr>
      <t>RT98</t>
    </r>
    <r>
      <rPr>
        <sz val="11.5"/>
        <rFont val="Cambria"/>
        <family val="1"/>
        <scheme val="major"/>
      </rPr>
      <t>-87590-PN-R007-R1</t>
    </r>
  </si>
  <si>
    <r>
      <t>RT98-87590-PN-R006-</t>
    </r>
    <r>
      <rPr>
        <b/>
        <sz val="11"/>
        <color rgb="FFFF0000"/>
        <rFont val="Cambria"/>
        <family val="1"/>
        <scheme val="major"/>
      </rPr>
      <t>R.1</t>
    </r>
  </si>
  <si>
    <r>
      <rPr>
        <b/>
        <sz val="11"/>
        <color theme="3" tint="0.39997558519241921"/>
        <rFont val="Cambria"/>
        <family val="1"/>
        <scheme val="major"/>
      </rPr>
      <t>RT79</t>
    </r>
    <r>
      <rPr>
        <sz val="11"/>
        <rFont val="Cambria"/>
        <family val="1"/>
        <scheme val="major"/>
      </rPr>
      <t>-87630-PN-R005-</t>
    </r>
    <r>
      <rPr>
        <b/>
        <sz val="11"/>
        <color rgb="FFFF0000"/>
        <rFont val="Cambria"/>
        <family val="1"/>
        <scheme val="major"/>
      </rPr>
      <t>R.1</t>
    </r>
  </si>
  <si>
    <t>RT-79112-0300-01-GA-E</t>
  </si>
  <si>
    <r>
      <rPr>
        <b/>
        <sz val="12"/>
        <color rgb="FF0070C0"/>
        <rFont val="Cambria"/>
        <family val="1"/>
        <scheme val="major"/>
      </rPr>
      <t>RT79</t>
    </r>
    <r>
      <rPr>
        <sz val="12"/>
        <rFont val="Cambria"/>
        <family val="1"/>
        <scheme val="major"/>
      </rPr>
      <t>-79112-PN-R002</t>
    </r>
  </si>
  <si>
    <t>RT-87250-0400-01-GA-E</t>
  </si>
  <si>
    <r>
      <rPr>
        <b/>
        <sz val="11"/>
        <color theme="3" tint="0.39997558519241921"/>
        <rFont val="Cambria"/>
        <family val="1"/>
        <scheme val="major"/>
      </rPr>
      <t>RT79</t>
    </r>
    <r>
      <rPr>
        <sz val="11"/>
        <rFont val="Cambria"/>
        <family val="1"/>
        <scheme val="major"/>
      </rPr>
      <t>-87840-PN-R002-</t>
    </r>
    <r>
      <rPr>
        <b/>
        <sz val="11"/>
        <color theme="9" tint="-0.249977111117893"/>
        <rFont val="Cambria"/>
        <family val="1"/>
        <scheme val="major"/>
      </rPr>
      <t>R.1</t>
    </r>
  </si>
  <si>
    <t>RT-87840-0220-01-GA-2</t>
  </si>
  <si>
    <t>Bearing Assy</t>
  </si>
  <si>
    <t>3A</t>
  </si>
  <si>
    <r>
      <rPr>
        <b/>
        <sz val="11"/>
        <color rgb="FF00B0F0"/>
        <rFont val="Cambria"/>
        <family val="1"/>
        <scheme val="major"/>
      </rPr>
      <t>RT79</t>
    </r>
    <r>
      <rPr>
        <sz val="11"/>
        <rFont val="Cambria"/>
        <family val="1"/>
        <scheme val="major"/>
      </rPr>
      <t>-88020-PN-R003-</t>
    </r>
    <r>
      <rPr>
        <b/>
        <sz val="11"/>
        <color rgb="FFFF0000"/>
        <rFont val="Cambria"/>
        <family val="1"/>
        <scheme val="major"/>
      </rPr>
      <t>R.1</t>
    </r>
  </si>
  <si>
    <r>
      <t>12+</t>
    </r>
    <r>
      <rPr>
        <sz val="12"/>
        <color rgb="FFFF0000"/>
        <rFont val="Cambria"/>
        <family val="1"/>
        <scheme val="major"/>
      </rPr>
      <t>2</t>
    </r>
  </si>
  <si>
    <t>x</t>
  </si>
  <si>
    <t>RT-87000-0480-1-GA-D</t>
  </si>
  <si>
    <r>
      <rPr>
        <b/>
        <sz val="11"/>
        <rFont val="Cambria"/>
        <family val="1"/>
        <scheme val="major"/>
      </rPr>
      <t>RT98-</t>
    </r>
    <r>
      <rPr>
        <sz val="11"/>
        <rFont val="Cambria"/>
        <family val="1"/>
        <scheme val="major"/>
      </rPr>
      <t>87920-PN-R014-</t>
    </r>
    <r>
      <rPr>
        <sz val="11"/>
        <color rgb="FFFF0000"/>
        <rFont val="Cambria"/>
        <family val="1"/>
        <scheme val="major"/>
      </rPr>
      <t>R.1</t>
    </r>
  </si>
  <si>
    <t>1A</t>
  </si>
  <si>
    <r>
      <rPr>
        <b/>
        <sz val="11"/>
        <color theme="1"/>
        <rFont val="Cambria"/>
        <family val="1"/>
        <scheme val="major"/>
      </rPr>
      <t>RT98</t>
    </r>
    <r>
      <rPr>
        <sz val="11"/>
        <rFont val="Cambria"/>
        <family val="1"/>
        <scheme val="major"/>
      </rPr>
      <t>-88010-PN-R010-</t>
    </r>
    <r>
      <rPr>
        <b/>
        <sz val="11"/>
        <color rgb="FFFF0000"/>
        <rFont val="Cambria"/>
        <family val="1"/>
        <scheme val="major"/>
      </rPr>
      <t>R.1</t>
    </r>
  </si>
  <si>
    <t>11A</t>
  </si>
  <si>
    <r>
      <t xml:space="preserve">2 + </t>
    </r>
    <r>
      <rPr>
        <b/>
        <sz val="12"/>
        <color theme="9" tint="-0.249977111117893"/>
        <rFont val="Cambria"/>
        <family val="1"/>
        <scheme val="major"/>
      </rPr>
      <t>2A</t>
    </r>
  </si>
  <si>
    <t>01A</t>
  </si>
  <si>
    <r>
      <rPr>
        <b/>
        <sz val="11"/>
        <rFont val="Cambria"/>
        <family val="1"/>
        <scheme val="major"/>
      </rPr>
      <t>RT98</t>
    </r>
    <r>
      <rPr>
        <sz val="11"/>
        <rFont val="Cambria"/>
        <family val="1"/>
        <scheme val="major"/>
      </rPr>
      <t>-87640-PN-R005-</t>
    </r>
    <r>
      <rPr>
        <b/>
        <sz val="11"/>
        <color rgb="FFFF0000"/>
        <rFont val="Cambria"/>
        <family val="1"/>
        <scheme val="major"/>
      </rPr>
      <t>R1</t>
    </r>
  </si>
  <si>
    <t>A</t>
  </si>
  <si>
    <r>
      <t xml:space="preserve">PO1022108- </t>
    </r>
    <r>
      <rPr>
        <sz val="12"/>
        <color rgb="FFFF0000"/>
        <rFont val="Cambria"/>
        <family val="1"/>
        <scheme val="major"/>
      </rPr>
      <t>Rev.3</t>
    </r>
  </si>
  <si>
    <r>
      <t xml:space="preserve">Guide Rail- </t>
    </r>
    <r>
      <rPr>
        <sz val="12"/>
        <color rgb="FFFF0000"/>
        <rFont val="Cambria"/>
        <family val="1"/>
        <scheme val="major"/>
      </rPr>
      <t>F/I Measure/Dwg/Quote</t>
    </r>
  </si>
  <si>
    <t>3780947-00</t>
  </si>
  <si>
    <t>DJ Round Delrin Part ( make New)</t>
  </si>
  <si>
    <r>
      <rPr>
        <b/>
        <sz val="12"/>
        <color theme="5" tint="-0.249977111117893"/>
        <rFont val="Cambria"/>
        <family val="1"/>
        <scheme val="major"/>
      </rPr>
      <t>MCR</t>
    </r>
    <r>
      <rPr>
        <sz val="12"/>
        <rFont val="Cambria"/>
        <family val="1"/>
        <scheme val="major"/>
      </rPr>
      <t>-17000-PN-R056</t>
    </r>
  </si>
  <si>
    <r>
      <rPr>
        <b/>
        <sz val="11"/>
        <color theme="3" tint="0.39997558519241921"/>
        <rFont val="Cambria"/>
        <family val="1"/>
        <scheme val="major"/>
      </rPr>
      <t>RT79</t>
    </r>
    <r>
      <rPr>
        <sz val="11"/>
        <rFont val="Cambria"/>
        <family val="1"/>
        <scheme val="major"/>
      </rPr>
      <t>-87840-PN-R002-</t>
    </r>
    <r>
      <rPr>
        <b/>
        <sz val="11"/>
        <color rgb="FFFF3300"/>
        <rFont val="Cambria"/>
        <family val="1"/>
        <scheme val="major"/>
      </rPr>
      <t>R1</t>
    </r>
  </si>
  <si>
    <t>D00DV179</t>
  </si>
  <si>
    <t>Mani M</t>
  </si>
  <si>
    <t>Roller 1 f/i to Saw Cut</t>
  </si>
  <si>
    <t>4540013437-0</t>
  </si>
  <si>
    <t>5118J050</t>
  </si>
  <si>
    <t>Lifter Frame- F/I</t>
  </si>
  <si>
    <t>K-701184-DET-207</t>
  </si>
  <si>
    <t>Cyrus Tenzif</t>
  </si>
  <si>
    <t>Threaded Rod Nipple</t>
  </si>
  <si>
    <t>K-701184-DET-208</t>
  </si>
  <si>
    <t>Grip for 15.88 mm Tube</t>
  </si>
  <si>
    <t>K-701184-DET-209</t>
  </si>
  <si>
    <t>Grip for 12.70mm Tube</t>
  </si>
  <si>
    <t>K-701184-DET-211</t>
  </si>
  <si>
    <t>Plug for  12.70mm Tubes</t>
  </si>
  <si>
    <t>K-701184-DET-212</t>
  </si>
  <si>
    <t>Plug for  15.8mm  Tubes</t>
  </si>
  <si>
    <t>K-701184-DET-213</t>
  </si>
  <si>
    <t>Clevis</t>
  </si>
  <si>
    <t>RT-88000-70047-004-1-DD-B</t>
  </si>
  <si>
    <t>Retaining Latch</t>
  </si>
  <si>
    <r>
      <t>216-02123-PN-</t>
    </r>
    <r>
      <rPr>
        <b/>
        <sz val="12"/>
        <color rgb="FFFF0000"/>
        <rFont val="Cambria"/>
        <family val="1"/>
        <scheme val="major"/>
      </rPr>
      <t>T129</t>
    </r>
  </si>
  <si>
    <t>RT-88000-70047-003-1-DD-B</t>
  </si>
  <si>
    <t xml:space="preserve">Sleeve Guide </t>
  </si>
  <si>
    <r>
      <rPr>
        <b/>
        <sz val="12"/>
        <rFont val="Cambria"/>
        <family val="1"/>
        <scheme val="major"/>
      </rPr>
      <t>RT98</t>
    </r>
    <r>
      <rPr>
        <sz val="12"/>
        <rFont val="Cambria"/>
        <family val="1"/>
        <scheme val="major"/>
      </rPr>
      <t>-87000-PN-R018</t>
    </r>
  </si>
  <si>
    <t>Axial Wear Ring Cut 1</t>
  </si>
  <si>
    <t>Axial Wear Ring Cut 2</t>
  </si>
  <si>
    <t>XX-31124-9-1-DD-C</t>
  </si>
  <si>
    <t>Spacer Clips</t>
  </si>
  <si>
    <r>
      <t>79-31124-PN-R003</t>
    </r>
    <r>
      <rPr>
        <b/>
        <sz val="11"/>
        <color rgb="FFFF0000"/>
        <rFont val="Cambria"/>
        <family val="1"/>
        <scheme val="major"/>
      </rPr>
      <t>-CMMS</t>
    </r>
  </si>
  <si>
    <t>10+10</t>
  </si>
  <si>
    <t>79F-31124-0008-01-DD-C</t>
  </si>
  <si>
    <t>Olivier</t>
  </si>
  <si>
    <r>
      <t xml:space="preserve">Spacer Clips </t>
    </r>
    <r>
      <rPr>
        <b/>
        <sz val="12"/>
        <rFont val="Cambria"/>
        <family val="1"/>
        <scheme val="major"/>
      </rPr>
      <t>( Stock per Olivier)</t>
    </r>
  </si>
  <si>
    <t>Bolster Plate- 4140 PH</t>
  </si>
  <si>
    <t>3783121-00</t>
  </si>
  <si>
    <t>RT-87540-0200-1-GA-0</t>
  </si>
  <si>
    <t>PA Removal Tool Cart</t>
  </si>
  <si>
    <r>
      <rPr>
        <b/>
        <sz val="11"/>
        <color theme="3" tint="0.39997558519241921"/>
        <rFont val="Cambria"/>
        <family val="1"/>
        <scheme val="major"/>
      </rPr>
      <t>RT79</t>
    </r>
    <r>
      <rPr>
        <b/>
        <sz val="11"/>
        <rFont val="Cambria"/>
        <family val="1"/>
        <scheme val="major"/>
      </rPr>
      <t>-87540-PN-R003-</t>
    </r>
    <r>
      <rPr>
        <b/>
        <sz val="11"/>
        <color rgb="FFFF0000"/>
        <rFont val="Cambria"/>
        <family val="1"/>
        <scheme val="major"/>
      </rPr>
      <t>R1</t>
    </r>
  </si>
  <si>
    <r>
      <t xml:space="preserve">Puff.Caps &amp; Nozzles </t>
    </r>
    <r>
      <rPr>
        <sz val="12"/>
        <color rgb="FFFF0000"/>
        <rFont val="Cambria"/>
        <family val="1"/>
        <scheme val="major"/>
      </rPr>
      <t>34 x 40 mesh</t>
    </r>
  </si>
  <si>
    <t>PD-21099</t>
  </si>
  <si>
    <t>Angie Rodrigues</t>
  </si>
  <si>
    <t>3784428-00</t>
  </si>
  <si>
    <t>29-31913-2504-01-DD-D</t>
  </si>
  <si>
    <t>Connector Sleeve B</t>
  </si>
  <si>
    <t>201-31915-PN-R978</t>
  </si>
  <si>
    <t>29-31913-2505-01-DD-D</t>
  </si>
  <si>
    <t>Connector Sleeve A</t>
  </si>
  <si>
    <r>
      <t xml:space="preserve">Univ. Siam Slid'g Unit- </t>
    </r>
    <r>
      <rPr>
        <b/>
        <sz val="11"/>
        <color rgb="FFFF0000"/>
        <rFont val="Cambria"/>
        <family val="1"/>
        <scheme val="major"/>
      </rPr>
      <t>Det#2-4 &amp; 7</t>
    </r>
    <r>
      <rPr>
        <sz val="12"/>
        <rFont val="Cambria"/>
        <family val="1"/>
        <scheme val="major"/>
      </rPr>
      <t xml:space="preserve"> Only</t>
    </r>
  </si>
  <si>
    <t>20032404 Rev. 1</t>
  </si>
  <si>
    <t>Paddle Switch ( 5/16-Unc)</t>
  </si>
  <si>
    <t>3785390-00</t>
  </si>
  <si>
    <t>RT-87110-0174-01-DD-C</t>
  </si>
  <si>
    <t>Rolled Joint Centering Ring</t>
  </si>
  <si>
    <r>
      <rPr>
        <b/>
        <sz val="12"/>
        <rFont val="Cambria"/>
        <family val="1"/>
        <scheme val="major"/>
      </rPr>
      <t>RT98</t>
    </r>
    <r>
      <rPr>
        <sz val="12"/>
        <rFont val="Cambria"/>
        <family val="1"/>
        <scheme val="major"/>
      </rPr>
      <t>-87000-PN-R023</t>
    </r>
  </si>
  <si>
    <t>K-565052-DET-0002</t>
  </si>
  <si>
    <t>Micheal O Brien</t>
  </si>
  <si>
    <t>Inflatale Seal Test Assy- Side Supt</t>
  </si>
  <si>
    <t>Jan-5-26</t>
  </si>
  <si>
    <t>2-Sets</t>
  </si>
  <si>
    <t>CT-220-1039B-1/R1/Fig1-4/ It.26</t>
  </si>
  <si>
    <t>Greg Lee</t>
  </si>
  <si>
    <t>Copper Stem w/ Valve Spring &amp; Locknut</t>
  </si>
  <si>
    <t>12262-29152</t>
  </si>
  <si>
    <t>RT-87540-0210-01-GA-C</t>
  </si>
  <si>
    <t>Sanchia Bartley- Ndiaye</t>
  </si>
  <si>
    <t>PA Stud Installation Tool</t>
  </si>
  <si>
    <r>
      <rPr>
        <b/>
        <sz val="12"/>
        <color theme="3" tint="0.39997558519241921"/>
        <rFont val="Cambria"/>
        <family val="1"/>
        <scheme val="major"/>
      </rPr>
      <t>RT79</t>
    </r>
    <r>
      <rPr>
        <sz val="12"/>
        <rFont val="Cambria"/>
        <family val="1"/>
        <scheme val="major"/>
      </rPr>
      <t>-87540-PN-R004</t>
    </r>
  </si>
  <si>
    <t>361BHBAY01-L01</t>
  </si>
  <si>
    <t>Lo Firmness PH Bracket (Anjo)</t>
  </si>
  <si>
    <t>PD-21134</t>
  </si>
  <si>
    <t>LAI-D3802</t>
  </si>
  <si>
    <t>Tina Cino</t>
  </si>
  <si>
    <t xml:space="preserve">Welding Cart Frame </t>
  </si>
  <si>
    <t>LA7079175</t>
  </si>
  <si>
    <t>125503055-F/I</t>
  </si>
  <si>
    <t>Scott Wilson</t>
  </si>
  <si>
    <t>Modified Spur- F/I Mat'l</t>
  </si>
  <si>
    <t>83303- Rev.4</t>
  </si>
  <si>
    <t>125519954- F/I</t>
  </si>
  <si>
    <t>MOdified Spur Gear- F/I Mat'l</t>
  </si>
  <si>
    <t>Idler Gear</t>
  </si>
  <si>
    <t>Pinion</t>
  </si>
  <si>
    <t>Gear</t>
  </si>
  <si>
    <t>F/I Shaft &amp; Flange</t>
  </si>
  <si>
    <t>Shaft &amp; Flange F/I makeNew hub &amp; Weld</t>
  </si>
  <si>
    <t>3797908-00</t>
  </si>
  <si>
    <t>G05743784-101-ZJH</t>
  </si>
  <si>
    <t>AC Part for Bombardier LH/RH</t>
  </si>
  <si>
    <t>sample</t>
  </si>
  <si>
    <t>Spline Shaft 18 teeth</t>
  </si>
  <si>
    <t>RT-87120-70184-003-1-DD-B</t>
  </si>
  <si>
    <t>Seal Ring Washer Mockup</t>
  </si>
  <si>
    <r>
      <rPr>
        <b/>
        <sz val="12"/>
        <rFont val="Cambria"/>
        <family val="1"/>
        <scheme val="major"/>
      </rPr>
      <t>RT98</t>
    </r>
    <r>
      <rPr>
        <sz val="12"/>
        <rFont val="Cambria"/>
        <family val="1"/>
        <scheme val="major"/>
      </rPr>
      <t>-87000-PN-R021</t>
    </r>
  </si>
  <si>
    <t>RT-87120-70184-002-1-DD-B</t>
  </si>
  <si>
    <t>Graylock Hub Mockup</t>
  </si>
  <si>
    <t>RT-87120-70184-001-1-DD-B</t>
  </si>
  <si>
    <t>Flange</t>
  </si>
  <si>
    <t>RT-87120-70184-004-1-DD-B</t>
  </si>
  <si>
    <t>Lock Plate</t>
  </si>
  <si>
    <t>RT-88010-0005-01-GA-E</t>
  </si>
  <si>
    <t>Sachin Miranda</t>
  </si>
  <si>
    <t>08A</t>
  </si>
  <si>
    <t>Calibrated Measuring Tape-BOM#6</t>
  </si>
  <si>
    <r>
      <rPr>
        <b/>
        <sz val="11"/>
        <color theme="3" tint="0.39997558519241921"/>
        <rFont val="Cambria"/>
        <family val="1"/>
        <scheme val="major"/>
      </rPr>
      <t>RT79</t>
    </r>
    <r>
      <rPr>
        <sz val="11"/>
        <rFont val="Cambria"/>
        <family val="1"/>
        <scheme val="major"/>
      </rPr>
      <t>-88010-PN-R003-</t>
    </r>
    <r>
      <rPr>
        <b/>
        <sz val="11"/>
        <color rgb="FFFF0000"/>
        <rFont val="Cambria"/>
        <family val="1"/>
        <scheme val="major"/>
      </rPr>
      <t>R.2</t>
    </r>
  </si>
  <si>
    <t>RT-88000-70210-044-1-DD-D</t>
  </si>
  <si>
    <t>E/F Protective Cap for Plug Gaug'g</t>
  </si>
  <si>
    <t>RT-87600-0250-1-GA-C</t>
  </si>
  <si>
    <t>10A</t>
  </si>
  <si>
    <t>Lattice Sleeve Removal Tool HWT</t>
  </si>
  <si>
    <r>
      <rPr>
        <b/>
        <sz val="11"/>
        <rFont val="Cambria"/>
        <family val="1"/>
        <scheme val="major"/>
      </rPr>
      <t>RT98</t>
    </r>
    <r>
      <rPr>
        <sz val="11"/>
        <rFont val="Cambria"/>
        <family val="1"/>
        <scheme val="major"/>
      </rPr>
      <t>-87540-PN-R002-</t>
    </r>
    <r>
      <rPr>
        <b/>
        <sz val="11"/>
        <color rgb="FFFF0000"/>
        <rFont val="Cambria"/>
        <family val="1"/>
        <scheme val="major"/>
      </rPr>
      <t>R1</t>
    </r>
  </si>
  <si>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</si>
  <si>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</si>
  <si>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</si>
  <si>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</si>
  <si>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</si>
  <si>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</si>
  <si>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</si>
  <si>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</si>
  <si>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</si>
  <si>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</si>
  <si>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</si>
  <si>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</si>
  <si>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</si>
  <si>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</si>
  <si>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</si>
  <si>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</si>
  <si>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</si>
  <si>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PO1023676</t>
  </si>
  <si>
    <t>4039090-101</t>
  </si>
  <si>
    <t>Sleeve, Screw</t>
  </si>
  <si>
    <r>
      <t>PO1023677-</t>
    </r>
    <r>
      <rPr>
        <b/>
        <sz val="12"/>
        <color rgb="FFFF0000"/>
        <rFont val="Cambria"/>
        <family val="1"/>
        <scheme val="major"/>
      </rPr>
      <t>R.1</t>
    </r>
  </si>
  <si>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</si>
  <si>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</si>
  <si>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</si>
  <si>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</si>
  <si>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</si>
  <si>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</si>
  <si>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</si>
  <si>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</si>
  <si>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</si>
  <si>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</si>
  <si>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</si>
  <si>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</si>
  <si>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</si>
  <si>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</si>
  <si>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</si>
  <si>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</si>
  <si>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</si>
  <si>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</si>
  <si>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79RF-3117-0002-01-DD-2</t>
  </si>
  <si>
    <t>Padmashri Paranjape</t>
  </si>
  <si>
    <t>Screw Feeder Coupling Cap Scerw</t>
  </si>
  <si>
    <r>
      <rPr>
        <b/>
        <sz val="12"/>
        <color theme="9" tint="-0.249977111117893"/>
        <rFont val="Cambria"/>
        <family val="1"/>
        <scheme val="major"/>
      </rPr>
      <t>RT30</t>
    </r>
    <r>
      <rPr>
        <sz val="12"/>
        <rFont val="Cambria"/>
        <family val="1"/>
        <scheme val="major"/>
      </rPr>
      <t>-12100-PN-R002</t>
    </r>
  </si>
  <si>
    <t>Flange Feeder Mock-up</t>
  </si>
  <si>
    <t>Hub Feeder Mock up -2.1/2"</t>
  </si>
  <si>
    <t>RT-87120-70184-003-01-DD-B</t>
  </si>
  <si>
    <t>Washer Feeder Mock-up Seal Ring</t>
  </si>
  <si>
    <t>XX-31912-959-1-GA-E</t>
  </si>
  <si>
    <t>1+ 4</t>
  </si>
  <si>
    <t>Flask and Trolley for Garter Spring</t>
  </si>
  <si>
    <t>$49,452/$ 47,452</t>
  </si>
  <si>
    <r>
      <rPr>
        <b/>
        <sz val="12"/>
        <color theme="3" tint="0.39997558519241921"/>
        <rFont val="Cambria"/>
        <family val="1"/>
        <scheme val="major"/>
      </rPr>
      <t>RT79</t>
    </r>
    <r>
      <rPr>
        <sz val="12"/>
        <rFont val="Cambria"/>
        <family val="1"/>
        <scheme val="major"/>
      </rPr>
      <t>-31912-PN-R006</t>
    </r>
  </si>
  <si>
    <t>1,3,5.7</t>
  </si>
  <si>
    <t>Antirotation Tube</t>
  </si>
  <si>
    <t>91397- Rev.1</t>
  </si>
  <si>
    <t>2,4,6,8</t>
  </si>
  <si>
    <t>Center Tube Body</t>
  </si>
  <si>
    <t>58967-MAPIR-ASSY- R/W</t>
  </si>
  <si>
    <r>
      <t xml:space="preserve">Single Piston Inj Blk-R/W- </t>
    </r>
    <r>
      <rPr>
        <b/>
        <sz val="8"/>
        <color rgb="FFFF0000"/>
        <rFont val="Cambria"/>
        <family val="1"/>
        <scheme val="major"/>
      </rPr>
      <t>W/O# 25-7258- Huntsville</t>
    </r>
  </si>
  <si>
    <t>NMP5V-22 ASY- R/W</t>
  </si>
  <si>
    <r>
      <t>Raptor Block R/W-</t>
    </r>
    <r>
      <rPr>
        <b/>
        <sz val="11"/>
        <color rgb="FFFF0000"/>
        <rFont val="Cambria"/>
        <family val="1"/>
        <scheme val="major"/>
      </rPr>
      <t>W/O# 25/7285- Kipling</t>
    </r>
  </si>
  <si>
    <r>
      <t>Raptor Block R/W-</t>
    </r>
    <r>
      <rPr>
        <b/>
        <sz val="11"/>
        <color rgb="FFFF0000"/>
        <rFont val="Cambria"/>
        <family val="1"/>
        <scheme val="major"/>
      </rPr>
      <t>W/O# 25/7287- Fremont</t>
    </r>
  </si>
  <si>
    <r>
      <t>Raptor Block R/W-</t>
    </r>
    <r>
      <rPr>
        <b/>
        <sz val="11"/>
        <color rgb="FFFF0000"/>
        <rFont val="Cambria"/>
        <family val="1"/>
        <scheme val="major"/>
      </rPr>
      <t>W/O# 25/7284- Mexico</t>
    </r>
  </si>
  <si>
    <r>
      <t>Raptor Block R/W-</t>
    </r>
    <r>
      <rPr>
        <b/>
        <sz val="11"/>
        <color rgb="FFFF0000"/>
        <rFont val="Cambria"/>
        <family val="1"/>
        <scheme val="major"/>
      </rPr>
      <t>W/O# 25/7288- Nanno</t>
    </r>
  </si>
  <si>
    <r>
      <t>Raptor Block R/W-</t>
    </r>
    <r>
      <rPr>
        <b/>
        <sz val="11"/>
        <color rgb="FFFF0000"/>
        <rFont val="Cambria"/>
        <family val="1"/>
        <scheme val="major"/>
      </rPr>
      <t>W/O# 25/7286- Fremont</t>
    </r>
  </si>
  <si>
    <r>
      <t>Raptor Block R/W-</t>
    </r>
    <r>
      <rPr>
        <b/>
        <sz val="10.5"/>
        <color rgb="FFFF0000"/>
        <rFont val="Cambria"/>
        <family val="1"/>
        <scheme val="major"/>
      </rPr>
      <t>W/O# 25/7283- Huntsville</t>
    </r>
  </si>
  <si>
    <t>RT98-87540-PN-R003</t>
  </si>
  <si>
    <t>RT-87540-021-01-DD-C</t>
  </si>
  <si>
    <t>Support Brkt for spring Inst Tool</t>
  </si>
  <si>
    <t>RT-87540-0212-01-GA-C</t>
  </si>
  <si>
    <t>Hardware for Spring Pin Inst Tool</t>
  </si>
  <si>
    <t>GD322-0001-1-RFIX01</t>
  </si>
  <si>
    <t>Detent Spring</t>
  </si>
  <si>
    <t>NPO#</t>
  </si>
  <si>
    <t>TS-412-04-11MK</t>
  </si>
  <si>
    <t>Ann N</t>
  </si>
  <si>
    <t>Yoke-F/I A2- H/T to RC 57-60</t>
  </si>
  <si>
    <t>021HBDMD03-C00</t>
  </si>
  <si>
    <t>Pourhead Bracket-3B Palm Down</t>
  </si>
  <si>
    <t>PD-21175</t>
  </si>
  <si>
    <t>1-Set</t>
  </si>
  <si>
    <t>Misc Parts</t>
  </si>
  <si>
    <t>Measure/Draw/ Make</t>
  </si>
  <si>
    <t>Ultimaker PPS-CFF  500Gr</t>
  </si>
  <si>
    <r>
      <t xml:space="preserve">159.02 + </t>
    </r>
    <r>
      <rPr>
        <b/>
        <sz val="12"/>
        <color rgb="FFFF0000"/>
        <rFont val="Cambria"/>
        <family val="1"/>
        <scheme val="major"/>
      </rPr>
      <t>75+70</t>
    </r>
  </si>
  <si>
    <t>Ultimaker Tought PLA- Red</t>
  </si>
  <si>
    <t>4039650-101</t>
  </si>
  <si>
    <t>Mount, Target</t>
  </si>
  <si>
    <t>PO1022591</t>
  </si>
  <si>
    <t>4037119-151</t>
  </si>
  <si>
    <t>Torque Tube Assy</t>
  </si>
  <si>
    <t>PO1022592</t>
  </si>
  <si>
    <t>4037738-101</t>
  </si>
  <si>
    <t>Block, Belleville</t>
  </si>
  <si>
    <t>PO1023915</t>
  </si>
  <si>
    <t>Carlton Paiz</t>
  </si>
  <si>
    <t>Stamps to be identified</t>
  </si>
  <si>
    <t>RT-88000-70047-000-1-GA-D</t>
  </si>
  <si>
    <t>Protective Sleeve</t>
  </si>
  <si>
    <r>
      <t>RT98-88010-PN-R001-</t>
    </r>
    <r>
      <rPr>
        <b/>
        <sz val="11"/>
        <color rgb="FFFF0000"/>
        <rFont val="Cambria"/>
        <family val="1"/>
        <scheme val="major"/>
      </rPr>
      <t>R.3</t>
    </r>
  </si>
  <si>
    <t>Cart Frame</t>
  </si>
  <si>
    <t>91367- Rev.3</t>
  </si>
  <si>
    <t>4~5</t>
  </si>
  <si>
    <t>NAA Bulkhead Frame</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</si>
  <si>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</si>
  <si>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</si>
  <si>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</si>
  <si>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</si>
  <si>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</si>
  <si>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</si>
  <si>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</si>
  <si>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</si>
  <si>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</si>
  <si>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</si>
  <si>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</si>
  <si>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</si>
  <si>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</si>
  <si>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AD</t>
  </si>
  <si>
    <t>Unrolled Hub</t>
  </si>
  <si>
    <t>chris</t>
  </si>
  <si>
    <t>Hub repair</t>
  </si>
  <si>
    <t>Order Entry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</si>
</sst>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99">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9"/>
      <name val="Cambria"/>
      <family val="1"/>
      <scheme val="major"/>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b/>
      <sz val="10.5"/>
      <color theme="1"/>
      <name val="Cambria"/>
      <family val="1"/>
      <scheme val="major"/>
    </font>
    <font>
      <sz val="10.5"/>
      <color theme="1"/>
      <name val="Cambria"/>
      <family val="1"/>
      <scheme val="major"/>
    </font>
    <font>
      <b/>
      <sz val="10.5"/>
      <color rgb="FFFF3300"/>
      <name val="Cambria"/>
      <family val="1"/>
      <scheme val="major"/>
    </font>
    <font>
      <b/>
      <sz val="10.5"/>
      <color rgb="FFFF0000"/>
      <name val="Cambria"/>
      <family val="1"/>
      <scheme val="major"/>
    </font>
    <font>
      <b/>
      <sz val="12"/>
      <color rgb="FFFF3300"/>
      <name val="Cambria"/>
      <family val="1"/>
      <scheme val="major"/>
    </font>
    <font>
      <sz val="11"/>
      <color indexed="81"/>
      <name val="Tahoma"/>
      <family val="2"/>
    </font>
    <font>
      <b/>
      <sz val="12"/>
      <color theme="1"/>
      <name val="Cambria"/>
      <family val="1"/>
      <scheme val="major"/>
    </font>
    <font>
      <i/>
      <sz val="9"/>
      <name val="Cambria"/>
      <family val="1"/>
      <scheme val="major"/>
    </font>
    <font>
      <sz val="12"/>
      <color theme="1"/>
      <name val="Cambria"/>
      <family val="1"/>
      <scheme val="major"/>
    </font>
    <font>
      <b/>
      <sz val="12"/>
      <color theme="5" tint="-0.249977111117893"/>
      <name val="Cambria"/>
      <family val="1"/>
      <scheme val="major"/>
    </font>
    <font>
      <sz val="9"/>
      <name val="宋体"/>
      <family val="3"/>
      <charset val="134"/>
    </font>
    <font>
      <u/>
      <sz val="10"/>
      <color theme="10"/>
      <name val="Arial"/>
      <family val="2"/>
    </font>
    <font>
      <sz val="14"/>
      <name val="Verdana"/>
      <family val="2"/>
    </font>
    <font>
      <sz val="10"/>
      <color rgb="FFFF0000"/>
      <name val="Cambria"/>
      <family val="1"/>
      <scheme val="major"/>
    </font>
    <font>
      <b/>
      <sz val="9"/>
      <color rgb="FF0070C0"/>
      <name val="Cambria"/>
      <family val="1"/>
      <scheme val="major"/>
    </font>
    <font>
      <b/>
      <sz val="11.5"/>
      <name val="Cambria"/>
      <family val="1"/>
      <scheme val="major"/>
    </font>
    <font>
      <b/>
      <sz val="11"/>
      <color theme="3" tint="0.39997558519241921"/>
      <name val="Cambria"/>
      <family val="1"/>
      <scheme val="major"/>
    </font>
    <font>
      <b/>
      <sz val="11"/>
      <color theme="9" tint="-0.249977111117893"/>
      <name val="Cambria"/>
      <family val="1"/>
      <scheme val="major"/>
    </font>
    <font>
      <sz val="11"/>
      <color rgb="FFFF0000"/>
      <name val="Cambria"/>
      <family val="1"/>
      <scheme val="major"/>
    </font>
    <font>
      <b/>
      <sz val="11"/>
      <color theme="1"/>
      <name val="Cambria"/>
      <family val="1"/>
      <scheme val="major"/>
    </font>
    <font>
      <sz val="10.5"/>
      <name val="Cambria"/>
      <family val="1"/>
      <scheme val="major"/>
    </font>
    <font>
      <b/>
      <i/>
      <sz val="11"/>
      <color indexed="81"/>
      <name val="Vandra"/>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rgb="FFFFCCCC"/>
        <bgColor indexed="64"/>
      </patternFill>
    </fill>
    <fill>
      <patternFill patternType="solid">
        <fgColor theme="7" tint="0.79998168889431442"/>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0" fontId="88" fillId="0" borderId="0" applyNumberFormat="0" applyFill="0" applyBorder="0" applyAlignment="0" applyProtection="0"/>
    <xf numFmtId="44" fontId="10" fillId="0" borderId="0" applyFont="0" applyFill="0" applyBorder="0" applyAlignment="0" applyProtection="0"/>
  </cellStyleXfs>
  <cellXfs count="476">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65" fontId="8" fillId="3" borderId="0" xfId="1" applyNumberFormat="1" applyFont="1" applyFill="1" applyAlignment="1" applyProtection="1">
      <alignment horizontal="left" vertical="center"/>
      <protection locked="0"/>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0" fontId="50"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64"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64"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48" fillId="0" borderId="0" xfId="0" applyNumberFormat="1" applyFont="1" applyAlignment="1" applyProtection="1">
      <alignment horizontal="left" vertical="center"/>
      <protection locked="0"/>
    </xf>
    <xf numFmtId="168" fontId="50" fillId="0" borderId="0" xfId="0" applyNumberFormat="1" applyFont="1" applyAlignment="1" applyProtection="1">
      <alignment horizontal="center" vertical="center"/>
      <protection locked="0"/>
    </xf>
    <xf numFmtId="0" fontId="8" fillId="0" borderId="0" xfId="0" applyFont="1" applyAlignment="1" applyProtection="1">
      <alignment horizontal="left" vertical="center"/>
      <protection locked="0"/>
    </xf>
    <xf numFmtId="1" fontId="8" fillId="3" borderId="0" xfId="1" applyNumberFormat="1" applyFont="1" applyFill="1" applyAlignment="1" applyProtection="1">
      <alignment horizontal="left"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64"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64"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7"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0" fontId="52" fillId="0" borderId="0" xfId="0" applyFont="1" applyAlignment="1" applyProtection="1">
      <alignment horizontal="center"/>
      <protection locked="0"/>
    </xf>
    <xf numFmtId="0" fontId="54" fillId="0" borderId="0" xfId="0" applyFont="1" applyAlignment="1" applyProtection="1">
      <alignment horizontal="center"/>
      <protection locked="0"/>
    </xf>
    <xf numFmtId="49" fontId="51" fillId="2" borderId="3" xfId="0" applyNumberFormat="1" applyFont="1" applyFill="1" applyBorder="1" applyAlignment="1" applyProtection="1">
      <alignment horizontal="center"/>
      <protection locked="0"/>
    </xf>
    <xf numFmtId="166" fontId="51" fillId="2" borderId="3" xfId="0" applyNumberFormat="1" applyFont="1" applyFill="1" applyBorder="1" applyAlignment="1" applyProtection="1">
      <alignment horizontal="center" vertical="center"/>
      <protection locked="0"/>
    </xf>
    <xf numFmtId="166" fontId="50" fillId="0" borderId="0" xfId="0" applyNumberFormat="1" applyFont="1" applyAlignment="1" applyProtection="1">
      <alignment horizontal="center"/>
      <protection locked="0"/>
    </xf>
    <xf numFmtId="164" fontId="50" fillId="0" borderId="0" xfId="0" applyNumberFormat="1" applyFont="1" applyAlignment="1" applyProtection="1">
      <alignment horizontal="center"/>
      <protection locked="0"/>
    </xf>
    <xf numFmtId="169" fontId="50" fillId="0" borderId="0" xfId="0" applyNumberFormat="1" applyFont="1" applyAlignment="1" applyProtection="1">
      <alignment horizontal="center"/>
      <protection locked="0"/>
    </xf>
    <xf numFmtId="166" fontId="52" fillId="0" borderId="0" xfId="0" applyNumberFormat="1" applyFont="1" applyAlignment="1" applyProtection="1">
      <alignment horizontal="center"/>
      <protection locked="0"/>
    </xf>
    <xf numFmtId="14" fontId="8" fillId="0" borderId="0" xfId="0" applyNumberFormat="1" applyFont="1" applyAlignment="1" applyProtection="1">
      <alignment horizontal="left" vertical="center"/>
      <protection locked="0"/>
    </xf>
    <xf numFmtId="49" fontId="8" fillId="3" borderId="0" xfId="1" applyNumberFormat="1" applyFont="1" applyFill="1" applyAlignment="1" applyProtection="1">
      <alignment horizontal="left" vertical="center"/>
      <protection locked="0"/>
    </xf>
    <xf numFmtId="0" fontId="61"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1" fontId="8" fillId="0" borderId="0" xfId="0" applyNumberFormat="1" applyFont="1" applyAlignment="1" applyProtection="1">
      <alignment horizontal="left" vertical="center"/>
      <protection locked="0"/>
    </xf>
    <xf numFmtId="0" fontId="10" fillId="9" borderId="0" xfId="1" applyFill="1" applyAlignment="1">
      <alignment horizontal="left" vertical="center"/>
    </xf>
    <xf numFmtId="0" fontId="89" fillId="0" borderId="0" xfId="4" applyFont="1" applyAlignment="1" applyProtection="1">
      <alignment horizontal="left" vertical="center"/>
      <protection locked="0"/>
    </xf>
    <xf numFmtId="1" fontId="50" fillId="18" borderId="1" xfId="1" applyNumberFormat="1" applyFont="1" applyFill="1" applyBorder="1" applyAlignment="1">
      <alignment horizontal="center" vertical="center"/>
    </xf>
    <xf numFmtId="1" fontId="51" fillId="18" borderId="1" xfId="1" applyNumberFormat="1" applyFont="1" applyFill="1" applyBorder="1" applyAlignment="1">
      <alignment horizontal="center" vertical="center"/>
    </xf>
    <xf numFmtId="1" fontId="50" fillId="18" borderId="0" xfId="1" applyNumberFormat="1" applyFont="1" applyFill="1" applyAlignment="1" applyProtection="1">
      <alignment horizontal="left" vertical="center"/>
      <protection locked="0"/>
    </xf>
    <xf numFmtId="0" fontId="51" fillId="18" borderId="0" xfId="1" applyFont="1" applyFill="1" applyAlignment="1" applyProtection="1">
      <alignment horizontal="center" vertical="center"/>
      <protection locked="0"/>
    </xf>
    <xf numFmtId="49" fontId="50" fillId="18" borderId="0" xfId="1" applyNumberFormat="1" applyFont="1" applyFill="1" applyAlignment="1" applyProtection="1">
      <alignment horizontal="left" vertical="center"/>
      <protection locked="0"/>
    </xf>
    <xf numFmtId="49" fontId="50" fillId="18" borderId="0" xfId="1" applyNumberFormat="1" applyFont="1" applyFill="1" applyAlignment="1" applyProtection="1">
      <alignment horizontal="center"/>
      <protection locked="0"/>
    </xf>
    <xf numFmtId="164" fontId="50" fillId="18" borderId="0" xfId="1" applyNumberFormat="1" applyFont="1" applyFill="1" applyAlignment="1" applyProtection="1">
      <alignment horizontal="center" vertical="center"/>
      <protection locked="0"/>
    </xf>
    <xf numFmtId="0" fontId="50" fillId="18" borderId="0" xfId="1" applyFont="1" applyFill="1" applyAlignment="1" applyProtection="1">
      <alignment horizontal="center" vertical="center"/>
      <protection locked="0"/>
    </xf>
    <xf numFmtId="165" fontId="53" fillId="18" borderId="0" xfId="1" applyNumberFormat="1" applyFont="1" applyFill="1" applyAlignment="1" applyProtection="1">
      <alignment horizontal="center" vertical="center"/>
      <protection locked="0"/>
    </xf>
    <xf numFmtId="0" fontId="50" fillId="18" borderId="1" xfId="1" applyFont="1" applyFill="1" applyBorder="1" applyAlignment="1" applyProtection="1">
      <alignment horizontal="center" vertical="center"/>
      <protection locked="0"/>
    </xf>
    <xf numFmtId="49" fontId="52" fillId="18" borderId="0" xfId="1" applyNumberFormat="1" applyFont="1" applyFill="1" applyAlignment="1" applyProtection="1">
      <alignment horizontal="center" vertical="center"/>
      <protection locked="0"/>
    </xf>
    <xf numFmtId="1" fontId="50" fillId="18" borderId="0" xfId="1" applyNumberFormat="1" applyFont="1" applyFill="1" applyAlignment="1" applyProtection="1">
      <alignment horizontal="center" vertical="center"/>
      <protection locked="0"/>
    </xf>
    <xf numFmtId="49" fontId="54" fillId="18" borderId="0" xfId="1" applyNumberFormat="1" applyFont="1" applyFill="1" applyAlignment="1" applyProtection="1">
      <alignment horizontal="center" vertical="center"/>
      <protection locked="0"/>
    </xf>
    <xf numFmtId="166" fontId="50" fillId="18" borderId="0" xfId="1" applyNumberFormat="1" applyFont="1" applyFill="1" applyAlignment="1" applyProtection="1">
      <alignment horizontal="center" vertical="center"/>
      <protection locked="0"/>
    </xf>
    <xf numFmtId="169" fontId="50" fillId="18" borderId="0" xfId="1" applyNumberFormat="1" applyFont="1" applyFill="1" applyAlignment="1" applyProtection="1">
      <alignment horizontal="center" vertical="center"/>
      <protection locked="0"/>
    </xf>
    <xf numFmtId="1" fontId="50" fillId="18" borderId="0" xfId="1" applyNumberFormat="1" applyFont="1" applyFill="1" applyAlignment="1">
      <alignment horizontal="center" vertical="center"/>
    </xf>
    <xf numFmtId="0" fontId="50" fillId="0" borderId="1" xfId="1" applyFont="1" applyBorder="1" applyProtection="1">
      <protection locked="0"/>
    </xf>
    <xf numFmtId="0" fontId="50" fillId="0" borderId="0" xfId="1" applyFont="1" applyProtection="1">
      <protection locked="0"/>
    </xf>
    <xf numFmtId="1" fontId="51" fillId="18" borderId="0" xfId="1" applyNumberFormat="1" applyFont="1" applyFill="1" applyAlignment="1" applyProtection="1">
      <alignment horizontal="center" vertical="center"/>
      <protection locked="0"/>
    </xf>
    <xf numFmtId="49" fontId="51" fillId="18" borderId="0" xfId="1" applyNumberFormat="1" applyFont="1" applyFill="1" applyAlignment="1" applyProtection="1">
      <alignment horizontal="left" vertical="center"/>
      <protection locked="0"/>
    </xf>
    <xf numFmtId="49" fontId="51" fillId="18" borderId="0" xfId="1" applyNumberFormat="1" applyFont="1" applyFill="1" applyAlignment="1" applyProtection="1">
      <alignment horizontal="center"/>
      <protection locked="0"/>
    </xf>
    <xf numFmtId="164" fontId="51" fillId="18" borderId="0" xfId="1" applyNumberFormat="1" applyFont="1" applyFill="1" applyAlignment="1" applyProtection="1">
      <alignment horizontal="center" vertical="center"/>
      <protection locked="0"/>
    </xf>
    <xf numFmtId="165" fontId="51" fillId="18" borderId="0" xfId="1" applyNumberFormat="1" applyFont="1" applyFill="1" applyAlignment="1" applyProtection="1">
      <alignment horizontal="center" vertical="center"/>
      <protection locked="0"/>
    </xf>
    <xf numFmtId="166" fontId="51" fillId="18" borderId="0" xfId="1" applyNumberFormat="1" applyFont="1" applyFill="1" applyAlignment="1" applyProtection="1">
      <alignment horizontal="center" vertical="center"/>
      <protection locked="0"/>
    </xf>
    <xf numFmtId="0" fontId="51" fillId="0" borderId="36" xfId="1" applyFont="1" applyBorder="1"/>
    <xf numFmtId="0" fontId="53" fillId="0" borderId="39" xfId="1" applyFont="1" applyBorder="1" applyProtection="1">
      <protection locked="0"/>
    </xf>
    <xf numFmtId="0" fontId="51" fillId="0" borderId="0" xfId="1" applyFont="1" applyProtection="1">
      <protection locked="0"/>
    </xf>
    <xf numFmtId="0" fontId="51" fillId="0" borderId="40" xfId="1" applyFont="1" applyBorder="1" applyProtection="1">
      <protection locked="0"/>
    </xf>
    <xf numFmtId="0" fontId="51" fillId="0" borderId="36" xfId="1" applyFont="1" applyBorder="1" applyProtection="1">
      <protection locked="0"/>
    </xf>
    <xf numFmtId="0" fontId="53" fillId="0" borderId="36" xfId="1" applyFont="1" applyBorder="1" applyProtection="1">
      <protection locked="0"/>
    </xf>
    <xf numFmtId="0" fontId="53" fillId="0" borderId="0" xfId="1" applyFont="1" applyProtection="1">
      <protection locked="0"/>
    </xf>
    <xf numFmtId="1" fontId="51" fillId="2" borderId="2" xfId="1" applyNumberFormat="1" applyFont="1" applyFill="1" applyBorder="1" applyAlignment="1" applyProtection="1">
      <alignment horizontal="center" vertical="center"/>
      <protection locked="0"/>
    </xf>
    <xf numFmtId="1" fontId="51" fillId="2" borderId="3" xfId="1" applyNumberFormat="1" applyFont="1" applyFill="1" applyBorder="1" applyAlignment="1" applyProtection="1">
      <alignment horizontal="center" vertical="center"/>
      <protection locked="0"/>
    </xf>
    <xf numFmtId="49" fontId="51" fillId="2" borderId="3" xfId="1" applyNumberFormat="1" applyFont="1" applyFill="1" applyBorder="1" applyAlignment="1" applyProtection="1">
      <alignment horizontal="left" vertical="center"/>
      <protection locked="0"/>
    </xf>
    <xf numFmtId="0" fontId="51" fillId="2" borderId="3" xfId="1" applyFont="1" applyFill="1" applyBorder="1" applyAlignment="1" applyProtection="1">
      <alignment horizontal="center" vertical="center"/>
      <protection locked="0"/>
    </xf>
    <xf numFmtId="49" fontId="51" fillId="2" borderId="3" xfId="1" applyNumberFormat="1" applyFont="1" applyFill="1" applyBorder="1" applyAlignment="1" applyProtection="1">
      <alignment horizontal="center"/>
      <protection locked="0"/>
    </xf>
    <xf numFmtId="164" fontId="51" fillId="2" borderId="3" xfId="1" applyNumberFormat="1" applyFont="1" applyFill="1" applyBorder="1" applyAlignment="1" applyProtection="1">
      <alignment horizontal="center" vertical="center"/>
      <protection locked="0"/>
    </xf>
    <xf numFmtId="165" fontId="51" fillId="2" borderId="3" xfId="1" applyNumberFormat="1" applyFont="1" applyFill="1" applyBorder="1" applyAlignment="1" applyProtection="1">
      <alignment horizontal="center" vertical="center"/>
      <protection locked="0"/>
    </xf>
    <xf numFmtId="49" fontId="63" fillId="2" borderId="3" xfId="1" applyNumberFormat="1" applyFont="1" applyFill="1" applyBorder="1" applyAlignment="1" applyProtection="1">
      <alignment horizontal="center" vertical="center"/>
      <protection locked="0"/>
    </xf>
    <xf numFmtId="49" fontId="54" fillId="2" borderId="3" xfId="1" applyNumberFormat="1" applyFont="1" applyFill="1" applyBorder="1" applyAlignment="1" applyProtection="1">
      <alignment horizontal="center" vertical="center"/>
      <protection locked="0"/>
    </xf>
    <xf numFmtId="166" fontId="51" fillId="2" borderId="3" xfId="1" applyNumberFormat="1" applyFont="1" applyFill="1" applyBorder="1" applyAlignment="1" applyProtection="1">
      <alignment horizontal="center" vertical="center"/>
      <protection locked="0"/>
    </xf>
    <xf numFmtId="169" fontId="50" fillId="2" borderId="3" xfId="1" applyNumberFormat="1" applyFont="1" applyFill="1" applyBorder="1" applyAlignment="1" applyProtection="1">
      <alignment horizontal="center" vertical="center"/>
      <protection locked="0"/>
    </xf>
    <xf numFmtId="1" fontId="51" fillId="2" borderId="37" xfId="1" applyNumberFormat="1" applyFont="1" applyFill="1" applyBorder="1" applyAlignment="1" applyProtection="1">
      <alignment horizontal="center" vertical="center"/>
      <protection locked="0"/>
    </xf>
    <xf numFmtId="0" fontId="50" fillId="0" borderId="36" xfId="1" applyFont="1" applyBorder="1" applyProtection="1">
      <protection locked="0"/>
    </xf>
    <xf numFmtId="166" fontId="53" fillId="0" borderId="4" xfId="1" applyNumberFormat="1" applyFont="1" applyBorder="1" applyProtection="1">
      <protection locked="0"/>
    </xf>
    <xf numFmtId="166" fontId="51" fillId="0" borderId="0" xfId="1" applyNumberFormat="1" applyFont="1" applyProtection="1">
      <protection locked="0"/>
    </xf>
    <xf numFmtId="166" fontId="51" fillId="0" borderId="4" xfId="1" applyNumberFormat="1" applyFont="1" applyBorder="1" applyProtection="1">
      <protection locked="0"/>
    </xf>
    <xf numFmtId="15" fontId="53" fillId="0" borderId="39" xfId="1" applyNumberFormat="1" applyFont="1" applyBorder="1" applyProtection="1">
      <protection locked="0"/>
    </xf>
    <xf numFmtId="15" fontId="51" fillId="0" borderId="40" xfId="1" applyNumberFormat="1" applyFont="1" applyBorder="1" applyProtection="1">
      <protection locked="0"/>
    </xf>
    <xf numFmtId="15" fontId="51" fillId="0" borderId="36" xfId="1" applyNumberFormat="1" applyFont="1" applyBorder="1" applyProtection="1">
      <protection locked="0"/>
    </xf>
    <xf numFmtId="15" fontId="53" fillId="0" borderId="36" xfId="1" applyNumberFormat="1" applyFont="1" applyBorder="1" applyProtection="1">
      <protection locked="0"/>
    </xf>
    <xf numFmtId="15" fontId="53" fillId="0" borderId="4" xfId="1" applyNumberFormat="1" applyFont="1" applyBorder="1" applyProtection="1">
      <protection locked="0"/>
    </xf>
    <xf numFmtId="15" fontId="51" fillId="0" borderId="4" xfId="1" applyNumberFormat="1" applyFont="1" applyBorder="1" applyProtection="1">
      <protection locked="0"/>
    </xf>
    <xf numFmtId="0" fontId="50" fillId="0" borderId="4" xfId="1" applyFont="1" applyBorder="1" applyProtection="1">
      <protection locked="0"/>
    </xf>
    <xf numFmtId="1" fontId="50" fillId="0" borderId="0" xfId="1" applyNumberFormat="1" applyFont="1" applyAlignment="1" applyProtection="1">
      <alignment horizontal="center" vertical="center"/>
      <protection locked="0"/>
    </xf>
    <xf numFmtId="1" fontId="51" fillId="21" borderId="0" xfId="1" applyNumberFormat="1" applyFont="1" applyFill="1" applyAlignment="1" applyProtection="1">
      <alignment horizontal="center" vertical="center"/>
      <protection locked="0"/>
    </xf>
    <xf numFmtId="49" fontId="50" fillId="0" borderId="0" xfId="1" applyNumberFormat="1" applyFont="1" applyAlignment="1" applyProtection="1">
      <alignment horizontal="left" vertical="center"/>
      <protection locked="0"/>
    </xf>
    <xf numFmtId="0" fontId="50" fillId="0" borderId="0" xfId="1" applyFont="1" applyAlignment="1" applyProtection="1">
      <alignment horizontal="center" vertical="center"/>
      <protection locked="0"/>
    </xf>
    <xf numFmtId="49" fontId="50" fillId="0" borderId="0" xfId="1" applyNumberFormat="1" applyFont="1" applyAlignment="1" applyProtection="1">
      <alignment horizontal="center"/>
      <protection locked="0"/>
    </xf>
    <xf numFmtId="164" fontId="50" fillId="0" borderId="0" xfId="1" applyNumberFormat="1" applyFont="1" applyAlignment="1" applyProtection="1">
      <alignment horizontal="center" vertical="center"/>
      <protection locked="0"/>
    </xf>
    <xf numFmtId="165" fontId="50" fillId="0" borderId="0" xfId="1" applyNumberFormat="1" applyFont="1" applyAlignment="1" applyProtection="1">
      <alignment horizontal="center" vertical="center"/>
      <protection locked="0"/>
    </xf>
    <xf numFmtId="49" fontId="52" fillId="0" borderId="0" xfId="1" applyNumberFormat="1" applyFont="1" applyAlignment="1" applyProtection="1">
      <alignment horizontal="center" vertical="center"/>
      <protection locked="0"/>
    </xf>
    <xf numFmtId="49" fontId="54" fillId="0" borderId="0" xfId="1" applyNumberFormat="1" applyFont="1" applyAlignment="1" applyProtection="1">
      <alignment horizontal="center" vertical="center"/>
      <protection locked="0"/>
    </xf>
    <xf numFmtId="166" fontId="56" fillId="0" borderId="0" xfId="1" applyNumberFormat="1" applyFont="1" applyAlignment="1" applyProtection="1">
      <alignment horizontal="center" vertical="center"/>
      <protection locked="0"/>
    </xf>
    <xf numFmtId="169" fontId="50" fillId="0" borderId="0" xfId="1" applyNumberFormat="1" applyFont="1" applyAlignment="1" applyProtection="1">
      <alignment horizontal="center" vertical="center"/>
      <protection locked="0"/>
    </xf>
    <xf numFmtId="1" fontId="50" fillId="0" borderId="0" xfId="1" applyNumberFormat="1" applyFont="1" applyAlignment="1">
      <alignment horizontal="center" vertical="center"/>
    </xf>
    <xf numFmtId="1" fontId="51" fillId="0" borderId="0" xfId="1" applyNumberFormat="1" applyFont="1" applyAlignment="1" applyProtection="1">
      <alignment horizontal="center" vertical="center"/>
      <protection locked="0"/>
    </xf>
    <xf numFmtId="166" fontId="50" fillId="0" borderId="0" xfId="1" applyNumberFormat="1" applyFont="1" applyAlignment="1" applyProtection="1">
      <alignment horizontal="center" vertical="center"/>
      <protection locked="0"/>
    </xf>
    <xf numFmtId="1" fontId="51" fillId="19" borderId="0" xfId="1" applyNumberFormat="1" applyFont="1" applyFill="1" applyAlignment="1" applyProtection="1">
      <alignment horizontal="center" vertical="center"/>
      <protection locked="0"/>
    </xf>
    <xf numFmtId="49" fontId="49" fillId="0" borderId="0" xfId="1" applyNumberFormat="1" applyFont="1" applyAlignment="1" applyProtection="1">
      <alignment horizontal="center"/>
      <protection locked="0"/>
    </xf>
    <xf numFmtId="1" fontId="51" fillId="20" borderId="0" xfId="1" applyNumberFormat="1" applyFont="1" applyFill="1" applyAlignment="1" applyProtection="1">
      <alignment horizontal="center" vertical="center"/>
      <protection locked="0"/>
    </xf>
    <xf numFmtId="0" fontId="60" fillId="0" borderId="0" xfId="1" applyFont="1" applyAlignment="1" applyProtection="1">
      <alignment horizontal="center" vertical="center"/>
      <protection locked="0"/>
    </xf>
    <xf numFmtId="49" fontId="59" fillId="0" borderId="0" xfId="1" applyNumberFormat="1" applyFont="1" applyAlignment="1" applyProtection="1">
      <alignment horizontal="center" vertical="center"/>
      <protection locked="0"/>
    </xf>
    <xf numFmtId="166" fontId="52" fillId="20" borderId="0" xfId="1" applyNumberFormat="1" applyFont="1" applyFill="1" applyAlignment="1" applyProtection="1">
      <alignment horizontal="center" vertical="center"/>
      <protection locked="0"/>
    </xf>
    <xf numFmtId="0" fontId="50" fillId="0" borderId="0" xfId="1" applyFont="1" applyAlignment="1" applyProtection="1">
      <alignment horizontal="center"/>
      <protection locked="0"/>
    </xf>
    <xf numFmtId="0" fontId="51" fillId="0" borderId="0" xfId="1" applyFont="1" applyAlignment="1" applyProtection="1">
      <alignment horizontal="center"/>
      <protection locked="0"/>
    </xf>
    <xf numFmtId="0" fontId="50" fillId="0" borderId="0" xfId="1" applyFont="1" applyAlignment="1" applyProtection="1">
      <alignment horizontal="left"/>
      <protection locked="0"/>
    </xf>
    <xf numFmtId="0" fontId="48" fillId="0" borderId="0" xfId="1" applyFont="1" applyProtection="1">
      <protection locked="0"/>
    </xf>
    <xf numFmtId="164" fontId="50" fillId="0" borderId="0" xfId="1" applyNumberFormat="1" applyFont="1" applyAlignment="1" applyProtection="1">
      <alignment horizontal="center"/>
      <protection locked="0"/>
    </xf>
    <xf numFmtId="0" fontId="52" fillId="0" borderId="0" xfId="1" applyFont="1" applyAlignment="1" applyProtection="1">
      <alignment horizontal="center"/>
      <protection locked="0"/>
    </xf>
    <xf numFmtId="0" fontId="54" fillId="0" borderId="0" xfId="1" applyFont="1" applyAlignment="1" applyProtection="1">
      <alignment horizontal="center"/>
      <protection locked="0"/>
    </xf>
    <xf numFmtId="166" fontId="50" fillId="0" borderId="0" xfId="1" applyNumberFormat="1" applyFont="1" applyAlignment="1" applyProtection="1">
      <alignment horizontal="center"/>
      <protection locked="0"/>
    </xf>
    <xf numFmtId="169" fontId="50" fillId="0" borderId="0" xfId="1" applyNumberFormat="1" applyFont="1" applyAlignment="1" applyProtection="1">
      <alignment horizontal="center"/>
      <protection locked="0"/>
    </xf>
    <xf numFmtId="0" fontId="48" fillId="0" borderId="0" xfId="1" applyFont="1" applyAlignment="1" applyProtection="1">
      <alignment horizontal="left"/>
      <protection locked="0"/>
    </xf>
    <xf numFmtId="0" fontId="65" fillId="0" borderId="0" xfId="1" applyFont="1" applyAlignment="1" applyProtection="1">
      <alignment horizontal="center" vertical="center"/>
      <protection locked="0"/>
    </xf>
    <xf numFmtId="0" fontId="50" fillId="14" borderId="0" xfId="1" applyFont="1" applyFill="1" applyAlignment="1" applyProtection="1">
      <alignment horizontal="center"/>
      <protection locked="0"/>
    </xf>
    <xf numFmtId="0" fontId="51" fillId="14" borderId="0" xfId="1" applyFont="1" applyFill="1" applyAlignment="1" applyProtection="1">
      <alignment horizontal="center"/>
      <protection locked="0"/>
    </xf>
    <xf numFmtId="0" fontId="50" fillId="14" borderId="0" xfId="1" applyFont="1" applyFill="1" applyProtection="1">
      <protection locked="0"/>
    </xf>
    <xf numFmtId="0" fontId="50" fillId="14" borderId="0" xfId="1" applyFont="1" applyFill="1" applyAlignment="1" applyProtection="1">
      <alignment horizontal="left"/>
      <protection locked="0"/>
    </xf>
    <xf numFmtId="164" fontId="50" fillId="14" borderId="0" xfId="1" applyNumberFormat="1" applyFont="1" applyFill="1" applyAlignment="1" applyProtection="1">
      <alignment horizontal="center"/>
      <protection locked="0"/>
    </xf>
    <xf numFmtId="0" fontId="50" fillId="14" borderId="0" xfId="1" applyFont="1" applyFill="1" applyAlignment="1" applyProtection="1">
      <alignment horizontal="center" vertical="center"/>
      <protection locked="0"/>
    </xf>
    <xf numFmtId="165" fontId="50" fillId="14" borderId="0" xfId="1" applyNumberFormat="1" applyFont="1" applyFill="1" applyAlignment="1" applyProtection="1">
      <alignment horizontal="center" vertical="center"/>
      <protection locked="0"/>
    </xf>
    <xf numFmtId="0" fontId="48" fillId="14" borderId="0" xfId="1" applyFont="1" applyFill="1" applyAlignment="1" applyProtection="1">
      <alignment horizontal="center" vertical="center"/>
      <protection locked="0"/>
    </xf>
    <xf numFmtId="0" fontId="52" fillId="14" borderId="0" xfId="1" applyFont="1" applyFill="1" applyAlignment="1" applyProtection="1">
      <alignment horizontal="center"/>
      <protection locked="0"/>
    </xf>
    <xf numFmtId="0" fontId="54" fillId="14" borderId="0" xfId="1" applyFont="1" applyFill="1" applyAlignment="1" applyProtection="1">
      <alignment horizontal="center"/>
      <protection locked="0"/>
    </xf>
    <xf numFmtId="166" fontId="50" fillId="14" borderId="0" xfId="1" applyNumberFormat="1" applyFont="1" applyFill="1" applyAlignment="1" applyProtection="1">
      <alignment horizontal="center"/>
      <protection locked="0"/>
    </xf>
    <xf numFmtId="0" fontId="57" fillId="14" borderId="0" xfId="1" applyFont="1" applyFill="1" applyAlignment="1" applyProtection="1">
      <alignment horizontal="center" vertical="center"/>
      <protection locked="0"/>
    </xf>
    <xf numFmtId="0" fontId="50" fillId="22" borderId="0" xfId="1" applyFont="1" applyFill="1" applyAlignment="1" applyProtection="1">
      <alignment horizontal="center"/>
      <protection locked="0"/>
    </xf>
    <xf numFmtId="0" fontId="51" fillId="22" borderId="0" xfId="1" applyFont="1" applyFill="1" applyAlignment="1" applyProtection="1">
      <alignment horizontal="center"/>
      <protection locked="0"/>
    </xf>
    <xf numFmtId="0" fontId="50" fillId="22" borderId="0" xfId="1" applyFont="1" applyFill="1" applyProtection="1">
      <protection locked="0"/>
    </xf>
    <xf numFmtId="0" fontId="50" fillId="22" borderId="0" xfId="1" applyFont="1" applyFill="1" applyAlignment="1" applyProtection="1">
      <alignment horizontal="left"/>
      <protection locked="0"/>
    </xf>
    <xf numFmtId="164" fontId="50" fillId="22" borderId="0" xfId="1" applyNumberFormat="1" applyFont="1" applyFill="1" applyAlignment="1" applyProtection="1">
      <alignment horizontal="center"/>
      <protection locked="0"/>
    </xf>
    <xf numFmtId="0" fontId="50" fillId="22" borderId="0" xfId="1" applyFont="1" applyFill="1" applyAlignment="1" applyProtection="1">
      <alignment horizontal="center" vertical="center"/>
      <protection locked="0"/>
    </xf>
    <xf numFmtId="165" fontId="50" fillId="22" borderId="0" xfId="1" applyNumberFormat="1" applyFont="1" applyFill="1" applyAlignment="1" applyProtection="1">
      <alignment horizontal="center" vertical="center"/>
      <protection locked="0"/>
    </xf>
    <xf numFmtId="0" fontId="52" fillId="22" borderId="0" xfId="1" applyFont="1" applyFill="1" applyAlignment="1" applyProtection="1">
      <alignment horizontal="center"/>
      <protection locked="0"/>
    </xf>
    <xf numFmtId="0" fontId="54" fillId="22" borderId="0" xfId="1" applyFont="1" applyFill="1" applyAlignment="1" applyProtection="1">
      <alignment horizontal="center"/>
      <protection locked="0"/>
    </xf>
    <xf numFmtId="166" fontId="50" fillId="22" borderId="0" xfId="1" applyNumberFormat="1" applyFont="1" applyFill="1" applyAlignment="1" applyProtection="1">
      <alignment horizontal="center"/>
      <protection locked="0"/>
    </xf>
    <xf numFmtId="0" fontId="50" fillId="13" borderId="0" xfId="1" applyFont="1" applyFill="1" applyAlignment="1" applyProtection="1">
      <alignment horizontal="center"/>
      <protection locked="0"/>
    </xf>
    <xf numFmtId="0" fontId="51" fillId="13" borderId="0" xfId="1" applyFont="1" applyFill="1" applyAlignment="1" applyProtection="1">
      <alignment horizontal="center"/>
      <protection locked="0"/>
    </xf>
    <xf numFmtId="0" fontId="50" fillId="13" borderId="0" xfId="1" applyFont="1" applyFill="1" applyProtection="1">
      <protection locked="0"/>
    </xf>
    <xf numFmtId="0" fontId="50" fillId="13" borderId="0" xfId="1" applyFont="1" applyFill="1" applyAlignment="1" applyProtection="1">
      <alignment horizontal="left"/>
      <protection locked="0"/>
    </xf>
    <xf numFmtId="164" fontId="50" fillId="13" borderId="0" xfId="1" applyNumberFormat="1" applyFont="1" applyFill="1" applyAlignment="1" applyProtection="1">
      <alignment horizontal="center"/>
      <protection locked="0"/>
    </xf>
    <xf numFmtId="0" fontId="50" fillId="13" borderId="0" xfId="1" applyFont="1" applyFill="1" applyAlignment="1" applyProtection="1">
      <alignment horizontal="center" vertical="center"/>
      <protection locked="0"/>
    </xf>
    <xf numFmtId="165" fontId="50" fillId="13" borderId="0" xfId="1" applyNumberFormat="1" applyFont="1" applyFill="1" applyAlignment="1" applyProtection="1">
      <alignment horizontal="center" vertical="center"/>
      <protection locked="0"/>
    </xf>
    <xf numFmtId="0" fontId="52" fillId="13" borderId="0" xfId="1" applyFont="1" applyFill="1" applyAlignment="1" applyProtection="1">
      <alignment horizontal="center"/>
      <protection locked="0"/>
    </xf>
    <xf numFmtId="0" fontId="54" fillId="13" borderId="0" xfId="1" applyFont="1" applyFill="1" applyAlignment="1" applyProtection="1">
      <alignment horizontal="center"/>
      <protection locked="0"/>
    </xf>
    <xf numFmtId="166" fontId="50" fillId="13" borderId="0" xfId="1" applyNumberFormat="1" applyFont="1" applyFill="1" applyAlignment="1" applyProtection="1">
      <alignment horizontal="center"/>
      <protection locked="0"/>
    </xf>
    <xf numFmtId="169" fontId="50" fillId="13" borderId="0" xfId="1" applyNumberFormat="1" applyFont="1" applyFill="1" applyAlignment="1" applyProtection="1">
      <alignment horizontal="center"/>
      <protection locked="0"/>
    </xf>
    <xf numFmtId="0" fontId="50" fillId="23" borderId="0" xfId="1" applyFont="1" applyFill="1" applyAlignment="1" applyProtection="1">
      <alignment horizontal="center"/>
      <protection locked="0"/>
    </xf>
    <xf numFmtId="0" fontId="51" fillId="25" borderId="0" xfId="1" applyFont="1" applyFill="1" applyAlignment="1" applyProtection="1">
      <alignment horizontal="center"/>
      <protection locked="0"/>
    </xf>
    <xf numFmtId="0" fontId="50" fillId="4" borderId="0" xfId="1" applyFont="1" applyFill="1" applyAlignment="1" applyProtection="1">
      <alignment horizontal="center"/>
      <protection locked="0"/>
    </xf>
    <xf numFmtId="0" fontId="57" fillId="13" borderId="0" xfId="1" applyFont="1" applyFill="1" applyProtection="1">
      <protection locked="0"/>
    </xf>
    <xf numFmtId="0" fontId="57" fillId="23" borderId="0" xfId="1" applyFont="1" applyFill="1" applyAlignment="1" applyProtection="1">
      <alignment horizontal="center" vertical="center"/>
      <protection locked="0"/>
    </xf>
    <xf numFmtId="0" fontId="52" fillId="23" borderId="0" xfId="1" applyFont="1" applyFill="1" applyAlignment="1" applyProtection="1">
      <alignment horizontal="center"/>
      <protection locked="0"/>
    </xf>
    <xf numFmtId="0" fontId="50" fillId="23" borderId="0" xfId="1" applyFont="1" applyFill="1" applyAlignment="1" applyProtection="1">
      <alignment horizontal="center" vertical="center"/>
      <protection locked="0"/>
    </xf>
    <xf numFmtId="0" fontId="54" fillId="23" borderId="0" xfId="1" applyFont="1" applyFill="1" applyAlignment="1" applyProtection="1">
      <alignment horizontal="center"/>
      <protection locked="0"/>
    </xf>
    <xf numFmtId="0" fontId="48" fillId="0" borderId="0" xfId="1" applyFont="1" applyAlignment="1" applyProtection="1">
      <alignment horizontal="center" vertical="center"/>
      <protection locked="0"/>
    </xf>
    <xf numFmtId="0" fontId="50" fillId="0" borderId="0" xfId="1" applyFont="1" applyAlignment="1" applyProtection="1">
      <alignment horizontal="left" vertical="center"/>
      <protection locked="0"/>
    </xf>
    <xf numFmtId="0" fontId="65" fillId="13" borderId="0" xfId="1" applyFont="1" applyFill="1" applyProtection="1">
      <protection locked="0"/>
    </xf>
    <xf numFmtId="0" fontId="48" fillId="13" borderId="0" xfId="1" applyFont="1" applyFill="1" applyAlignment="1" applyProtection="1">
      <alignment horizontal="center" vertical="center"/>
      <protection locked="0"/>
    </xf>
    <xf numFmtId="166" fontId="52" fillId="13" borderId="0" xfId="1" applyNumberFormat="1" applyFont="1" applyFill="1" applyAlignment="1" applyProtection="1">
      <alignment horizontal="center"/>
      <protection locked="0"/>
    </xf>
    <xf numFmtId="0" fontId="51" fillId="23" borderId="0" xfId="1" applyFont="1" applyFill="1" applyAlignment="1" applyProtection="1">
      <alignment horizontal="center"/>
      <protection locked="0"/>
    </xf>
    <xf numFmtId="0" fontId="50" fillId="23" borderId="0" xfId="1" applyFont="1" applyFill="1" applyProtection="1">
      <protection locked="0"/>
    </xf>
    <xf numFmtId="0" fontId="50" fillId="23" borderId="0" xfId="1" applyFont="1" applyFill="1" applyAlignment="1" applyProtection="1">
      <alignment horizontal="left"/>
      <protection locked="0"/>
    </xf>
    <xf numFmtId="0" fontId="57" fillId="23" borderId="0" xfId="1" applyFont="1" applyFill="1" applyProtection="1">
      <protection locked="0"/>
    </xf>
    <xf numFmtId="164" fontId="50" fillId="23" borderId="0" xfId="1" applyNumberFormat="1" applyFont="1" applyFill="1" applyAlignment="1" applyProtection="1">
      <alignment horizontal="center"/>
      <protection locked="0"/>
    </xf>
    <xf numFmtId="165" fontId="50" fillId="23" borderId="0" xfId="1" applyNumberFormat="1" applyFont="1" applyFill="1" applyAlignment="1" applyProtection="1">
      <alignment horizontal="center" vertical="center"/>
      <protection locked="0"/>
    </xf>
    <xf numFmtId="166" fontId="50" fillId="23" borderId="0" xfId="1" applyNumberFormat="1" applyFont="1" applyFill="1" applyAlignment="1" applyProtection="1">
      <alignment horizontal="center"/>
      <protection locked="0"/>
    </xf>
    <xf numFmtId="165" fontId="49" fillId="23" borderId="0" xfId="1" applyNumberFormat="1" applyFont="1" applyFill="1" applyAlignment="1" applyProtection="1">
      <alignment horizontal="center" vertical="center"/>
      <protection locked="0"/>
    </xf>
    <xf numFmtId="166" fontId="52" fillId="23" borderId="0" xfId="1" applyNumberFormat="1" applyFont="1" applyFill="1" applyAlignment="1" applyProtection="1">
      <alignment horizontal="center"/>
      <protection locked="0"/>
    </xf>
    <xf numFmtId="0" fontId="57" fillId="0" borderId="0" xfId="1" applyFont="1" applyProtection="1">
      <protection locked="0"/>
    </xf>
    <xf numFmtId="0" fontId="77" fillId="23" borderId="0" xfId="1" applyFont="1" applyFill="1" applyAlignment="1" applyProtection="1">
      <alignment horizontal="center" vertical="center"/>
      <protection locked="0"/>
    </xf>
    <xf numFmtId="0" fontId="51" fillId="26" borderId="0" xfId="1" applyFont="1" applyFill="1" applyAlignment="1" applyProtection="1">
      <alignment horizontal="center"/>
      <protection locked="0"/>
    </xf>
    <xf numFmtId="0" fontId="50" fillId="26" borderId="0" xfId="1" applyFont="1" applyFill="1" applyAlignment="1" applyProtection="1">
      <alignment horizontal="left"/>
      <protection locked="0"/>
    </xf>
    <xf numFmtId="0" fontId="56" fillId="0" borderId="0" xfId="1" applyFont="1" applyAlignment="1" applyProtection="1">
      <alignment horizontal="center"/>
      <protection locked="0"/>
    </xf>
    <xf numFmtId="0" fontId="50" fillId="24" borderId="0" xfId="1" applyFont="1" applyFill="1" applyAlignment="1" applyProtection="1">
      <alignment horizontal="center"/>
      <protection locked="0"/>
    </xf>
    <xf numFmtId="0" fontId="51" fillId="24" borderId="0" xfId="1" applyFont="1" applyFill="1" applyAlignment="1" applyProtection="1">
      <alignment horizontal="center"/>
      <protection locked="0"/>
    </xf>
    <xf numFmtId="0" fontId="50" fillId="24" borderId="0" xfId="1" applyFont="1" applyFill="1" applyProtection="1">
      <protection locked="0"/>
    </xf>
    <xf numFmtId="0" fontId="50" fillId="24" borderId="0" xfId="1" applyFont="1" applyFill="1" applyAlignment="1" applyProtection="1">
      <alignment horizontal="left"/>
      <protection locked="0"/>
    </xf>
    <xf numFmtId="0" fontId="65" fillId="24" borderId="0" xfId="1" applyFont="1" applyFill="1" applyProtection="1">
      <protection locked="0"/>
    </xf>
    <xf numFmtId="164" fontId="50" fillId="24" borderId="0" xfId="1" applyNumberFormat="1" applyFont="1" applyFill="1" applyAlignment="1" applyProtection="1">
      <alignment horizontal="center"/>
      <protection locked="0"/>
    </xf>
    <xf numFmtId="0" fontId="50" fillId="24" borderId="0" xfId="1" applyFont="1" applyFill="1" applyAlignment="1" applyProtection="1">
      <alignment horizontal="center" vertical="center"/>
      <protection locked="0"/>
    </xf>
    <xf numFmtId="165" fontId="50" fillId="24" borderId="0" xfId="1" applyNumberFormat="1" applyFont="1" applyFill="1" applyAlignment="1" applyProtection="1">
      <alignment horizontal="center" vertical="center"/>
      <protection locked="0"/>
    </xf>
    <xf numFmtId="0" fontId="60" fillId="24" borderId="0" xfId="1" applyFont="1" applyFill="1" applyAlignment="1" applyProtection="1">
      <alignment horizontal="center" vertical="center"/>
      <protection locked="0"/>
    </xf>
    <xf numFmtId="0" fontId="52" fillId="24" borderId="0" xfId="1" applyFont="1" applyFill="1" applyAlignment="1" applyProtection="1">
      <alignment horizontal="center"/>
      <protection locked="0"/>
    </xf>
    <xf numFmtId="0" fontId="54" fillId="24" borderId="0" xfId="1" applyFont="1" applyFill="1" applyAlignment="1" applyProtection="1">
      <alignment horizontal="center"/>
      <protection locked="0"/>
    </xf>
    <xf numFmtId="166" fontId="52" fillId="24" borderId="0" xfId="1" applyNumberFormat="1" applyFont="1" applyFill="1" applyAlignment="1" applyProtection="1">
      <alignment horizontal="center"/>
      <protection locked="0"/>
    </xf>
    <xf numFmtId="169" fontId="50" fillId="24" borderId="0" xfId="1" applyNumberFormat="1" applyFont="1" applyFill="1" applyAlignment="1" applyProtection="1">
      <alignment horizontal="center"/>
      <protection locked="0"/>
    </xf>
    <xf numFmtId="0" fontId="57" fillId="24" borderId="0" xfId="1" applyFont="1" applyFill="1" applyAlignment="1" applyProtection="1">
      <alignment horizontal="center" vertical="center"/>
      <protection locked="0"/>
    </xf>
    <xf numFmtId="166" fontId="51" fillId="24" borderId="0" xfId="1" applyNumberFormat="1" applyFont="1" applyFill="1" applyAlignment="1" applyProtection="1">
      <alignment horizontal="center"/>
      <protection locked="0"/>
    </xf>
    <xf numFmtId="0" fontId="67" fillId="0" borderId="0" xfId="1" applyFont="1" applyProtection="1">
      <protection locked="0"/>
    </xf>
    <xf numFmtId="0" fontId="67" fillId="23" borderId="0" xfId="1" applyFont="1" applyFill="1" applyProtection="1">
      <protection locked="0"/>
    </xf>
    <xf numFmtId="0" fontId="75" fillId="23" borderId="0" xfId="1" applyFont="1" applyFill="1" applyAlignment="1" applyProtection="1">
      <alignment horizontal="center" vertical="center"/>
      <protection locked="0"/>
    </xf>
    <xf numFmtId="166" fontId="56" fillId="23" borderId="0" xfId="1" applyNumberFormat="1" applyFont="1" applyFill="1" applyAlignment="1" applyProtection="1">
      <alignment horizontal="center"/>
      <protection locked="0"/>
    </xf>
    <xf numFmtId="0" fontId="49" fillId="0" borderId="0" xfId="1" applyFont="1" applyProtection="1">
      <protection locked="0"/>
    </xf>
    <xf numFmtId="0" fontId="57" fillId="0" borderId="0" xfId="1" applyFont="1" applyAlignment="1" applyProtection="1">
      <alignment horizontal="center" vertical="center"/>
      <protection locked="0"/>
    </xf>
    <xf numFmtId="166" fontId="52" fillId="0" borderId="0" xfId="1" applyNumberFormat="1" applyFont="1" applyAlignment="1" applyProtection="1">
      <alignment horizontal="center"/>
      <protection locked="0"/>
    </xf>
    <xf numFmtId="0" fontId="60" fillId="0" borderId="0" xfId="1" applyFont="1" applyProtection="1">
      <protection locked="0"/>
    </xf>
    <xf numFmtId="0" fontId="50" fillId="26" borderId="0" xfId="1" applyFont="1" applyFill="1" applyAlignment="1" applyProtection="1">
      <alignment horizontal="center"/>
      <protection locked="0"/>
    </xf>
    <xf numFmtId="0" fontId="50" fillId="26" borderId="0" xfId="1" applyFont="1" applyFill="1" applyProtection="1">
      <protection locked="0"/>
    </xf>
    <xf numFmtId="0" fontId="49" fillId="26" borderId="0" xfId="1" applyFont="1" applyFill="1" applyProtection="1">
      <protection locked="0"/>
    </xf>
    <xf numFmtId="164" fontId="50" fillId="26" borderId="0" xfId="1" applyNumberFormat="1" applyFont="1" applyFill="1" applyAlignment="1" applyProtection="1">
      <alignment horizontal="center"/>
      <protection locked="0"/>
    </xf>
    <xf numFmtId="0" fontId="53" fillId="26" borderId="0" xfId="1" applyFont="1" applyFill="1" applyAlignment="1" applyProtection="1">
      <alignment horizontal="center" vertical="center"/>
      <protection locked="0"/>
    </xf>
    <xf numFmtId="165" fontId="50" fillId="26" borderId="0" xfId="1" applyNumberFormat="1" applyFont="1" applyFill="1" applyAlignment="1" applyProtection="1">
      <alignment horizontal="center" vertical="center"/>
      <protection locked="0"/>
    </xf>
    <xf numFmtId="0" fontId="50" fillId="26" borderId="0" xfId="1" applyFont="1" applyFill="1" applyAlignment="1" applyProtection="1">
      <alignment horizontal="center" vertical="center"/>
      <protection locked="0"/>
    </xf>
    <xf numFmtId="0" fontId="51" fillId="0" borderId="0" xfId="1" applyFont="1" applyAlignment="1" applyProtection="1">
      <alignment horizontal="center" vertical="center"/>
      <protection locked="0"/>
    </xf>
    <xf numFmtId="44" fontId="50" fillId="0" borderId="0" xfId="5" applyFont="1" applyAlignment="1" applyProtection="1">
      <alignment horizontal="center" vertical="center"/>
      <protection locked="0"/>
    </xf>
    <xf numFmtId="0" fontId="51" fillId="4" borderId="0" xfId="1" applyFont="1" applyFill="1" applyAlignment="1" applyProtection="1">
      <alignment horizontal="center"/>
      <protection locked="0"/>
    </xf>
    <xf numFmtId="0" fontId="51" fillId="27" borderId="0" xfId="1" applyFont="1" applyFill="1" applyAlignment="1" applyProtection="1">
      <alignment horizontal="center"/>
      <protection locked="0"/>
    </xf>
    <xf numFmtId="0" fontId="50" fillId="28" borderId="0" xfId="1" applyFont="1" applyFill="1" applyAlignment="1" applyProtection="1">
      <alignment horizontal="center"/>
      <protection locked="0"/>
    </xf>
    <xf numFmtId="0" fontId="51" fillId="28" borderId="0" xfId="1" applyFont="1" applyFill="1" applyAlignment="1" applyProtection="1">
      <alignment horizontal="center"/>
      <protection locked="0"/>
    </xf>
    <xf numFmtId="0" fontId="50" fillId="28" borderId="0" xfId="1" applyFont="1" applyFill="1" applyProtection="1">
      <protection locked="0"/>
    </xf>
    <xf numFmtId="0" fontId="75" fillId="28" borderId="0" xfId="1" applyFont="1" applyFill="1" applyAlignment="1" applyProtection="1">
      <alignment horizontal="left"/>
      <protection locked="0"/>
    </xf>
    <xf numFmtId="0" fontId="49" fillId="28" borderId="0" xfId="1" applyFont="1" applyFill="1" applyProtection="1">
      <protection locked="0"/>
    </xf>
    <xf numFmtId="164" fontId="50" fillId="28" borderId="0" xfId="1" applyNumberFormat="1" applyFont="1" applyFill="1" applyAlignment="1" applyProtection="1">
      <alignment horizontal="center"/>
      <protection locked="0"/>
    </xf>
    <xf numFmtId="0" fontId="50" fillId="28" borderId="0" xfId="1" applyFont="1" applyFill="1" applyAlignment="1" applyProtection="1">
      <alignment horizontal="center" vertical="center"/>
      <protection locked="0"/>
    </xf>
    <xf numFmtId="165" fontId="50" fillId="28" borderId="0" xfId="1" applyNumberFormat="1" applyFont="1" applyFill="1" applyAlignment="1" applyProtection="1">
      <alignment horizontal="center" vertical="center"/>
      <protection locked="0"/>
    </xf>
    <xf numFmtId="0" fontId="52" fillId="28" borderId="0" xfId="1" applyFont="1" applyFill="1" applyAlignment="1" applyProtection="1">
      <alignment horizontal="center"/>
      <protection locked="0"/>
    </xf>
    <xf numFmtId="0" fontId="54" fillId="28" borderId="0" xfId="1" applyFont="1" applyFill="1" applyAlignment="1" applyProtection="1">
      <alignment horizontal="center"/>
      <protection locked="0"/>
    </xf>
    <xf numFmtId="166" fontId="51" fillId="28" borderId="0" xfId="1" applyNumberFormat="1" applyFont="1" applyFill="1" applyAlignment="1" applyProtection="1">
      <alignment horizontal="center"/>
      <protection locked="0"/>
    </xf>
    <xf numFmtId="166" fontId="85" fillId="0" borderId="0" xfId="1" applyNumberFormat="1" applyFont="1" applyAlignment="1" applyProtection="1">
      <alignment horizontal="center"/>
      <protection locked="0"/>
    </xf>
    <xf numFmtId="0" fontId="52" fillId="26" borderId="0" xfId="1" applyFont="1" applyFill="1" applyAlignment="1" applyProtection="1">
      <alignment horizontal="center" vertical="center"/>
      <protection locked="0"/>
    </xf>
    <xf numFmtId="0" fontId="48" fillId="26" borderId="0" xfId="1" applyFont="1" applyFill="1" applyProtection="1">
      <protection locked="0"/>
    </xf>
    <xf numFmtId="0" fontId="48" fillId="26" borderId="0" xfId="1" applyFont="1" applyFill="1" applyAlignment="1" applyProtection="1">
      <alignment horizontal="center" vertical="center"/>
      <protection locked="0"/>
    </xf>
    <xf numFmtId="166" fontId="52" fillId="26" borderId="0" xfId="1" applyNumberFormat="1" applyFont="1" applyFill="1" applyAlignment="1" applyProtection="1">
      <alignment horizontal="center"/>
      <protection locked="0"/>
    </xf>
    <xf numFmtId="0" fontId="64" fillId="0" borderId="0" xfId="1" applyFont="1" applyAlignment="1" applyProtection="1">
      <alignment horizontal="center"/>
      <protection locked="0"/>
    </xf>
    <xf numFmtId="0" fontId="49" fillId="14" borderId="0" xfId="1" applyFont="1" applyFill="1" applyProtection="1">
      <protection locked="0"/>
    </xf>
    <xf numFmtId="0" fontId="53" fillId="14" borderId="0" xfId="1" applyFont="1" applyFill="1" applyAlignment="1" applyProtection="1">
      <alignment horizontal="center" vertical="center"/>
      <protection locked="0"/>
    </xf>
    <xf numFmtId="0" fontId="84" fillId="0" borderId="0" xfId="1" applyFont="1" applyProtection="1">
      <protection locked="0"/>
    </xf>
    <xf numFmtId="166" fontId="56" fillId="0" borderId="0" xfId="1" applyNumberFormat="1" applyFont="1" applyAlignment="1" applyProtection="1">
      <alignment horizontal="center"/>
      <protection locked="0"/>
    </xf>
    <xf numFmtId="166" fontId="81" fillId="0" borderId="0" xfId="1" applyNumberFormat="1" applyFont="1" applyAlignment="1" applyProtection="1">
      <alignment horizontal="center"/>
      <protection locked="0"/>
    </xf>
    <xf numFmtId="166" fontId="50" fillId="28" borderId="0" xfId="1" applyNumberFormat="1" applyFont="1" applyFill="1" applyAlignment="1" applyProtection="1">
      <alignment horizontal="center"/>
      <protection locked="0"/>
    </xf>
    <xf numFmtId="0" fontId="53" fillId="0" borderId="0" xfId="1" applyFont="1" applyAlignment="1" applyProtection="1">
      <alignment horizontal="center" vertical="center"/>
      <protection locked="0"/>
    </xf>
    <xf numFmtId="3" fontId="50" fillId="0" borderId="0" xfId="1" applyNumberFormat="1" applyFont="1" applyAlignment="1" applyProtection="1">
      <alignment horizontal="center"/>
      <protection locked="0"/>
    </xf>
    <xf numFmtId="166" fontId="50" fillId="4" borderId="0" xfId="1" applyNumberFormat="1" applyFont="1" applyFill="1" applyAlignment="1" applyProtection="1">
      <alignment horizontal="center"/>
      <protection locked="0"/>
    </xf>
    <xf numFmtId="0" fontId="70" fillId="0" borderId="0" xfId="1" applyFont="1" applyProtection="1">
      <protection locked="0"/>
    </xf>
    <xf numFmtId="166" fontId="53" fillId="0" borderId="0" xfId="1" applyNumberFormat="1" applyFont="1" applyAlignment="1" applyProtection="1">
      <alignment horizontal="center"/>
      <protection locked="0"/>
    </xf>
    <xf numFmtId="165" fontId="57" fillId="0" borderId="0" xfId="1" applyNumberFormat="1" applyFont="1" applyAlignment="1" applyProtection="1">
      <alignment horizontal="center" vertical="center"/>
      <protection locked="0"/>
    </xf>
    <xf numFmtId="0" fontId="65" fillId="0" borderId="0" xfId="1" applyFont="1" applyProtection="1">
      <protection locked="0"/>
    </xf>
    <xf numFmtId="0" fontId="97" fillId="0" borderId="0" xfId="1" applyFont="1" applyProtection="1">
      <protection locked="0"/>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9" fillId="0" borderId="15" xfId="1" applyFont="1" applyBorder="1"/>
    <xf numFmtId="0" fontId="35" fillId="0" borderId="19" xfId="1" applyFont="1" applyBorder="1" applyAlignment="1">
      <alignment horizontal="left"/>
    </xf>
    <xf numFmtId="0" fontId="38" fillId="0" borderId="19" xfId="1" applyFont="1" applyBorder="1" applyAlignment="1">
      <alignment horizontal="left"/>
    </xf>
    <xf numFmtId="0" fontId="34" fillId="0" borderId="30"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9" fillId="0" borderId="19" xfId="1" applyFont="1" applyBorder="1" applyAlignment="1">
      <alignment horizontal="left"/>
    </xf>
    <xf numFmtId="167" fontId="19" fillId="0" borderId="19" xfId="1" applyNumberFormat="1" applyFont="1" applyBorder="1" applyAlignment="1">
      <alignment horizontal="center"/>
    </xf>
    <xf numFmtId="167"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9" fillId="0" borderId="14" xfId="1" applyFont="1" applyBorder="1"/>
    <xf numFmtId="0" fontId="9" fillId="0" borderId="16" xfId="1" applyFont="1" applyBorder="1"/>
    <xf numFmtId="0" fontId="9" fillId="0" borderId="24" xfId="1" applyFont="1" applyBorder="1"/>
    <xf numFmtId="0" fontId="9" fillId="0" borderId="17" xfId="1" applyFont="1" applyBorder="1"/>
    <xf numFmtId="15" fontId="51" fillId="17" borderId="36" xfId="1" applyNumberFormat="1" applyFont="1" applyFill="1" applyBorder="1" applyAlignment="1" applyProtection="1">
      <alignment horizontal="center" vertical="center"/>
      <protection locked="0"/>
    </xf>
    <xf numFmtId="0" fontId="50" fillId="0" borderId="1" xfId="1" applyFont="1" applyBorder="1" applyAlignment="1" applyProtection="1">
      <alignment horizontal="center" vertical="center"/>
      <protection locked="0"/>
    </xf>
    <xf numFmtId="0" fontId="51" fillId="0" borderId="42" xfId="1" applyFont="1" applyBorder="1" applyAlignment="1" applyProtection="1">
      <alignment horizontal="center" vertical="center"/>
      <protection locked="0"/>
    </xf>
  </cellXfs>
  <cellStyles count="6">
    <cellStyle name="Bad" xfId="3" builtinId="27"/>
    <cellStyle name="Currency 2" xfId="5" xr:uid="{4AB5D141-8EE6-4801-88CE-BC96FDE3FB36}"/>
    <cellStyle name="Hyperlink" xfId="4" builtinId="8"/>
    <cellStyle name="Hyperlink 2" xfId="2" xr:uid="{00000000-0005-0000-0000-000002000000}"/>
    <cellStyle name="Normal" xfId="0" builtinId="0"/>
    <cellStyle name="Normal 2" xfId="1" xr:uid="{00000000-0005-0000-0000-000004000000}"/>
  </cellStyles>
  <dxfs count="952">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FFFF"/>
      <color rgb="FFCC66FF"/>
      <color rgb="FFFF3300"/>
      <color rgb="FFDDDDDD"/>
      <color rgb="FFC0C0C0"/>
      <color rgb="FFB2B2B2"/>
      <color rgb="FFFFFFCC"/>
      <color rgb="FFCCFFFF"/>
      <color rgb="FF66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15</xdr:col>
      <xdr:colOff>72580</xdr:colOff>
      <xdr:row>0</xdr:row>
      <xdr:rowOff>107200</xdr:rowOff>
    </xdr:from>
    <xdr:to>
      <xdr:col>16</xdr:col>
      <xdr:colOff>493025</xdr:colOff>
      <xdr:row>0</xdr:row>
      <xdr:rowOff>564400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AC492108-9741-4DB6-B11D-812A937F9536}"/>
            </a:ext>
          </a:extLst>
        </xdr:cNvPr>
        <xdr:cNvSpPr/>
      </xdr:nvSpPr>
      <xdr:spPr bwMode="auto">
        <a:xfrm>
          <a:off x="15579280" y="107200"/>
          <a:ext cx="201112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1485426</xdr:colOff>
      <xdr:row>1</xdr:row>
      <xdr:rowOff>46951</xdr:rowOff>
    </xdr:from>
    <xdr:to>
      <xdr:col>14</xdr:col>
      <xdr:colOff>695636</xdr:colOff>
      <xdr:row>1</xdr:row>
      <xdr:rowOff>504151</xdr:rowOff>
    </xdr:to>
    <xdr:sp macro="[1]!stamp.Stamp" textlink="">
      <xdr:nvSpPr>
        <xdr:cNvPr id="3" name="Rectangle 2">
          <a:extLst>
            <a:ext uri="{FF2B5EF4-FFF2-40B4-BE49-F238E27FC236}">
              <a16:creationId xmlns:a16="http://schemas.microsoft.com/office/drawing/2014/main" id="{A657E690-8BC0-43BA-A8E4-4005E012728C}"/>
            </a:ext>
          </a:extLst>
        </xdr:cNvPr>
        <xdr:cNvSpPr/>
      </xdr:nvSpPr>
      <xdr:spPr bwMode="auto">
        <a:xfrm>
          <a:off x="13410726" y="685126"/>
          <a:ext cx="2001035"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1487181</xdr:colOff>
      <xdr:row>0</xdr:row>
      <xdr:rowOff>116861</xdr:rowOff>
    </xdr:from>
    <xdr:to>
      <xdr:col>14</xdr:col>
      <xdr:colOff>697391</xdr:colOff>
      <xdr:row>0</xdr:row>
      <xdr:rowOff>573260</xdr:rowOff>
    </xdr:to>
    <xdr:sp macro="[1]!StampCGP.Stamp" textlink="">
      <xdr:nvSpPr>
        <xdr:cNvPr id="4" name="Rectangle 3">
          <a:extLst>
            <a:ext uri="{FF2B5EF4-FFF2-40B4-BE49-F238E27FC236}">
              <a16:creationId xmlns:a16="http://schemas.microsoft.com/office/drawing/2014/main" id="{0C492844-4F61-4219-83B1-27B9C8750A49}"/>
            </a:ext>
          </a:extLst>
        </xdr:cNvPr>
        <xdr:cNvSpPr/>
      </xdr:nvSpPr>
      <xdr:spPr bwMode="auto">
        <a:xfrm>
          <a:off x="13412481" y="116861"/>
          <a:ext cx="2001035" cy="456399"/>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200025</xdr:colOff>
          <xdr:row>0</xdr:row>
          <xdr:rowOff>123825</xdr:rowOff>
        </xdr:from>
        <xdr:to>
          <xdr:col>4</xdr:col>
          <xdr:colOff>1609725</xdr:colOff>
          <xdr:row>0</xdr:row>
          <xdr:rowOff>581025</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0000-000001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11"x17"</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0</xdr:row>
          <xdr:rowOff>123825</xdr:rowOff>
        </xdr:from>
        <xdr:to>
          <xdr:col>9</xdr:col>
          <xdr:colOff>800100</xdr:colOff>
          <xdr:row>0</xdr:row>
          <xdr:rowOff>581025</xdr:rowOff>
        </xdr:to>
        <xdr:sp macro="" textlink="">
          <xdr:nvSpPr>
            <xdr:cNvPr id="670722" name="Button 2" hidden="1">
              <a:extLst>
                <a:ext uri="{63B3BB69-23CF-44E3-9099-C40C66FF867C}">
                  <a14:compatExt spid="_x0000_s670722"/>
                </a:ext>
                <a:ext uri="{FF2B5EF4-FFF2-40B4-BE49-F238E27FC236}">
                  <a16:creationId xmlns:a16="http://schemas.microsoft.com/office/drawing/2014/main" id="{00000000-0008-0000-0000-000002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1819275</xdr:colOff>
          <xdr:row>0</xdr:row>
          <xdr:rowOff>123825</xdr:rowOff>
        </xdr:from>
        <xdr:to>
          <xdr:col>6</xdr:col>
          <xdr:colOff>1190625</xdr:colOff>
          <xdr:row>0</xdr:row>
          <xdr:rowOff>581025</xdr:rowOff>
        </xdr:to>
        <xdr:sp macro="" textlink="">
          <xdr:nvSpPr>
            <xdr:cNvPr id="670723" name="Button 3" hidden="1">
              <a:extLst>
                <a:ext uri="{63B3BB69-23CF-44E3-9099-C40C66FF867C}">
                  <a14:compatExt spid="_x0000_s670723"/>
                </a:ext>
                <a:ext uri="{FF2B5EF4-FFF2-40B4-BE49-F238E27FC236}">
                  <a16:creationId xmlns:a16="http://schemas.microsoft.com/office/drawing/2014/main" id="{00000000-0008-0000-0000-000003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8.5"x11"</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0</xdr:row>
          <xdr:rowOff>123825</xdr:rowOff>
        </xdr:from>
        <xdr:to>
          <xdr:col>3</xdr:col>
          <xdr:colOff>0</xdr:colOff>
          <xdr:row>0</xdr:row>
          <xdr:rowOff>581025</xdr:rowOff>
        </xdr:to>
        <xdr:sp macro="" textlink="">
          <xdr:nvSpPr>
            <xdr:cNvPr id="670724" name="Button 4" hidden="1">
              <a:extLst>
                <a:ext uri="{63B3BB69-23CF-44E3-9099-C40C66FF867C}">
                  <a14:compatExt spid="_x0000_s670724"/>
                </a:ext>
                <a:ext uri="{FF2B5EF4-FFF2-40B4-BE49-F238E27FC236}">
                  <a16:creationId xmlns:a16="http://schemas.microsoft.com/office/drawing/2014/main" id="{00000000-0008-0000-0000-000004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Check Existing MP with</a:t>
              </a:r>
            </a:p>
            <a:p>
              <a:pPr algn="ctr" rtl="0">
                <a:defRPr sz="1000"/>
              </a:pPr>
              <a:r>
                <a:rPr 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0</xdr:row>
          <xdr:rowOff>114300</xdr:rowOff>
        </xdr:from>
        <xdr:to>
          <xdr:col>10</xdr:col>
          <xdr:colOff>304800</xdr:colOff>
          <xdr:row>0</xdr:row>
          <xdr:rowOff>571500</xdr:rowOff>
        </xdr:to>
        <xdr:sp macro="" textlink="">
          <xdr:nvSpPr>
            <xdr:cNvPr id="670725" name="Button 5" hidden="1">
              <a:extLst>
                <a:ext uri="{63B3BB69-23CF-44E3-9099-C40C66FF867C}">
                  <a14:compatExt spid="_x0000_s670725"/>
                </a:ext>
                <a:ext uri="{FF2B5EF4-FFF2-40B4-BE49-F238E27FC236}">
                  <a16:creationId xmlns:a16="http://schemas.microsoft.com/office/drawing/2014/main" id="{00000000-0008-0000-0000-000005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Comments </a:t>
              </a:r>
            </a:p>
            <a:p>
              <a:pPr algn="ctr" rtl="0">
                <a:defRPr sz="1000"/>
              </a:pPr>
              <a:r>
                <a:rPr 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1</xdr:row>
          <xdr:rowOff>47625</xdr:rowOff>
        </xdr:from>
        <xdr:to>
          <xdr:col>4</xdr:col>
          <xdr:colOff>1609725</xdr:colOff>
          <xdr:row>1</xdr:row>
          <xdr:rowOff>495300</xdr:rowOff>
        </xdr:to>
        <xdr:sp macro="" textlink="">
          <xdr:nvSpPr>
            <xdr:cNvPr id="670726" name="Button 6" hidden="1">
              <a:extLst>
                <a:ext uri="{63B3BB69-23CF-44E3-9099-C40C66FF867C}">
                  <a14:compatExt spid="_x0000_s670726"/>
                </a:ext>
                <a:ext uri="{FF2B5EF4-FFF2-40B4-BE49-F238E27FC236}">
                  <a16:creationId xmlns:a16="http://schemas.microsoft.com/office/drawing/2014/main" id="{00000000-0008-0000-0000-000006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MHI</a:t>
              </a:r>
            </a:p>
            <a:p>
              <a:pPr algn="ctr" rtl="0">
                <a:defRPr sz="1000"/>
              </a:pPr>
              <a:r>
                <a:rPr 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1819275</xdr:colOff>
          <xdr:row>1</xdr:row>
          <xdr:rowOff>47625</xdr:rowOff>
        </xdr:from>
        <xdr:to>
          <xdr:col>6</xdr:col>
          <xdr:colOff>1190625</xdr:colOff>
          <xdr:row>1</xdr:row>
          <xdr:rowOff>495300</xdr:rowOff>
        </xdr:to>
        <xdr:sp macro="" textlink="">
          <xdr:nvSpPr>
            <xdr:cNvPr id="670727" name="Button 7" hidden="1">
              <a:extLst>
                <a:ext uri="{63B3BB69-23CF-44E3-9099-C40C66FF867C}">
                  <a14:compatExt spid="_x0000_s670727"/>
                </a:ext>
                <a:ext uri="{FF2B5EF4-FFF2-40B4-BE49-F238E27FC236}">
                  <a16:creationId xmlns:a16="http://schemas.microsoft.com/office/drawing/2014/main" id="{00000000-0008-0000-0000-000007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47625</xdr:rowOff>
        </xdr:from>
        <xdr:to>
          <xdr:col>3</xdr:col>
          <xdr:colOff>9525</xdr:colOff>
          <xdr:row>1</xdr:row>
          <xdr:rowOff>504825</xdr:rowOff>
        </xdr:to>
        <xdr:sp macro="" textlink="">
          <xdr:nvSpPr>
            <xdr:cNvPr id="670728" name="Button 8" hidden="1">
              <a:extLst>
                <a:ext uri="{63B3BB69-23CF-44E3-9099-C40C66FF867C}">
                  <a14:compatExt spid="_x0000_s670728"/>
                </a:ext>
                <a:ext uri="{FF2B5EF4-FFF2-40B4-BE49-F238E27FC236}">
                  <a16:creationId xmlns:a16="http://schemas.microsoft.com/office/drawing/2014/main" id="{00000000-0008-0000-0000-000008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1</xdr:row>
          <xdr:rowOff>47625</xdr:rowOff>
        </xdr:from>
        <xdr:to>
          <xdr:col>9</xdr:col>
          <xdr:colOff>800100</xdr:colOff>
          <xdr:row>1</xdr:row>
          <xdr:rowOff>504825</xdr:rowOff>
        </xdr:to>
        <xdr:sp macro="" textlink="">
          <xdr:nvSpPr>
            <xdr:cNvPr id="670729" name="Button 9" hidden="1">
              <a:extLst>
                <a:ext uri="{63B3BB69-23CF-44E3-9099-C40C66FF867C}">
                  <a14:compatExt spid="_x0000_s670729"/>
                </a:ext>
                <a:ext uri="{FF2B5EF4-FFF2-40B4-BE49-F238E27FC236}">
                  <a16:creationId xmlns:a16="http://schemas.microsoft.com/office/drawing/2014/main" id="{00000000-0008-0000-0000-000009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Kinectrics</a:t>
              </a:r>
            </a:p>
            <a:p>
              <a:pPr algn="ctr" rtl="0">
                <a:defRPr sz="1000"/>
              </a:pPr>
              <a:r>
                <a:rPr 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0</xdr:row>
          <xdr:rowOff>114300</xdr:rowOff>
        </xdr:from>
        <xdr:to>
          <xdr:col>11</xdr:col>
          <xdr:colOff>1323975</xdr:colOff>
          <xdr:row>0</xdr:row>
          <xdr:rowOff>571500</xdr:rowOff>
        </xdr:to>
        <xdr:sp macro="" textlink="">
          <xdr:nvSpPr>
            <xdr:cNvPr id="670730" name="Button 10" hidden="1">
              <a:extLst>
                <a:ext uri="{63B3BB69-23CF-44E3-9099-C40C66FF867C}">
                  <a14:compatExt spid="_x0000_s670730"/>
                </a:ext>
                <a:ext uri="{FF2B5EF4-FFF2-40B4-BE49-F238E27FC236}">
                  <a16:creationId xmlns:a16="http://schemas.microsoft.com/office/drawing/2014/main" id="{00000000-0008-0000-0000-00000A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1</xdr:row>
          <xdr:rowOff>47625</xdr:rowOff>
        </xdr:from>
        <xdr:to>
          <xdr:col>10</xdr:col>
          <xdr:colOff>314325</xdr:colOff>
          <xdr:row>1</xdr:row>
          <xdr:rowOff>504825</xdr:rowOff>
        </xdr:to>
        <xdr:sp macro="" textlink="">
          <xdr:nvSpPr>
            <xdr:cNvPr id="670731" name="Button 11" hidden="1">
              <a:extLst>
                <a:ext uri="{63B3BB69-23CF-44E3-9099-C40C66FF867C}">
                  <a14:compatExt spid="_x0000_s670731"/>
                </a:ext>
                <a:ext uri="{FF2B5EF4-FFF2-40B4-BE49-F238E27FC236}">
                  <a16:creationId xmlns:a16="http://schemas.microsoft.com/office/drawing/2014/main" id="{00000000-0008-0000-0000-00000B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1</xdr:row>
          <xdr:rowOff>47625</xdr:rowOff>
        </xdr:from>
        <xdr:to>
          <xdr:col>11</xdr:col>
          <xdr:colOff>1323975</xdr:colOff>
          <xdr:row>1</xdr:row>
          <xdr:rowOff>504825</xdr:rowOff>
        </xdr:to>
        <xdr:sp macro="" textlink="">
          <xdr:nvSpPr>
            <xdr:cNvPr id="670732" name="Button 12" hidden="1">
              <a:extLst>
                <a:ext uri="{63B3BB69-23CF-44E3-9099-C40C66FF867C}">
                  <a14:compatExt spid="_x0000_s670732"/>
                </a:ext>
                <a:ext uri="{FF2B5EF4-FFF2-40B4-BE49-F238E27FC236}">
                  <a16:creationId xmlns:a16="http://schemas.microsoft.com/office/drawing/2014/main" id="{00000000-0008-0000-0000-00000C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Use Previous</a:t>
              </a:r>
            </a:p>
            <a:p>
              <a:pPr algn="ctr" rtl="0">
                <a:defRPr sz="1000"/>
              </a:pPr>
              <a:r>
                <a:rPr lang="en-US"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(2015 and After)</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(BF Feb 2015)</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e\job_management\src\order%20entry%20log\Order%20Entry%20Log%20-%20new.xlsm" TargetMode="External"/><Relationship Id="rId1" Type="http://schemas.openxmlformats.org/officeDocument/2006/relationships/externalLinkPath" Target="Order%20Entry%20Log%20-%20ne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LIVERY SCHEDULE"/>
      <sheetName val="Input Form"/>
      <sheetName val="Report"/>
      <sheetName val="Report Old"/>
      <sheetName val="Customers"/>
      <sheetName val="BUSHINGS"/>
      <sheetName val="PastDUE"/>
      <sheetName val="Kinectrics"/>
      <sheetName val="Cal"/>
      <sheetName val="Temp"/>
      <sheetName val="CustomersBK"/>
      <sheetName val="Sheet1"/>
      <sheetName val="Sheet2"/>
      <sheetName val="Order Entry Log - new"/>
    </sheetNames>
    <definedNames>
      <definedName name="AddComment"/>
      <definedName name="cmdPrint_Click"/>
      <definedName name="CreateHyperlinks"/>
      <definedName name="Delete_Crossed_Out_Shipping"/>
      <definedName name="FixButton.FixButton"/>
      <definedName name="KinectrisData"/>
      <definedName name="LookForFile"/>
      <definedName name="MPDataXfer"/>
      <definedName name="MPDataXferL"/>
      <definedName name="MPDataXferLMHI"/>
      <definedName name="OpenInputForm"/>
      <definedName name="PastDUE"/>
      <definedName name="stamp.Stamp"/>
      <definedName name="StampCGP.Stamp"/>
    </definedNames>
    <sheetDataSet>
      <sheetData sheetId="0"/>
      <sheetData sheetId="1"/>
      <sheetData sheetId="2"/>
      <sheetData sheetId="3"/>
      <sheetData sheetId="4">
        <row r="1">
          <cell r="A1" t="str">
            <v>AB Sciex</v>
          </cell>
        </row>
        <row r="2">
          <cell r="A2" t="str">
            <v>ABI Ltd</v>
          </cell>
        </row>
        <row r="3">
          <cell r="A3" t="str">
            <v>Aecon Ind</v>
          </cell>
        </row>
        <row r="4">
          <cell r="A4" t="str">
            <v>Aecon Utilities</v>
          </cell>
        </row>
        <row r="5">
          <cell r="A5" t="str">
            <v>Ampson</v>
          </cell>
        </row>
        <row r="6">
          <cell r="A6" t="str">
            <v>Aero-Structural</v>
          </cell>
        </row>
        <row r="7">
          <cell r="A7" t="str">
            <v>Atkins Realis</v>
          </cell>
        </row>
        <row r="8">
          <cell r="A8" t="str">
            <v>ATS-Corp</v>
          </cell>
        </row>
        <row r="9">
          <cell r="A9" t="str">
            <v>ATS Life Science</v>
          </cell>
        </row>
        <row r="10">
          <cell r="A10" t="str">
            <v>ATS Test</v>
          </cell>
        </row>
        <row r="11">
          <cell r="A11" t="str">
            <v>BC Hydro</v>
          </cell>
        </row>
        <row r="12">
          <cell r="A12" t="str">
            <v>Blenheim</v>
          </cell>
        </row>
        <row r="13">
          <cell r="A13" t="str">
            <v>Bombardier</v>
          </cell>
        </row>
        <row r="14">
          <cell r="A14" t="str">
            <v>Buffalo</v>
          </cell>
        </row>
        <row r="15">
          <cell r="A15" t="str">
            <v>BWXT(GE)</v>
          </cell>
        </row>
        <row r="16">
          <cell r="A16" t="str">
            <v>BWXT Med</v>
          </cell>
        </row>
        <row r="17">
          <cell r="A17" t="str">
            <v>BWXT Prec (Laker)</v>
          </cell>
        </row>
        <row r="18">
          <cell r="A18" t="str">
            <v>CAC 3000</v>
          </cell>
        </row>
        <row r="19">
          <cell r="A19" t="str">
            <v>Candu</v>
          </cell>
        </row>
        <row r="20">
          <cell r="A20" t="str">
            <v>CH2M</v>
          </cell>
        </row>
        <row r="21">
          <cell r="A21" t="str">
            <v>ComEnCo</v>
          </cell>
        </row>
        <row r="22">
          <cell r="A22" t="str">
            <v>Creation T.</v>
          </cell>
        </row>
        <row r="23">
          <cell r="A23" t="str">
            <v>DieMax</v>
          </cell>
        </row>
        <row r="24">
          <cell r="A24" t="str">
            <v>DJ Ind.</v>
          </cell>
        </row>
        <row r="25">
          <cell r="A25" t="str">
            <v>DTE</v>
          </cell>
        </row>
        <row r="26">
          <cell r="A26" t="str">
            <v>Eaton</v>
          </cell>
        </row>
        <row r="27">
          <cell r="A27" t="str">
            <v xml:space="preserve">Eclipse </v>
          </cell>
        </row>
        <row r="28">
          <cell r="A28" t="str">
            <v>EHV Power</v>
          </cell>
        </row>
        <row r="29">
          <cell r="A29" t="str">
            <v>Gosco</v>
          </cell>
        </row>
        <row r="30">
          <cell r="A30" t="str">
            <v>Gullco</v>
          </cell>
        </row>
        <row r="31">
          <cell r="A31" t="str">
            <v>Haliburton</v>
          </cell>
        </row>
        <row r="32">
          <cell r="A32" t="str">
            <v>Hercules SLR</v>
          </cell>
        </row>
        <row r="33">
          <cell r="A33" t="str">
            <v>Hess M/C</v>
          </cell>
        </row>
        <row r="34">
          <cell r="A34" t="str">
            <v>HIFE Systems</v>
          </cell>
        </row>
        <row r="35">
          <cell r="A35" t="str">
            <v>Husky</v>
          </cell>
        </row>
        <row r="36">
          <cell r="A36" t="str">
            <v>Husky-Mold</v>
          </cell>
        </row>
        <row r="37">
          <cell r="A37" t="str">
            <v>Hunstville</v>
          </cell>
        </row>
        <row r="38">
          <cell r="A38" t="str">
            <v>HV Grid</v>
          </cell>
        </row>
        <row r="39">
          <cell r="A39" t="str">
            <v>Hybrid</v>
          </cell>
        </row>
        <row r="40">
          <cell r="A40" t="str">
            <v>Hydac</v>
          </cell>
        </row>
        <row r="41">
          <cell r="A41" t="str">
            <v>Hydro One</v>
          </cell>
        </row>
        <row r="42">
          <cell r="A42" t="str">
            <v>Inmotive</v>
          </cell>
        </row>
        <row r="43">
          <cell r="A43" t="str">
            <v>Kinectrics</v>
          </cell>
        </row>
        <row r="44">
          <cell r="A44" t="str">
            <v>Kipling</v>
          </cell>
        </row>
        <row r="45">
          <cell r="A45" t="str">
            <v>Liburdi</v>
          </cell>
        </row>
        <row r="46">
          <cell r="A46" t="str">
            <v>Lumicision</v>
          </cell>
        </row>
        <row r="47">
          <cell r="A47" t="str">
            <v>Lux</v>
          </cell>
        </row>
        <row r="48">
          <cell r="A48" t="str">
            <v>M.D.A</v>
          </cell>
        </row>
        <row r="49">
          <cell r="A49" t="str">
            <v>MHI-Canada</v>
          </cell>
        </row>
        <row r="50">
          <cell r="A50" t="str">
            <v>MHI-Nagoya</v>
          </cell>
        </row>
        <row r="51">
          <cell r="A51" t="str">
            <v>Motion Ind</v>
          </cell>
        </row>
        <row r="52">
          <cell r="A52" t="str">
            <v>Nuclear Waste Mgnt</v>
          </cell>
        </row>
        <row r="53">
          <cell r="A53" t="str">
            <v>Pet All Mfg</v>
          </cell>
        </row>
        <row r="54">
          <cell r="A54" t="str">
            <v>Piramal</v>
          </cell>
        </row>
        <row r="55">
          <cell r="A55" t="str">
            <v>Polyson</v>
          </cell>
        </row>
        <row r="56">
          <cell r="A56" t="str">
            <v>Promation</v>
          </cell>
        </row>
        <row r="57">
          <cell r="A57" t="str">
            <v>Protenergy</v>
          </cell>
        </row>
        <row r="58">
          <cell r="A58" t="str">
            <v>Protomek</v>
          </cell>
        </row>
        <row r="59">
          <cell r="A59" t="str">
            <v>Qvella</v>
          </cell>
        </row>
        <row r="60">
          <cell r="A60" t="str">
            <v>Rexroth</v>
          </cell>
        </row>
        <row r="61">
          <cell r="A61" t="str">
            <v>Safran (Messier)</v>
          </cell>
        </row>
        <row r="62">
          <cell r="A62" t="str">
            <v>Safran (US)</v>
          </cell>
        </row>
        <row r="63">
          <cell r="A63" t="str">
            <v>Shanghai</v>
          </cell>
        </row>
        <row r="64">
          <cell r="A64" t="str">
            <v>SICK</v>
          </cell>
        </row>
        <row r="65">
          <cell r="A65" t="str">
            <v>SNC-Lavalin</v>
          </cell>
        </row>
        <row r="66">
          <cell r="A66" t="str">
            <v>Speedway Packaging</v>
          </cell>
        </row>
        <row r="67">
          <cell r="A67" t="str">
            <v>Superwake</v>
          </cell>
        </row>
        <row r="68">
          <cell r="A68" t="str">
            <v>The M/C-Centre</v>
          </cell>
        </row>
        <row r="69">
          <cell r="A69" t="str">
            <v>Tesla (Hibar)</v>
          </cell>
        </row>
        <row r="70">
          <cell r="A70" t="str">
            <v>Tremco</v>
          </cell>
        </row>
        <row r="71">
          <cell r="A71" t="str">
            <v>Truck Wash</v>
          </cell>
        </row>
        <row r="72">
          <cell r="A72" t="str">
            <v>TTC</v>
          </cell>
        </row>
        <row r="73">
          <cell r="A73" t="str">
            <v>TSC Inc</v>
          </cell>
        </row>
        <row r="74">
          <cell r="A74" t="str">
            <v>Twin River</v>
          </cell>
        </row>
        <row r="75">
          <cell r="A75" t="str">
            <v>Van Rob</v>
          </cell>
        </row>
        <row r="76">
          <cell r="A76" t="str">
            <v>VNS-Federal</v>
          </cell>
        </row>
        <row r="77">
          <cell r="A77" t="str">
            <v>Westinghouse</v>
          </cell>
        </row>
        <row r="78">
          <cell r="A78" t="str">
            <v>Whitby</v>
          </cell>
        </row>
        <row r="79">
          <cell r="A79" t="str">
            <v>Woodbridge</v>
          </cell>
        </row>
        <row r="80">
          <cell r="A80" t="str">
            <v>Zero Defects</v>
          </cell>
        </row>
      </sheetData>
      <sheetData sheetId="5"/>
      <sheetData sheetId="6"/>
      <sheetData sheetId="7"/>
      <sheetData sheetId="8"/>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4.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5.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ctrlProp" Target="../ctrlProps/ctrlProp20.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ctrlProp" Target="../ctrlProps/ctrlProp21.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4"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drawing" Target="../drawings/drawing5.xml"/><Relationship Id="rId4"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4"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4" Type="http://schemas.openxmlformats.org/officeDocument/2006/relationships/printerSettings" Target="../printerSettings/printerSettings33.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3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0EDF7-77A8-4050-8AF1-5FAF493F4197}">
  <sheetPr codeName="Sheet1">
    <tabColor rgb="FF66FF33"/>
  </sheetPr>
  <dimension ref="A1:AX1279"/>
  <sheetViews>
    <sheetView tabSelected="1" zoomScale="85" zoomScaleNormal="85" zoomScaleSheetLayoutView="100" workbookViewId="0">
      <pane ySplit="3" topLeftCell="A468" activePane="bottomLeft" state="frozen"/>
      <selection pane="bottomLeft" activeCell="J499" sqref="J499"/>
    </sheetView>
  </sheetViews>
  <sheetFormatPr defaultColWidth="8.85546875" defaultRowHeight="18" customHeight="1"/>
  <cols>
    <col min="1" max="1" width="9.85546875" style="278" customWidth="1"/>
    <col min="2" max="2" width="10.140625" style="290" customWidth="1"/>
    <col min="3" max="3" width="14.42578125" style="280" customWidth="1"/>
    <col min="4" max="4" width="8.85546875" style="281" customWidth="1"/>
    <col min="5" max="5" width="31.5703125" style="280" customWidth="1"/>
    <col min="6" max="6" width="7.85546875" style="282" customWidth="1"/>
    <col min="7" max="7" width="18.140625" style="280" customWidth="1"/>
    <col min="8" max="8" width="12.85546875" style="283" customWidth="1"/>
    <col min="9" max="9" width="7.5703125" style="281" customWidth="1"/>
    <col min="10" max="10" width="40.140625" style="280" customWidth="1"/>
    <col min="11" max="11" width="17.42578125" style="284" customWidth="1"/>
    <col min="12" max="12" width="24.140625" style="281" customWidth="1"/>
    <col min="13" max="13" width="10.5703125" style="285" customWidth="1"/>
    <col min="14" max="14" width="7.140625" style="278" customWidth="1"/>
    <col min="15" max="15" width="11.85546875" style="286" customWidth="1"/>
    <col min="16" max="16" width="23.85546875" style="291" customWidth="1"/>
    <col min="17" max="17" width="14.5703125" style="288" customWidth="1"/>
    <col min="18" max="18" width="11.140625" style="278" customWidth="1"/>
    <col min="19" max="19" width="9.42578125" style="199" customWidth="1"/>
    <col min="20" max="20" width="8.5703125" style="241" customWidth="1"/>
    <col min="21" max="21" width="9.5703125" style="241" hidden="1" customWidth="1"/>
    <col min="22" max="22" width="8.5703125" style="241" customWidth="1"/>
    <col min="23" max="23" width="10" style="241" customWidth="1"/>
    <col min="24" max="24" width="9.5703125" style="241" customWidth="1"/>
    <col min="25" max="25" width="9.42578125" style="241" customWidth="1"/>
    <col min="26" max="26" width="8.5703125" style="241" customWidth="1"/>
    <col min="27" max="27" width="16.85546875" style="281" bestFit="1" customWidth="1"/>
    <col min="28" max="28" width="10.5703125" style="241" customWidth="1"/>
    <col min="29" max="29" width="9.42578125" style="241" customWidth="1"/>
    <col min="30" max="30" width="8.42578125" style="241" customWidth="1"/>
    <col min="31" max="31" width="10" style="241" bestFit="1" customWidth="1"/>
    <col min="32" max="32" width="10.5703125" style="241" bestFit="1" customWidth="1"/>
    <col min="33" max="33" width="10.5703125" style="241" customWidth="1"/>
    <col min="34" max="34" width="8.85546875" style="241"/>
    <col min="35" max="35" width="8.42578125" style="241" customWidth="1"/>
    <col min="36" max="36" width="10" style="241" bestFit="1" customWidth="1"/>
    <col min="37" max="37" width="8.85546875" style="241"/>
    <col min="38" max="38" width="10.5703125" style="241" customWidth="1"/>
    <col min="39" max="40" width="8.85546875" style="241"/>
    <col min="41" max="41" width="11.42578125" style="241" bestFit="1" customWidth="1"/>
    <col min="42" max="42" width="8.85546875" style="241"/>
    <col min="43" max="43" width="10.5703125" style="241" customWidth="1"/>
    <col min="44" max="45" width="8.85546875" style="241"/>
    <col min="46" max="46" width="11.42578125" style="241" bestFit="1" customWidth="1"/>
    <col min="47" max="47" width="8.85546875" style="241"/>
    <col min="48" max="48" width="11.42578125" style="241" customWidth="1"/>
    <col min="49" max="16384" width="8.85546875" style="241"/>
  </cols>
  <sheetData>
    <row r="1" spans="1:50" s="240" customFormat="1" ht="50.25" customHeight="1">
      <c r="A1" s="224"/>
      <c r="B1" s="225" t="s">
        <v>17</v>
      </c>
      <c r="C1" s="226"/>
      <c r="D1" s="227"/>
      <c r="E1" s="228"/>
      <c r="F1" s="229"/>
      <c r="G1" s="228"/>
      <c r="H1" s="230"/>
      <c r="I1" s="231"/>
      <c r="J1" s="228"/>
      <c r="K1" s="232"/>
      <c r="L1" s="233"/>
      <c r="M1" s="234"/>
      <c r="N1" s="235"/>
      <c r="O1" s="236"/>
      <c r="P1" s="237"/>
      <c r="Q1" s="238"/>
      <c r="R1" s="239"/>
      <c r="U1" s="241"/>
      <c r="AA1" s="474"/>
    </row>
    <row r="2" spans="1:50" s="250" customFormat="1" ht="48" customHeight="1" thickBot="1">
      <c r="A2" s="242"/>
      <c r="B2" s="242"/>
      <c r="C2" s="243"/>
      <c r="D2" s="227"/>
      <c r="E2" s="243"/>
      <c r="F2" s="244"/>
      <c r="G2" s="243"/>
      <c r="H2" s="245"/>
      <c r="I2" s="227"/>
      <c r="J2" s="243"/>
      <c r="K2" s="246"/>
      <c r="L2" s="227"/>
      <c r="M2" s="234"/>
      <c r="N2" s="242"/>
      <c r="O2" s="236"/>
      <c r="P2" s="247"/>
      <c r="Q2" s="238"/>
      <c r="R2" s="242"/>
      <c r="S2" s="248"/>
      <c r="T2" s="249"/>
      <c r="V2" s="251"/>
      <c r="W2" s="252"/>
      <c r="X2" s="252"/>
      <c r="Y2" s="252"/>
      <c r="Z2" s="253"/>
      <c r="AA2" s="475"/>
      <c r="AB2" s="252"/>
      <c r="AC2" s="252"/>
      <c r="AD2" s="252"/>
      <c r="AE2" s="253"/>
      <c r="AF2" s="252"/>
      <c r="AG2" s="252"/>
      <c r="AH2" s="252"/>
      <c r="AI2" s="252"/>
      <c r="AJ2" s="253"/>
      <c r="AK2" s="252"/>
      <c r="AL2" s="252"/>
      <c r="AM2" s="252"/>
      <c r="AN2" s="252"/>
      <c r="AO2" s="254"/>
      <c r="AT2" s="254"/>
    </row>
    <row r="3" spans="1:50" s="277" customFormat="1" ht="22.5" customHeight="1">
      <c r="A3" s="255" t="s">
        <v>14</v>
      </c>
      <c r="B3" s="256" t="s">
        <v>8</v>
      </c>
      <c r="C3" s="257" t="s">
        <v>9</v>
      </c>
      <c r="D3" s="258" t="s">
        <v>10</v>
      </c>
      <c r="E3" s="257" t="s">
        <v>241</v>
      </c>
      <c r="F3" s="259" t="s">
        <v>70</v>
      </c>
      <c r="G3" s="257" t="s">
        <v>64</v>
      </c>
      <c r="H3" s="260" t="s">
        <v>18</v>
      </c>
      <c r="I3" s="258" t="s">
        <v>332</v>
      </c>
      <c r="J3" s="257" t="s">
        <v>12</v>
      </c>
      <c r="K3" s="261" t="s">
        <v>19</v>
      </c>
      <c r="L3" s="258" t="s">
        <v>20</v>
      </c>
      <c r="M3" s="262" t="s">
        <v>245</v>
      </c>
      <c r="N3" s="256" t="s">
        <v>10</v>
      </c>
      <c r="O3" s="263" t="s">
        <v>13</v>
      </c>
      <c r="P3" s="264" t="s">
        <v>21</v>
      </c>
      <c r="Q3" s="265" t="s">
        <v>22</v>
      </c>
      <c r="R3" s="266" t="s">
        <v>34</v>
      </c>
      <c r="S3" s="267"/>
      <c r="T3" s="268"/>
      <c r="U3" s="269"/>
      <c r="V3" s="270"/>
      <c r="W3" s="270"/>
      <c r="X3" s="270"/>
      <c r="Y3" s="270"/>
      <c r="Z3" s="271"/>
      <c r="AA3" s="473" t="s">
        <v>1016</v>
      </c>
      <c r="AB3" s="272"/>
      <c r="AC3" s="273"/>
      <c r="AD3" s="273"/>
      <c r="AE3" s="274"/>
      <c r="AF3" s="273"/>
      <c r="AG3" s="273"/>
      <c r="AH3" s="273"/>
      <c r="AI3" s="273"/>
      <c r="AJ3" s="274"/>
      <c r="AK3" s="273"/>
      <c r="AL3" s="273"/>
      <c r="AM3" s="273"/>
      <c r="AN3" s="273"/>
      <c r="AO3" s="274"/>
      <c r="AP3" s="273"/>
      <c r="AQ3" s="273"/>
      <c r="AR3" s="273"/>
      <c r="AS3" s="273"/>
      <c r="AT3" s="275"/>
      <c r="AU3" s="276"/>
      <c r="AV3" s="276"/>
      <c r="AW3" s="276"/>
      <c r="AX3" s="276"/>
    </row>
    <row r="4" spans="1:50" ht="18" customHeight="1">
      <c r="A4" s="278">
        <v>37721</v>
      </c>
      <c r="B4" s="279" t="s">
        <v>749</v>
      </c>
      <c r="C4" s="280" t="s">
        <v>7</v>
      </c>
      <c r="D4" s="281">
        <v>40</v>
      </c>
      <c r="E4" s="280" t="s">
        <v>221</v>
      </c>
      <c r="G4" s="280" t="s">
        <v>187</v>
      </c>
      <c r="H4" s="283">
        <v>45022</v>
      </c>
      <c r="I4" s="281">
        <v>2</v>
      </c>
      <c r="J4" s="280" t="s">
        <v>222</v>
      </c>
      <c r="K4" s="284">
        <v>523.72</v>
      </c>
      <c r="L4" s="281">
        <v>51001</v>
      </c>
      <c r="P4" s="287">
        <v>45358</v>
      </c>
      <c r="R4" s="289" t="str">
        <f t="shared" ref="R4:R35" si="0">IF(SUM(Q4)&gt;0,SUM(Q4-P4),"")</f>
        <v/>
      </c>
      <c r="S4" s="241"/>
      <c r="AA4" s="281">
        <v>718</v>
      </c>
    </row>
    <row r="5" spans="1:50" ht="18" customHeight="1">
      <c r="A5" s="278">
        <v>37721</v>
      </c>
      <c r="B5" s="279">
        <v>69279</v>
      </c>
      <c r="C5" s="280" t="s">
        <v>7</v>
      </c>
      <c r="D5" s="281">
        <v>40</v>
      </c>
      <c r="E5" s="280" t="s">
        <v>223</v>
      </c>
      <c r="G5" s="280" t="s">
        <v>187</v>
      </c>
      <c r="H5" s="283">
        <v>45022</v>
      </c>
      <c r="I5" s="281">
        <v>4</v>
      </c>
      <c r="J5" s="280" t="s">
        <v>222</v>
      </c>
      <c r="K5" s="284">
        <v>523.72</v>
      </c>
      <c r="L5" s="281">
        <v>51001</v>
      </c>
      <c r="P5" s="287">
        <v>45358</v>
      </c>
      <c r="R5" s="289" t="str">
        <f t="shared" si="0"/>
        <v/>
      </c>
      <c r="S5" s="241"/>
      <c r="AA5" s="281">
        <v>719</v>
      </c>
    </row>
    <row r="6" spans="1:50" ht="18" customHeight="1">
      <c r="R6" s="289" t="str">
        <f t="shared" si="0"/>
        <v/>
      </c>
      <c r="S6" s="241"/>
      <c r="AA6" s="281">
        <v>720</v>
      </c>
    </row>
    <row r="7" spans="1:50" ht="18" customHeight="1">
      <c r="A7" s="278">
        <v>37832</v>
      </c>
      <c r="B7" s="292">
        <v>69605</v>
      </c>
      <c r="C7" s="280" t="s">
        <v>193</v>
      </c>
      <c r="D7" s="281">
        <v>2850</v>
      </c>
      <c r="E7" s="280" t="s">
        <v>219</v>
      </c>
      <c r="F7" s="293" t="s">
        <v>225</v>
      </c>
      <c r="G7" s="280" t="s">
        <v>220</v>
      </c>
      <c r="H7" s="283">
        <v>45089</v>
      </c>
      <c r="I7" s="281">
        <v>1</v>
      </c>
      <c r="J7" s="280" t="s">
        <v>226</v>
      </c>
      <c r="K7" s="284">
        <v>20.260000000000002</v>
      </c>
      <c r="L7" s="281" t="s">
        <v>227</v>
      </c>
      <c r="P7" s="291">
        <v>45135</v>
      </c>
      <c r="R7" s="289" t="str">
        <f t="shared" si="0"/>
        <v/>
      </c>
      <c r="S7" s="241"/>
      <c r="AA7" s="281">
        <v>721</v>
      </c>
    </row>
    <row r="8" spans="1:50" ht="18" customHeight="1">
      <c r="A8" s="278">
        <v>37832</v>
      </c>
      <c r="B8" s="292">
        <v>69605</v>
      </c>
      <c r="C8" s="280" t="s">
        <v>193</v>
      </c>
      <c r="D8" s="281">
        <v>2850</v>
      </c>
      <c r="E8" s="280" t="s">
        <v>219</v>
      </c>
      <c r="F8" s="293" t="s">
        <v>225</v>
      </c>
      <c r="G8" s="280" t="s">
        <v>220</v>
      </c>
      <c r="H8" s="283">
        <v>45089</v>
      </c>
      <c r="I8" s="281">
        <v>2</v>
      </c>
      <c r="J8" s="280" t="s">
        <v>226</v>
      </c>
      <c r="K8" s="284">
        <v>20.260000000000002</v>
      </c>
      <c r="L8" s="281" t="s">
        <v>227</v>
      </c>
      <c r="P8" s="291">
        <v>37498</v>
      </c>
      <c r="R8" s="289" t="str">
        <f t="shared" si="0"/>
        <v/>
      </c>
      <c r="S8" s="241"/>
      <c r="AA8" s="281">
        <v>722</v>
      </c>
    </row>
    <row r="9" spans="1:50" ht="18" customHeight="1">
      <c r="A9" s="278">
        <v>37832</v>
      </c>
      <c r="B9" s="292">
        <v>69605</v>
      </c>
      <c r="C9" s="280" t="s">
        <v>193</v>
      </c>
      <c r="D9" s="281">
        <v>2850</v>
      </c>
      <c r="E9" s="280" t="s">
        <v>219</v>
      </c>
      <c r="F9" s="293" t="s">
        <v>225</v>
      </c>
      <c r="G9" s="280" t="s">
        <v>220</v>
      </c>
      <c r="H9" s="283">
        <v>45089</v>
      </c>
      <c r="I9" s="281">
        <v>3</v>
      </c>
      <c r="J9" s="280" t="s">
        <v>226</v>
      </c>
      <c r="K9" s="284">
        <v>20.260000000000002</v>
      </c>
      <c r="L9" s="281" t="s">
        <v>227</v>
      </c>
      <c r="P9" s="291">
        <v>45198</v>
      </c>
      <c r="R9" s="289" t="str">
        <f t="shared" si="0"/>
        <v/>
      </c>
      <c r="S9" s="241"/>
      <c r="AA9" s="281">
        <v>723</v>
      </c>
    </row>
    <row r="10" spans="1:50" ht="18" customHeight="1">
      <c r="A10" s="278">
        <v>37832</v>
      </c>
      <c r="B10" s="292">
        <v>69605</v>
      </c>
      <c r="C10" s="280" t="s">
        <v>193</v>
      </c>
      <c r="D10" s="281">
        <v>2850</v>
      </c>
      <c r="E10" s="280" t="s">
        <v>219</v>
      </c>
      <c r="F10" s="293" t="s">
        <v>225</v>
      </c>
      <c r="G10" s="280" t="s">
        <v>220</v>
      </c>
      <c r="H10" s="283">
        <v>45089</v>
      </c>
      <c r="I10" s="281">
        <v>4</v>
      </c>
      <c r="J10" s="280" t="s">
        <v>226</v>
      </c>
      <c r="K10" s="284">
        <v>20.260000000000002</v>
      </c>
      <c r="L10" s="281" t="s">
        <v>227</v>
      </c>
      <c r="P10" s="291">
        <v>45229</v>
      </c>
      <c r="R10" s="289" t="str">
        <f t="shared" si="0"/>
        <v/>
      </c>
      <c r="S10" s="241"/>
      <c r="AA10" s="281">
        <v>724</v>
      </c>
    </row>
    <row r="11" spans="1:50" ht="18" customHeight="1">
      <c r="A11" s="278">
        <v>37832</v>
      </c>
      <c r="B11" s="292">
        <v>69605</v>
      </c>
      <c r="C11" s="280" t="s">
        <v>193</v>
      </c>
      <c r="D11" s="281">
        <v>2850</v>
      </c>
      <c r="E11" s="280" t="s">
        <v>219</v>
      </c>
      <c r="F11" s="293" t="s">
        <v>225</v>
      </c>
      <c r="G11" s="280" t="s">
        <v>220</v>
      </c>
      <c r="H11" s="283">
        <v>45089</v>
      </c>
      <c r="I11" s="281">
        <v>5</v>
      </c>
      <c r="J11" s="280" t="s">
        <v>226</v>
      </c>
      <c r="K11" s="284">
        <v>20.260000000000002</v>
      </c>
      <c r="L11" s="281" t="s">
        <v>227</v>
      </c>
      <c r="P11" s="291">
        <v>45260</v>
      </c>
      <c r="R11" s="289" t="str">
        <f t="shared" si="0"/>
        <v/>
      </c>
      <c r="S11" s="241"/>
      <c r="AA11" s="281">
        <v>725</v>
      </c>
    </row>
    <row r="12" spans="1:50" ht="18" customHeight="1">
      <c r="A12" s="278">
        <v>37832</v>
      </c>
      <c r="B12" s="292">
        <v>69605</v>
      </c>
      <c r="C12" s="280" t="s">
        <v>193</v>
      </c>
      <c r="D12" s="281">
        <v>2850</v>
      </c>
      <c r="E12" s="280" t="s">
        <v>219</v>
      </c>
      <c r="F12" s="293" t="s">
        <v>225</v>
      </c>
      <c r="G12" s="280" t="s">
        <v>220</v>
      </c>
      <c r="H12" s="283">
        <v>45089</v>
      </c>
      <c r="I12" s="281">
        <v>6</v>
      </c>
      <c r="J12" s="280" t="s">
        <v>226</v>
      </c>
      <c r="K12" s="284">
        <v>20.260000000000002</v>
      </c>
      <c r="L12" s="281" t="s">
        <v>227</v>
      </c>
      <c r="P12" s="291">
        <v>45282</v>
      </c>
      <c r="R12" s="289" t="str">
        <f t="shared" si="0"/>
        <v/>
      </c>
      <c r="S12" s="241"/>
      <c r="AA12" s="281">
        <v>726</v>
      </c>
    </row>
    <row r="13" spans="1:50" ht="18" customHeight="1">
      <c r="R13" s="289" t="str">
        <f t="shared" si="0"/>
        <v/>
      </c>
      <c r="S13" s="241"/>
      <c r="AA13" s="281">
        <v>727</v>
      </c>
    </row>
    <row r="14" spans="1:50" ht="18" customHeight="1">
      <c r="A14" s="278">
        <v>37979</v>
      </c>
      <c r="B14" s="290">
        <v>70131</v>
      </c>
      <c r="C14" s="280" t="s">
        <v>37</v>
      </c>
      <c r="D14" s="281">
        <v>1</v>
      </c>
      <c r="E14" s="280" t="s">
        <v>229</v>
      </c>
      <c r="F14" s="282" t="s">
        <v>230</v>
      </c>
      <c r="G14" s="280" t="s">
        <v>231</v>
      </c>
      <c r="H14" s="283">
        <v>45183</v>
      </c>
      <c r="I14" s="281">
        <v>1</v>
      </c>
      <c r="J14" s="280" t="s">
        <v>232</v>
      </c>
      <c r="K14" s="284">
        <v>2125</v>
      </c>
      <c r="L14" s="281" t="s">
        <v>233</v>
      </c>
      <c r="P14" s="291">
        <v>45204</v>
      </c>
      <c r="R14" s="289" t="str">
        <f t="shared" si="0"/>
        <v/>
      </c>
      <c r="S14" s="241"/>
      <c r="AA14" s="281">
        <v>728</v>
      </c>
    </row>
    <row r="15" spans="1:50" ht="18" customHeight="1">
      <c r="R15" s="289" t="str">
        <f t="shared" si="0"/>
        <v/>
      </c>
      <c r="S15" s="241"/>
      <c r="AA15" s="281">
        <v>729</v>
      </c>
    </row>
    <row r="16" spans="1:50" ht="18" customHeight="1">
      <c r="A16" s="278">
        <v>38123</v>
      </c>
      <c r="B16" s="294">
        <v>70586</v>
      </c>
      <c r="C16" s="280" t="s">
        <v>104</v>
      </c>
      <c r="D16" s="281">
        <v>1</v>
      </c>
      <c r="E16" s="280" t="s">
        <v>238</v>
      </c>
      <c r="F16" s="282">
        <v>1</v>
      </c>
      <c r="G16" s="280" t="s">
        <v>237</v>
      </c>
      <c r="H16" s="283">
        <v>45300</v>
      </c>
      <c r="I16" s="281">
        <v>21</v>
      </c>
      <c r="J16" s="280" t="s">
        <v>239</v>
      </c>
      <c r="K16" s="284">
        <v>1188</v>
      </c>
      <c r="L16" s="295" t="s">
        <v>750</v>
      </c>
      <c r="M16" s="296"/>
      <c r="P16" s="297">
        <v>45322</v>
      </c>
      <c r="R16" s="289" t="str">
        <f t="shared" si="0"/>
        <v/>
      </c>
      <c r="S16" s="241"/>
      <c r="AA16" s="281">
        <v>730</v>
      </c>
    </row>
    <row r="17" spans="1:27" ht="18" customHeight="1">
      <c r="R17" s="289" t="str">
        <f t="shared" si="0"/>
        <v/>
      </c>
      <c r="S17" s="241"/>
      <c r="AA17" s="281">
        <v>731</v>
      </c>
    </row>
    <row r="18" spans="1:27" ht="18" customHeight="1">
      <c r="A18" s="298">
        <v>38502</v>
      </c>
      <c r="B18" s="299">
        <v>71374</v>
      </c>
      <c r="C18" s="241" t="s">
        <v>33</v>
      </c>
      <c r="D18" s="298">
        <v>3</v>
      </c>
      <c r="E18" s="300" t="s">
        <v>242</v>
      </c>
      <c r="F18" s="298"/>
      <c r="G18" s="301" t="s">
        <v>188</v>
      </c>
      <c r="H18" s="302">
        <v>45568</v>
      </c>
      <c r="I18" s="281">
        <v>1</v>
      </c>
      <c r="J18" s="241" t="s">
        <v>247</v>
      </c>
      <c r="K18" s="284">
        <v>675</v>
      </c>
      <c r="L18" s="281">
        <v>20030822</v>
      </c>
      <c r="M18" s="303"/>
      <c r="N18" s="281"/>
      <c r="O18" s="304"/>
      <c r="P18" s="305">
        <v>45590</v>
      </c>
      <c r="Q18" s="306"/>
      <c r="R18" s="289" t="str">
        <f t="shared" si="0"/>
        <v/>
      </c>
      <c r="S18" s="241"/>
      <c r="AA18" s="281">
        <v>732</v>
      </c>
    </row>
    <row r="19" spans="1:27" ht="18" customHeight="1">
      <c r="A19" s="298">
        <v>38502</v>
      </c>
      <c r="B19" s="299">
        <v>71375</v>
      </c>
      <c r="C19" s="241" t="s">
        <v>33</v>
      </c>
      <c r="D19" s="298">
        <v>3</v>
      </c>
      <c r="E19" s="300" t="s">
        <v>248</v>
      </c>
      <c r="F19" s="298" t="s">
        <v>249</v>
      </c>
      <c r="G19" s="301" t="s">
        <v>188</v>
      </c>
      <c r="H19" s="302">
        <v>45568</v>
      </c>
      <c r="I19" s="281">
        <v>2</v>
      </c>
      <c r="J19" s="241" t="s">
        <v>250</v>
      </c>
      <c r="K19" s="284">
        <v>1250</v>
      </c>
      <c r="L19" s="281">
        <v>20030822</v>
      </c>
      <c r="M19" s="303"/>
      <c r="N19" s="281"/>
      <c r="O19" s="304"/>
      <c r="P19" s="305">
        <v>45590</v>
      </c>
      <c r="Q19" s="306"/>
      <c r="R19" s="289" t="str">
        <f t="shared" si="0"/>
        <v/>
      </c>
      <c r="S19" s="241"/>
      <c r="AA19" s="281">
        <v>733</v>
      </c>
    </row>
    <row r="20" spans="1:27" ht="18" customHeight="1">
      <c r="A20" s="298"/>
      <c r="B20" s="299"/>
      <c r="C20" s="241"/>
      <c r="D20" s="298"/>
      <c r="E20" s="300"/>
      <c r="F20" s="298"/>
      <c r="G20" s="241"/>
      <c r="H20" s="302"/>
      <c r="J20" s="241"/>
      <c r="M20" s="303"/>
      <c r="N20" s="281"/>
      <c r="O20" s="304"/>
      <c r="P20" s="305"/>
      <c r="Q20" s="306"/>
      <c r="R20" s="289" t="str">
        <f t="shared" si="0"/>
        <v/>
      </c>
      <c r="S20" s="241"/>
      <c r="AA20" s="281">
        <v>734</v>
      </c>
    </row>
    <row r="21" spans="1:27" ht="18" customHeight="1">
      <c r="A21" s="298">
        <v>38539</v>
      </c>
      <c r="B21" s="299">
        <v>71480</v>
      </c>
      <c r="C21" s="241" t="s">
        <v>104</v>
      </c>
      <c r="D21" s="298">
        <v>5</v>
      </c>
      <c r="E21" s="307" t="s">
        <v>256</v>
      </c>
      <c r="F21" s="298">
        <v>0</v>
      </c>
      <c r="G21" s="241" t="s">
        <v>254</v>
      </c>
      <c r="H21" s="302">
        <v>45593</v>
      </c>
      <c r="I21" s="281">
        <v>1</v>
      </c>
      <c r="J21" s="241" t="s">
        <v>255</v>
      </c>
      <c r="K21" s="284">
        <v>700</v>
      </c>
      <c r="L21" s="308" t="s">
        <v>692</v>
      </c>
      <c r="M21" s="303"/>
      <c r="N21" s="281"/>
      <c r="O21" s="304"/>
      <c r="P21" s="305">
        <v>45607</v>
      </c>
      <c r="Q21" s="306"/>
      <c r="R21" s="289" t="str">
        <f t="shared" si="0"/>
        <v/>
      </c>
      <c r="S21" s="241"/>
      <c r="AA21" s="281">
        <v>735</v>
      </c>
    </row>
    <row r="22" spans="1:27" ht="18" customHeight="1">
      <c r="A22" s="298"/>
      <c r="B22" s="299"/>
      <c r="C22" s="241"/>
      <c r="D22" s="298"/>
      <c r="E22" s="300"/>
      <c r="F22" s="298"/>
      <c r="G22" s="241"/>
      <c r="H22" s="302"/>
      <c r="J22" s="241"/>
      <c r="M22" s="303"/>
      <c r="N22" s="281"/>
      <c r="O22" s="304"/>
      <c r="P22" s="305"/>
      <c r="Q22" s="306"/>
      <c r="R22" s="289" t="str">
        <f t="shared" si="0"/>
        <v/>
      </c>
      <c r="S22" s="241"/>
      <c r="AA22" s="281">
        <v>736</v>
      </c>
    </row>
    <row r="23" spans="1:27" ht="18" customHeight="1">
      <c r="A23" s="298">
        <v>38559</v>
      </c>
      <c r="B23" s="299">
        <v>71512</v>
      </c>
      <c r="C23" s="241" t="s">
        <v>0</v>
      </c>
      <c r="D23" s="298">
        <v>2</v>
      </c>
      <c r="E23" s="300" t="s">
        <v>253</v>
      </c>
      <c r="F23" s="298"/>
      <c r="G23" s="241" t="s">
        <v>243</v>
      </c>
      <c r="H23" s="302">
        <v>45597</v>
      </c>
      <c r="I23" s="281">
        <v>1</v>
      </c>
      <c r="J23" s="241" t="s">
        <v>257</v>
      </c>
      <c r="M23" s="303"/>
      <c r="N23" s="281"/>
      <c r="O23" s="304"/>
      <c r="P23" s="305">
        <v>45604</v>
      </c>
      <c r="Q23" s="306"/>
      <c r="R23" s="289" t="str">
        <f t="shared" si="0"/>
        <v/>
      </c>
      <c r="S23" s="241"/>
      <c r="AA23" s="281">
        <v>741</v>
      </c>
    </row>
    <row r="24" spans="1:27" ht="18" customHeight="1">
      <c r="A24" s="298"/>
      <c r="B24" s="299"/>
      <c r="C24" s="241"/>
      <c r="D24" s="298"/>
      <c r="E24" s="300"/>
      <c r="F24" s="298"/>
      <c r="G24" s="241"/>
      <c r="H24" s="302"/>
      <c r="J24" s="241"/>
      <c r="M24" s="303"/>
      <c r="N24" s="281"/>
      <c r="O24" s="304"/>
      <c r="P24" s="305"/>
      <c r="Q24" s="306"/>
      <c r="R24" s="289" t="str">
        <f t="shared" si="0"/>
        <v/>
      </c>
      <c r="S24" s="241"/>
      <c r="AA24" s="281">
        <v>742</v>
      </c>
    </row>
    <row r="25" spans="1:27" ht="18" customHeight="1">
      <c r="A25" s="298">
        <v>38608</v>
      </c>
      <c r="B25" s="299">
        <v>71609</v>
      </c>
      <c r="C25" s="241" t="s">
        <v>41</v>
      </c>
      <c r="D25" s="298">
        <v>46</v>
      </c>
      <c r="E25" s="300" t="s">
        <v>259</v>
      </c>
      <c r="F25" s="298">
        <v>5</v>
      </c>
      <c r="G25" s="241" t="s">
        <v>260</v>
      </c>
      <c r="H25" s="302">
        <v>45622</v>
      </c>
      <c r="I25" s="281">
        <v>1</v>
      </c>
      <c r="J25" s="241" t="s">
        <v>267</v>
      </c>
      <c r="K25" s="284">
        <v>269</v>
      </c>
      <c r="L25" s="281" t="s">
        <v>261</v>
      </c>
      <c r="M25" s="303"/>
      <c r="N25" s="281"/>
      <c r="O25" s="304"/>
      <c r="P25" s="305">
        <v>45761</v>
      </c>
      <c r="Q25" s="306"/>
      <c r="R25" s="289" t="str">
        <f t="shared" si="0"/>
        <v/>
      </c>
      <c r="S25" s="241"/>
      <c r="AA25" s="281">
        <v>743</v>
      </c>
    </row>
    <row r="26" spans="1:27" ht="18" customHeight="1">
      <c r="A26" s="298">
        <v>38608</v>
      </c>
      <c r="B26" s="299">
        <v>71610</v>
      </c>
      <c r="C26" s="241" t="s">
        <v>41</v>
      </c>
      <c r="D26" s="298">
        <v>65</v>
      </c>
      <c r="E26" s="300" t="s">
        <v>262</v>
      </c>
      <c r="F26" s="298">
        <v>3</v>
      </c>
      <c r="G26" s="241" t="s">
        <v>260</v>
      </c>
      <c r="H26" s="302">
        <v>45622</v>
      </c>
      <c r="I26" s="281">
        <v>2</v>
      </c>
      <c r="J26" s="241" t="s">
        <v>266</v>
      </c>
      <c r="K26" s="284">
        <v>265</v>
      </c>
      <c r="L26" s="281" t="s">
        <v>261</v>
      </c>
      <c r="M26" s="303"/>
      <c r="N26" s="281"/>
      <c r="O26" s="304"/>
      <c r="P26" s="305">
        <v>45761</v>
      </c>
      <c r="Q26" s="306"/>
      <c r="R26" s="289" t="str">
        <f t="shared" si="0"/>
        <v/>
      </c>
      <c r="S26" s="241"/>
      <c r="AA26" s="281">
        <v>746</v>
      </c>
    </row>
    <row r="27" spans="1:27" ht="18" customHeight="1">
      <c r="A27" s="298">
        <v>38608</v>
      </c>
      <c r="B27" s="299">
        <v>71611</v>
      </c>
      <c r="C27" s="241" t="s">
        <v>41</v>
      </c>
      <c r="D27" s="298">
        <v>1100</v>
      </c>
      <c r="E27" s="300" t="s">
        <v>265</v>
      </c>
      <c r="F27" s="298">
        <v>0</v>
      </c>
      <c r="G27" s="241" t="s">
        <v>260</v>
      </c>
      <c r="H27" s="302">
        <v>45622</v>
      </c>
      <c r="I27" s="281">
        <v>4</v>
      </c>
      <c r="J27" s="241" t="s">
        <v>268</v>
      </c>
      <c r="K27" s="284">
        <v>13.95</v>
      </c>
      <c r="L27" s="281" t="s">
        <v>261</v>
      </c>
      <c r="M27" s="303"/>
      <c r="N27" s="281"/>
      <c r="O27" s="304"/>
      <c r="P27" s="305">
        <v>45761</v>
      </c>
      <c r="Q27" s="306"/>
      <c r="R27" s="289" t="str">
        <f t="shared" si="0"/>
        <v/>
      </c>
      <c r="S27" s="241"/>
      <c r="AA27" s="281">
        <v>786</v>
      </c>
    </row>
    <row r="28" spans="1:27" ht="18" customHeight="1">
      <c r="A28" s="298">
        <v>38608</v>
      </c>
      <c r="B28" s="299">
        <v>71612</v>
      </c>
      <c r="C28" s="241" t="s">
        <v>41</v>
      </c>
      <c r="D28" s="298">
        <v>1600</v>
      </c>
      <c r="E28" s="300" t="s">
        <v>263</v>
      </c>
      <c r="F28" s="298">
        <v>0</v>
      </c>
      <c r="G28" s="241" t="s">
        <v>260</v>
      </c>
      <c r="H28" s="302">
        <v>45622</v>
      </c>
      <c r="I28" s="281">
        <v>5</v>
      </c>
      <c r="J28" s="241" t="s">
        <v>269</v>
      </c>
      <c r="K28" s="284">
        <v>14.49</v>
      </c>
      <c r="L28" s="281" t="s">
        <v>261</v>
      </c>
      <c r="M28" s="303"/>
      <c r="N28" s="281"/>
      <c r="O28" s="304"/>
      <c r="P28" s="305">
        <v>45761</v>
      </c>
      <c r="Q28" s="306"/>
      <c r="R28" s="289" t="str">
        <f t="shared" si="0"/>
        <v/>
      </c>
      <c r="S28" s="241"/>
      <c r="AA28" s="281">
        <v>744</v>
      </c>
    </row>
    <row r="29" spans="1:27" ht="18" customHeight="1">
      <c r="A29" s="298">
        <v>38608</v>
      </c>
      <c r="B29" s="299">
        <v>71613</v>
      </c>
      <c r="C29" s="241" t="s">
        <v>41</v>
      </c>
      <c r="D29" s="298">
        <v>3500</v>
      </c>
      <c r="E29" s="300" t="s">
        <v>264</v>
      </c>
      <c r="F29" s="298">
        <v>2</v>
      </c>
      <c r="G29" s="241" t="s">
        <v>260</v>
      </c>
      <c r="H29" s="302">
        <v>45622</v>
      </c>
      <c r="I29" s="281">
        <v>6</v>
      </c>
      <c r="J29" s="241" t="s">
        <v>270</v>
      </c>
      <c r="K29" s="284">
        <v>3.08</v>
      </c>
      <c r="L29" s="281" t="s">
        <v>261</v>
      </c>
      <c r="M29" s="303"/>
      <c r="N29" s="281"/>
      <c r="O29" s="304"/>
      <c r="P29" s="305">
        <v>45761</v>
      </c>
      <c r="Q29" s="306"/>
      <c r="R29" s="289" t="str">
        <f t="shared" si="0"/>
        <v/>
      </c>
      <c r="S29" s="241"/>
      <c r="AA29" s="281">
        <v>745</v>
      </c>
    </row>
    <row r="30" spans="1:27" ht="18" customHeight="1">
      <c r="A30" s="298"/>
      <c r="B30" s="299"/>
      <c r="C30" s="241"/>
      <c r="D30" s="298"/>
      <c r="E30" s="300"/>
      <c r="F30" s="298"/>
      <c r="G30" s="241"/>
      <c r="H30" s="302"/>
      <c r="J30" s="241"/>
      <c r="M30" s="303"/>
      <c r="N30" s="281"/>
      <c r="O30" s="304"/>
      <c r="P30" s="305"/>
      <c r="Q30" s="306"/>
      <c r="R30" s="289" t="str">
        <f t="shared" si="0"/>
        <v/>
      </c>
      <c r="S30" s="241"/>
      <c r="AA30" s="281">
        <v>748</v>
      </c>
    </row>
    <row r="31" spans="1:27" ht="18" customHeight="1">
      <c r="A31" s="309">
        <v>38619</v>
      </c>
      <c r="B31" s="310">
        <v>71669</v>
      </c>
      <c r="C31" s="311" t="s">
        <v>41</v>
      </c>
      <c r="D31" s="309">
        <v>5</v>
      </c>
      <c r="E31" s="312" t="s">
        <v>273</v>
      </c>
      <c r="F31" s="309">
        <v>0</v>
      </c>
      <c r="G31" s="311" t="s">
        <v>228</v>
      </c>
      <c r="H31" s="313">
        <v>45629</v>
      </c>
      <c r="I31" s="314">
        <v>1</v>
      </c>
      <c r="J31" s="311" t="s">
        <v>274</v>
      </c>
      <c r="K31" s="315">
        <v>35171</v>
      </c>
      <c r="L31" s="316" t="s">
        <v>671</v>
      </c>
      <c r="M31" s="317"/>
      <c r="N31" s="314"/>
      <c r="O31" s="318"/>
      <c r="P31" s="319">
        <v>45737</v>
      </c>
      <c r="Q31" s="306"/>
      <c r="R31" s="289" t="str">
        <f t="shared" si="0"/>
        <v/>
      </c>
      <c r="S31" s="241"/>
      <c r="AA31" s="281">
        <v>749</v>
      </c>
    </row>
    <row r="32" spans="1:27" ht="18" customHeight="1">
      <c r="A32" s="298"/>
      <c r="B32" s="299"/>
      <c r="C32" s="241"/>
      <c r="D32" s="298"/>
      <c r="E32" s="300"/>
      <c r="F32" s="298"/>
      <c r="G32" s="241"/>
      <c r="H32" s="302"/>
      <c r="J32" s="241"/>
      <c r="M32" s="303"/>
      <c r="N32" s="281"/>
      <c r="O32" s="304"/>
      <c r="P32" s="305"/>
      <c r="Q32" s="306"/>
      <c r="R32" s="289" t="str">
        <f t="shared" si="0"/>
        <v/>
      </c>
      <c r="S32" s="241"/>
      <c r="AA32" s="281">
        <v>787</v>
      </c>
    </row>
    <row r="33" spans="1:27" ht="18" customHeight="1">
      <c r="A33" s="298">
        <v>38636</v>
      </c>
      <c r="B33" s="299">
        <v>71718</v>
      </c>
      <c r="C33" s="241" t="s">
        <v>33</v>
      </c>
      <c r="D33" s="298">
        <v>46500</v>
      </c>
      <c r="E33" s="300" t="s">
        <v>45</v>
      </c>
      <c r="F33" s="298"/>
      <c r="G33" s="241" t="s">
        <v>258</v>
      </c>
      <c r="H33" s="302">
        <v>45636</v>
      </c>
      <c r="I33" s="281">
        <v>2</v>
      </c>
      <c r="J33" s="241" t="s">
        <v>278</v>
      </c>
      <c r="K33" s="284">
        <v>3.44</v>
      </c>
      <c r="L33" s="281" t="s">
        <v>277</v>
      </c>
      <c r="M33" s="303"/>
      <c r="N33" s="281"/>
      <c r="O33" s="304"/>
      <c r="P33" s="305">
        <v>45992</v>
      </c>
      <c r="Q33" s="306"/>
      <c r="R33" s="289" t="str">
        <f t="shared" si="0"/>
        <v/>
      </c>
      <c r="S33" s="241"/>
      <c r="AA33" s="281">
        <v>750</v>
      </c>
    </row>
    <row r="34" spans="1:27" ht="18" customHeight="1">
      <c r="A34" s="298"/>
      <c r="B34" s="299"/>
      <c r="C34" s="241"/>
      <c r="D34" s="298"/>
      <c r="E34" s="300"/>
      <c r="F34" s="298"/>
      <c r="G34" s="241"/>
      <c r="H34" s="302"/>
      <c r="J34" s="241"/>
      <c r="M34" s="303"/>
      <c r="N34" s="281"/>
      <c r="O34" s="304"/>
      <c r="P34" s="305"/>
      <c r="Q34" s="306"/>
      <c r="R34" s="289" t="str">
        <f t="shared" si="0"/>
        <v/>
      </c>
      <c r="S34" s="241"/>
      <c r="AA34" s="281">
        <v>751</v>
      </c>
    </row>
    <row r="35" spans="1:27" ht="18" customHeight="1">
      <c r="A35" s="309">
        <v>38647</v>
      </c>
      <c r="B35" s="310">
        <v>71742</v>
      </c>
      <c r="C35" s="311" t="s">
        <v>41</v>
      </c>
      <c r="D35" s="309">
        <v>5</v>
      </c>
      <c r="E35" s="312" t="s">
        <v>273</v>
      </c>
      <c r="F35" s="309">
        <v>0</v>
      </c>
      <c r="G35" s="311" t="s">
        <v>228</v>
      </c>
      <c r="H35" s="313">
        <v>45629</v>
      </c>
      <c r="I35" s="314">
        <v>1</v>
      </c>
      <c r="J35" s="311" t="s">
        <v>274</v>
      </c>
      <c r="K35" s="315">
        <v>35171</v>
      </c>
      <c r="L35" s="320" t="s">
        <v>743</v>
      </c>
      <c r="M35" s="317"/>
      <c r="N35" s="314"/>
      <c r="O35" s="318"/>
      <c r="P35" s="319">
        <v>45737</v>
      </c>
      <c r="Q35" s="306"/>
      <c r="R35" s="289" t="str">
        <f t="shared" si="0"/>
        <v/>
      </c>
      <c r="S35" s="241"/>
      <c r="AA35" s="281">
        <v>752</v>
      </c>
    </row>
    <row r="36" spans="1:27" ht="18" customHeight="1">
      <c r="A36" s="298"/>
      <c r="B36" s="299"/>
      <c r="C36" s="241"/>
      <c r="D36" s="298"/>
      <c r="E36" s="300"/>
      <c r="F36" s="298"/>
      <c r="G36" s="241"/>
      <c r="H36" s="302"/>
      <c r="J36" s="241"/>
      <c r="M36" s="303"/>
      <c r="N36" s="281"/>
      <c r="O36" s="304"/>
      <c r="P36" s="305"/>
      <c r="Q36" s="306"/>
      <c r="R36" s="289" t="str">
        <f t="shared" ref="R36:R99" si="1">IF(SUM(Q36)&gt;0,SUM(Q36-P36),"")</f>
        <v/>
      </c>
      <c r="S36" s="241"/>
      <c r="AA36" s="281">
        <v>779</v>
      </c>
    </row>
    <row r="37" spans="1:27" ht="18" customHeight="1">
      <c r="A37" s="321">
        <v>38669</v>
      </c>
      <c r="B37" s="322">
        <v>71829</v>
      </c>
      <c r="C37" s="323" t="s">
        <v>41</v>
      </c>
      <c r="D37" s="321">
        <v>9</v>
      </c>
      <c r="E37" s="324" t="s">
        <v>490</v>
      </c>
      <c r="F37" s="321">
        <v>1</v>
      </c>
      <c r="G37" s="323" t="s">
        <v>228</v>
      </c>
      <c r="H37" s="325">
        <v>45649</v>
      </c>
      <c r="I37" s="326">
        <v>1</v>
      </c>
      <c r="J37" s="323" t="s">
        <v>272</v>
      </c>
      <c r="K37" s="327">
        <v>16293</v>
      </c>
      <c r="L37" s="326" t="s">
        <v>280</v>
      </c>
      <c r="M37" s="328"/>
      <c r="N37" s="326"/>
      <c r="O37" s="329"/>
      <c r="P37" s="330">
        <v>45779</v>
      </c>
      <c r="Q37" s="306"/>
      <c r="R37" s="289" t="str">
        <f t="shared" si="1"/>
        <v/>
      </c>
      <c r="S37" s="241"/>
      <c r="AA37" s="281">
        <v>753</v>
      </c>
    </row>
    <row r="38" spans="1:27" ht="18" customHeight="1">
      <c r="A38" s="298"/>
      <c r="B38" s="299"/>
      <c r="C38" s="241"/>
      <c r="D38" s="298"/>
      <c r="E38" s="300"/>
      <c r="F38" s="298"/>
      <c r="G38" s="241"/>
      <c r="H38" s="302"/>
      <c r="J38" s="241"/>
      <c r="M38" s="303"/>
      <c r="N38" s="281"/>
      <c r="O38" s="304"/>
      <c r="P38" s="305"/>
      <c r="Q38" s="306"/>
      <c r="R38" s="289" t="str">
        <f t="shared" si="1"/>
        <v/>
      </c>
      <c r="S38" s="241"/>
      <c r="AA38" s="281">
        <v>754</v>
      </c>
    </row>
    <row r="39" spans="1:27" ht="18" customHeight="1">
      <c r="A39" s="331">
        <v>38672</v>
      </c>
      <c r="B39" s="332">
        <v>71851</v>
      </c>
      <c r="C39" s="333" t="s">
        <v>41</v>
      </c>
      <c r="D39" s="331">
        <v>2</v>
      </c>
      <c r="E39" s="334" t="s">
        <v>283</v>
      </c>
      <c r="F39" s="331">
        <v>0</v>
      </c>
      <c r="G39" s="333" t="s">
        <v>246</v>
      </c>
      <c r="H39" s="335">
        <v>45656</v>
      </c>
      <c r="I39" s="336">
        <v>1</v>
      </c>
      <c r="J39" s="333" t="s">
        <v>284</v>
      </c>
      <c r="K39" s="337">
        <v>141549.74</v>
      </c>
      <c r="L39" s="336" t="s">
        <v>333</v>
      </c>
      <c r="M39" s="338"/>
      <c r="N39" s="336"/>
      <c r="O39" s="339"/>
      <c r="P39" s="340">
        <v>45842</v>
      </c>
      <c r="Q39" s="341"/>
      <c r="R39" s="289" t="str">
        <f t="shared" si="1"/>
        <v/>
      </c>
      <c r="S39" s="241"/>
      <c r="AA39" s="281">
        <v>780</v>
      </c>
    </row>
    <row r="40" spans="1:27" ht="18" customHeight="1">
      <c r="A40" s="331">
        <v>38672</v>
      </c>
      <c r="B40" s="332">
        <v>71873</v>
      </c>
      <c r="C40" s="333" t="s">
        <v>41</v>
      </c>
      <c r="D40" s="331" t="s">
        <v>290</v>
      </c>
      <c r="E40" s="334" t="s">
        <v>291</v>
      </c>
      <c r="F40" s="331"/>
      <c r="G40" s="333" t="s">
        <v>292</v>
      </c>
      <c r="H40" s="335" t="s">
        <v>293</v>
      </c>
      <c r="I40" s="336">
        <v>2</v>
      </c>
      <c r="J40" s="333" t="s">
        <v>294</v>
      </c>
      <c r="K40" s="337" t="s">
        <v>295</v>
      </c>
      <c r="L40" s="336" t="s">
        <v>333</v>
      </c>
      <c r="M40" s="338"/>
      <c r="N40" s="336"/>
      <c r="O40" s="339"/>
      <c r="P40" s="340">
        <v>45842</v>
      </c>
      <c r="Q40" s="341"/>
      <c r="R40" s="289" t="str">
        <f t="shared" si="1"/>
        <v/>
      </c>
      <c r="S40" s="241"/>
      <c r="AA40" s="281">
        <v>798</v>
      </c>
    </row>
    <row r="41" spans="1:27" ht="18" customHeight="1">
      <c r="A41" s="342">
        <v>38672</v>
      </c>
      <c r="B41" s="343">
        <v>72330</v>
      </c>
      <c r="C41" s="333" t="s">
        <v>41</v>
      </c>
      <c r="D41" s="344" t="s">
        <v>348</v>
      </c>
      <c r="E41" s="334" t="s">
        <v>346</v>
      </c>
      <c r="F41" s="331"/>
      <c r="G41" s="345" t="s">
        <v>292</v>
      </c>
      <c r="H41" s="335">
        <v>45771</v>
      </c>
      <c r="I41" s="336">
        <v>5</v>
      </c>
      <c r="J41" s="333" t="s">
        <v>345</v>
      </c>
      <c r="K41" s="337">
        <v>1950</v>
      </c>
      <c r="L41" s="346" t="s">
        <v>370</v>
      </c>
      <c r="M41" s="347"/>
      <c r="N41" s="348"/>
      <c r="O41" s="349"/>
      <c r="P41" s="340">
        <v>45859</v>
      </c>
      <c r="Q41" s="341"/>
      <c r="R41" s="289" t="str">
        <f t="shared" si="1"/>
        <v/>
      </c>
      <c r="S41" s="241"/>
      <c r="AA41" s="281">
        <v>799</v>
      </c>
    </row>
    <row r="42" spans="1:27" ht="18" customHeight="1">
      <c r="A42" s="298"/>
      <c r="B42" s="299"/>
      <c r="C42" s="241"/>
      <c r="D42" s="298"/>
      <c r="E42" s="300"/>
      <c r="F42" s="298"/>
      <c r="G42" s="241"/>
      <c r="H42" s="302"/>
      <c r="J42" s="241"/>
      <c r="M42" s="303"/>
      <c r="N42" s="281"/>
      <c r="O42" s="304"/>
      <c r="P42" s="305"/>
      <c r="Q42" s="306"/>
      <c r="R42" s="289" t="str">
        <f t="shared" si="1"/>
        <v/>
      </c>
      <c r="S42" s="241"/>
      <c r="AA42" s="281">
        <v>755</v>
      </c>
    </row>
    <row r="43" spans="1:27" ht="18" customHeight="1">
      <c r="A43" s="298">
        <v>38673</v>
      </c>
      <c r="B43" s="299">
        <v>71852</v>
      </c>
      <c r="C43" s="241" t="s">
        <v>41</v>
      </c>
      <c r="D43" s="298">
        <v>3</v>
      </c>
      <c r="E43" s="300" t="s">
        <v>285</v>
      </c>
      <c r="F43" s="298">
        <v>6</v>
      </c>
      <c r="G43" s="241" t="s">
        <v>286</v>
      </c>
      <c r="H43" s="302">
        <v>45656</v>
      </c>
      <c r="I43" s="281">
        <v>1</v>
      </c>
      <c r="J43" s="241" t="s">
        <v>287</v>
      </c>
      <c r="K43" s="284">
        <v>26451</v>
      </c>
      <c r="L43" s="350" t="s">
        <v>611</v>
      </c>
      <c r="M43" s="303"/>
      <c r="N43" s="281"/>
      <c r="O43" s="304"/>
      <c r="P43" s="305">
        <v>45869</v>
      </c>
      <c r="Q43" s="306"/>
      <c r="R43" s="289" t="str">
        <f t="shared" si="1"/>
        <v/>
      </c>
      <c r="S43" s="241"/>
      <c r="AA43" s="281">
        <v>756</v>
      </c>
    </row>
    <row r="44" spans="1:27" ht="18" customHeight="1">
      <c r="A44" s="298">
        <v>38673</v>
      </c>
      <c r="B44" s="299">
        <v>71853</v>
      </c>
      <c r="C44" s="241" t="s">
        <v>41</v>
      </c>
      <c r="D44" s="298">
        <v>2</v>
      </c>
      <c r="E44" s="351" t="s">
        <v>288</v>
      </c>
      <c r="F44" s="298">
        <v>3</v>
      </c>
      <c r="G44" s="241" t="s">
        <v>286</v>
      </c>
      <c r="H44" s="302">
        <v>45656</v>
      </c>
      <c r="I44" s="281">
        <v>2</v>
      </c>
      <c r="J44" s="241" t="s">
        <v>289</v>
      </c>
      <c r="K44" s="284">
        <v>26795</v>
      </c>
      <c r="L44" s="350" t="s">
        <v>611</v>
      </c>
      <c r="M44" s="303"/>
      <c r="N44" s="281"/>
      <c r="O44" s="304"/>
      <c r="P44" s="305">
        <v>45869</v>
      </c>
      <c r="Q44" s="306"/>
      <c r="R44" s="289" t="str">
        <f t="shared" si="1"/>
        <v/>
      </c>
      <c r="S44" s="241"/>
      <c r="AA44" s="281">
        <v>757</v>
      </c>
    </row>
    <row r="45" spans="1:27" ht="18" customHeight="1">
      <c r="A45" s="298"/>
      <c r="B45" s="299"/>
      <c r="C45" s="241"/>
      <c r="D45" s="298"/>
      <c r="E45" s="300"/>
      <c r="F45" s="298"/>
      <c r="G45" s="241"/>
      <c r="H45" s="302"/>
      <c r="J45" s="241"/>
      <c r="M45" s="303"/>
      <c r="N45" s="281"/>
      <c r="O45" s="304"/>
      <c r="P45" s="305"/>
      <c r="Q45" s="306"/>
      <c r="R45" s="289" t="str">
        <f t="shared" si="1"/>
        <v/>
      </c>
      <c r="S45" s="241"/>
      <c r="AA45" s="281">
        <v>758</v>
      </c>
    </row>
    <row r="46" spans="1:27" ht="18" customHeight="1">
      <c r="A46" s="331">
        <v>38740</v>
      </c>
      <c r="B46" s="332">
        <v>72023</v>
      </c>
      <c r="C46" s="333" t="s">
        <v>41</v>
      </c>
      <c r="D46" s="331">
        <v>2</v>
      </c>
      <c r="E46" s="334" t="s">
        <v>283</v>
      </c>
      <c r="F46" s="331">
        <v>0</v>
      </c>
      <c r="G46" s="352" t="s">
        <v>297</v>
      </c>
      <c r="H46" s="335">
        <v>45699</v>
      </c>
      <c r="I46" s="336">
        <v>1</v>
      </c>
      <c r="J46" s="333" t="s">
        <v>284</v>
      </c>
      <c r="K46" s="337">
        <v>141549.74</v>
      </c>
      <c r="L46" s="353" t="s">
        <v>389</v>
      </c>
      <c r="M46" s="338"/>
      <c r="N46" s="336"/>
      <c r="O46" s="339"/>
      <c r="P46" s="354">
        <v>45919</v>
      </c>
      <c r="Q46" s="306"/>
      <c r="R46" s="289" t="str">
        <f t="shared" si="1"/>
        <v/>
      </c>
      <c r="S46" s="241"/>
      <c r="AA46" s="281">
        <v>759</v>
      </c>
    </row>
    <row r="47" spans="1:27" ht="18" customHeight="1">
      <c r="A47" s="331">
        <v>38740</v>
      </c>
      <c r="B47" s="332">
        <v>72024</v>
      </c>
      <c r="C47" s="333" t="s">
        <v>41</v>
      </c>
      <c r="D47" s="331" t="s">
        <v>290</v>
      </c>
      <c r="E47" s="334" t="s">
        <v>291</v>
      </c>
      <c r="F47" s="331"/>
      <c r="G47" s="352" t="s">
        <v>297</v>
      </c>
      <c r="H47" s="335" t="s">
        <v>298</v>
      </c>
      <c r="I47" s="336">
        <v>2</v>
      </c>
      <c r="J47" s="333" t="s">
        <v>294</v>
      </c>
      <c r="K47" s="337" t="s">
        <v>295</v>
      </c>
      <c r="L47" s="353" t="s">
        <v>389</v>
      </c>
      <c r="M47" s="338"/>
      <c r="N47" s="336"/>
      <c r="O47" s="339"/>
      <c r="P47" s="354">
        <v>45919</v>
      </c>
      <c r="Q47" s="306"/>
      <c r="R47" s="289" t="str">
        <f t="shared" si="1"/>
        <v/>
      </c>
      <c r="S47" s="241"/>
      <c r="AA47" s="281">
        <v>760</v>
      </c>
    </row>
    <row r="48" spans="1:27" ht="18" customHeight="1">
      <c r="A48" s="331">
        <v>38740</v>
      </c>
      <c r="B48" s="343">
        <v>72331</v>
      </c>
      <c r="C48" s="333" t="s">
        <v>41</v>
      </c>
      <c r="D48" s="344" t="s">
        <v>380</v>
      </c>
      <c r="E48" s="334" t="s">
        <v>346</v>
      </c>
      <c r="F48" s="331"/>
      <c r="G48" s="345" t="s">
        <v>292</v>
      </c>
      <c r="H48" s="335">
        <v>45771</v>
      </c>
      <c r="I48" s="336">
        <v>5</v>
      </c>
      <c r="J48" s="333" t="s">
        <v>347</v>
      </c>
      <c r="K48" s="337">
        <v>1950</v>
      </c>
      <c r="L48" s="353" t="s">
        <v>389</v>
      </c>
      <c r="M48" s="347"/>
      <c r="N48" s="348"/>
      <c r="O48" s="349"/>
      <c r="P48" s="354">
        <v>45919</v>
      </c>
      <c r="Q48" s="306"/>
      <c r="R48" s="289" t="str">
        <f t="shared" si="1"/>
        <v/>
      </c>
      <c r="S48" s="241"/>
      <c r="AA48" s="281">
        <v>761</v>
      </c>
    </row>
    <row r="49" spans="1:27" ht="18" customHeight="1">
      <c r="A49" s="298"/>
      <c r="B49" s="299"/>
      <c r="C49" s="241"/>
      <c r="D49" s="298"/>
      <c r="E49" s="300"/>
      <c r="F49" s="298"/>
      <c r="G49" s="241"/>
      <c r="H49" s="302"/>
      <c r="J49" s="241"/>
      <c r="M49" s="303"/>
      <c r="N49" s="281"/>
      <c r="O49" s="304"/>
      <c r="P49" s="305"/>
      <c r="Q49" s="306"/>
      <c r="R49" s="289" t="str">
        <f t="shared" si="1"/>
        <v/>
      </c>
      <c r="S49" s="241"/>
      <c r="AA49" s="281">
        <v>762</v>
      </c>
    </row>
    <row r="50" spans="1:27" ht="18" customHeight="1">
      <c r="A50" s="298">
        <v>38744</v>
      </c>
      <c r="B50" s="299">
        <v>72028</v>
      </c>
      <c r="C50" s="241" t="s">
        <v>0</v>
      </c>
      <c r="D50" s="298">
        <v>1</v>
      </c>
      <c r="E50" s="300" t="s">
        <v>296</v>
      </c>
      <c r="F50" s="298"/>
      <c r="G50" s="241" t="s">
        <v>299</v>
      </c>
      <c r="H50" s="302">
        <v>45703</v>
      </c>
      <c r="I50" s="281">
        <v>1</v>
      </c>
      <c r="J50" s="241" t="s">
        <v>300</v>
      </c>
      <c r="L50" s="281" t="s">
        <v>301</v>
      </c>
      <c r="M50" s="303"/>
      <c r="N50" s="281"/>
      <c r="O50" s="304"/>
      <c r="P50" s="305">
        <v>45709</v>
      </c>
      <c r="Q50" s="306"/>
      <c r="R50" s="289" t="str">
        <f t="shared" si="1"/>
        <v/>
      </c>
      <c r="S50" s="241"/>
      <c r="AA50" s="281">
        <v>763</v>
      </c>
    </row>
    <row r="51" spans="1:27" ht="18" customHeight="1">
      <c r="A51" s="298"/>
      <c r="B51" s="299"/>
      <c r="C51" s="241"/>
      <c r="D51" s="298"/>
      <c r="E51" s="300"/>
      <c r="F51" s="298"/>
      <c r="G51" s="241"/>
      <c r="H51" s="302"/>
      <c r="J51" s="241"/>
      <c r="M51" s="303"/>
      <c r="N51" s="281"/>
      <c r="O51" s="304"/>
      <c r="P51" s="305"/>
      <c r="Q51" s="306"/>
      <c r="R51" s="289" t="str">
        <f t="shared" si="1"/>
        <v/>
      </c>
      <c r="S51" s="241"/>
      <c r="AA51" s="281">
        <v>764</v>
      </c>
    </row>
    <row r="52" spans="1:27" ht="18" customHeight="1">
      <c r="A52" s="342">
        <v>38758</v>
      </c>
      <c r="B52" s="355">
        <v>72083</v>
      </c>
      <c r="C52" s="356" t="s">
        <v>41</v>
      </c>
      <c r="D52" s="342">
        <v>3</v>
      </c>
      <c r="E52" s="357" t="s">
        <v>302</v>
      </c>
      <c r="F52" s="342">
        <v>2</v>
      </c>
      <c r="G52" s="358" t="s">
        <v>303</v>
      </c>
      <c r="H52" s="359">
        <v>45709</v>
      </c>
      <c r="I52" s="348">
        <v>1</v>
      </c>
      <c r="J52" s="356" t="s">
        <v>304</v>
      </c>
      <c r="K52" s="360">
        <v>52899.78</v>
      </c>
      <c r="L52" s="346" t="s">
        <v>751</v>
      </c>
      <c r="M52" s="347"/>
      <c r="N52" s="348"/>
      <c r="O52" s="349"/>
      <c r="P52" s="361">
        <v>45859</v>
      </c>
      <c r="Q52" s="306"/>
      <c r="R52" s="289" t="str">
        <f t="shared" si="1"/>
        <v/>
      </c>
      <c r="S52" s="241"/>
      <c r="AA52" s="281">
        <v>765</v>
      </c>
    </row>
    <row r="53" spans="1:27" ht="18" customHeight="1">
      <c r="A53" s="342">
        <v>38758</v>
      </c>
      <c r="B53" s="355">
        <v>72084</v>
      </c>
      <c r="C53" s="356" t="s">
        <v>41</v>
      </c>
      <c r="D53" s="342">
        <v>4</v>
      </c>
      <c r="E53" s="357" t="s">
        <v>305</v>
      </c>
      <c r="F53" s="342">
        <v>1</v>
      </c>
      <c r="G53" s="358" t="s">
        <v>303</v>
      </c>
      <c r="H53" s="359">
        <v>45709</v>
      </c>
      <c r="I53" s="348">
        <v>2</v>
      </c>
      <c r="J53" s="356" t="s">
        <v>306</v>
      </c>
      <c r="K53" s="362" t="s">
        <v>752</v>
      </c>
      <c r="L53" s="346" t="s">
        <v>751</v>
      </c>
      <c r="M53" s="347"/>
      <c r="N53" s="348"/>
      <c r="O53" s="349"/>
      <c r="P53" s="363">
        <v>46042</v>
      </c>
      <c r="Q53" s="306"/>
      <c r="R53" s="289" t="str">
        <f t="shared" si="1"/>
        <v/>
      </c>
      <c r="S53" s="241"/>
      <c r="AA53" s="281">
        <v>766</v>
      </c>
    </row>
    <row r="54" spans="1:27" ht="18" customHeight="1">
      <c r="A54" s="342">
        <v>38758</v>
      </c>
      <c r="B54" s="343">
        <v>72278</v>
      </c>
      <c r="C54" s="356" t="s">
        <v>41</v>
      </c>
      <c r="D54" s="342">
        <v>2</v>
      </c>
      <c r="E54" s="357" t="s">
        <v>334</v>
      </c>
      <c r="F54" s="342"/>
      <c r="G54" s="358" t="s">
        <v>228</v>
      </c>
      <c r="H54" s="359">
        <v>45747</v>
      </c>
      <c r="I54" s="348">
        <v>4</v>
      </c>
      <c r="J54" s="356" t="s">
        <v>335</v>
      </c>
      <c r="K54" s="360">
        <v>5218</v>
      </c>
      <c r="L54" s="346" t="s">
        <v>751</v>
      </c>
      <c r="M54" s="347"/>
      <c r="N54" s="348"/>
      <c r="O54" s="349"/>
      <c r="P54" s="361">
        <v>45859</v>
      </c>
      <c r="Q54" s="306"/>
      <c r="R54" s="289" t="str">
        <f t="shared" si="1"/>
        <v/>
      </c>
      <c r="S54" s="241"/>
      <c r="AA54" s="281">
        <v>767</v>
      </c>
    </row>
    <row r="55" spans="1:27" ht="18" customHeight="1">
      <c r="A55" s="298"/>
      <c r="B55" s="299"/>
      <c r="C55" s="241"/>
      <c r="D55" s="298"/>
      <c r="E55" s="300"/>
      <c r="F55" s="298"/>
      <c r="G55" s="364"/>
      <c r="H55" s="302"/>
      <c r="J55" s="241"/>
      <c r="M55" s="303"/>
      <c r="N55" s="281"/>
      <c r="O55" s="304"/>
      <c r="P55" s="305"/>
      <c r="Q55" s="306"/>
      <c r="R55" s="289" t="str">
        <f t="shared" si="1"/>
        <v/>
      </c>
      <c r="S55" s="241"/>
      <c r="AA55" s="281">
        <v>768</v>
      </c>
    </row>
    <row r="56" spans="1:27" ht="18" customHeight="1">
      <c r="A56" s="342">
        <v>38759</v>
      </c>
      <c r="B56" s="355">
        <v>72085</v>
      </c>
      <c r="C56" s="356" t="s">
        <v>41</v>
      </c>
      <c r="D56" s="342">
        <v>3</v>
      </c>
      <c r="E56" s="357" t="s">
        <v>302</v>
      </c>
      <c r="F56" s="342">
        <v>2</v>
      </c>
      <c r="G56" s="358" t="s">
        <v>303</v>
      </c>
      <c r="H56" s="359">
        <v>45709</v>
      </c>
      <c r="I56" s="348">
        <v>1</v>
      </c>
      <c r="J56" s="356" t="s">
        <v>304</v>
      </c>
      <c r="K56" s="360">
        <v>52899.78</v>
      </c>
      <c r="L56" s="365" t="s">
        <v>387</v>
      </c>
      <c r="M56" s="347"/>
      <c r="N56" s="348"/>
      <c r="O56" s="349"/>
      <c r="P56" s="361">
        <v>45859</v>
      </c>
      <c r="Q56" s="306"/>
      <c r="R56" s="289" t="str">
        <f t="shared" si="1"/>
        <v/>
      </c>
      <c r="S56" s="241"/>
      <c r="AA56" s="281">
        <v>769</v>
      </c>
    </row>
    <row r="57" spans="1:27" ht="18" customHeight="1">
      <c r="A57" s="342">
        <v>38759</v>
      </c>
      <c r="B57" s="355">
        <v>72086</v>
      </c>
      <c r="C57" s="356" t="s">
        <v>41</v>
      </c>
      <c r="D57" s="342">
        <v>6</v>
      </c>
      <c r="E57" s="357" t="s">
        <v>305</v>
      </c>
      <c r="F57" s="342">
        <v>1</v>
      </c>
      <c r="G57" s="358" t="s">
        <v>303</v>
      </c>
      <c r="H57" s="359">
        <v>45709</v>
      </c>
      <c r="I57" s="348">
        <v>2</v>
      </c>
      <c r="J57" s="356" t="s">
        <v>306</v>
      </c>
      <c r="K57" s="362" t="s">
        <v>753</v>
      </c>
      <c r="L57" s="365" t="s">
        <v>387</v>
      </c>
      <c r="M57" s="347"/>
      <c r="N57" s="348"/>
      <c r="O57" s="349"/>
      <c r="P57" s="361">
        <v>45859</v>
      </c>
      <c r="Q57" s="306"/>
      <c r="R57" s="289" t="str">
        <f t="shared" si="1"/>
        <v/>
      </c>
      <c r="S57" s="241"/>
      <c r="AA57" s="281">
        <v>770</v>
      </c>
    </row>
    <row r="58" spans="1:27" ht="18" customHeight="1">
      <c r="A58" s="342">
        <v>38759</v>
      </c>
      <c r="B58" s="310">
        <v>72279</v>
      </c>
      <c r="C58" s="356" t="s">
        <v>41</v>
      </c>
      <c r="D58" s="342">
        <v>2</v>
      </c>
      <c r="E58" s="357" t="s">
        <v>334</v>
      </c>
      <c r="F58" s="342"/>
      <c r="G58" s="358" t="s">
        <v>228</v>
      </c>
      <c r="H58" s="359">
        <v>45747</v>
      </c>
      <c r="I58" s="348">
        <v>4</v>
      </c>
      <c r="J58" s="356" t="s">
        <v>335</v>
      </c>
      <c r="K58" s="360">
        <v>5218</v>
      </c>
      <c r="L58" s="365" t="s">
        <v>387</v>
      </c>
      <c r="M58" s="347"/>
      <c r="N58" s="348"/>
      <c r="O58" s="349"/>
      <c r="P58" s="361">
        <v>45859</v>
      </c>
      <c r="Q58" s="306"/>
      <c r="R58" s="289" t="str">
        <f t="shared" si="1"/>
        <v/>
      </c>
      <c r="S58" s="241"/>
      <c r="AA58" s="281">
        <v>771</v>
      </c>
    </row>
    <row r="59" spans="1:27" ht="18" customHeight="1">
      <c r="A59" s="342">
        <v>38759</v>
      </c>
      <c r="B59" s="366">
        <v>72459</v>
      </c>
      <c r="C59" s="356" t="s">
        <v>41</v>
      </c>
      <c r="D59" s="342">
        <v>2</v>
      </c>
      <c r="E59" s="367" t="s">
        <v>383</v>
      </c>
      <c r="F59" s="342"/>
      <c r="G59" s="358" t="s">
        <v>228</v>
      </c>
      <c r="H59" s="359">
        <v>45819</v>
      </c>
      <c r="I59" s="348">
        <v>5</v>
      </c>
      <c r="J59" s="356" t="s">
        <v>385</v>
      </c>
      <c r="K59" s="360">
        <v>8656</v>
      </c>
      <c r="L59" s="365" t="s">
        <v>388</v>
      </c>
      <c r="M59" s="347"/>
      <c r="N59" s="348"/>
      <c r="O59" s="349"/>
      <c r="P59" s="361">
        <v>45896</v>
      </c>
      <c r="Q59" s="306"/>
      <c r="R59" s="289" t="str">
        <f t="shared" si="1"/>
        <v/>
      </c>
      <c r="S59" s="241"/>
      <c r="AA59" s="281">
        <v>772</v>
      </c>
    </row>
    <row r="60" spans="1:27" ht="18" customHeight="1">
      <c r="A60" s="342">
        <v>38759</v>
      </c>
      <c r="B60" s="366">
        <v>72460</v>
      </c>
      <c r="C60" s="356" t="s">
        <v>41</v>
      </c>
      <c r="D60" s="342">
        <v>2</v>
      </c>
      <c r="E60" s="367" t="s">
        <v>384</v>
      </c>
      <c r="F60" s="342"/>
      <c r="G60" s="358" t="s">
        <v>228</v>
      </c>
      <c r="H60" s="359">
        <v>45819</v>
      </c>
      <c r="I60" s="348">
        <v>6</v>
      </c>
      <c r="J60" s="356" t="s">
        <v>386</v>
      </c>
      <c r="K60" s="360">
        <v>9903</v>
      </c>
      <c r="L60" s="365" t="s">
        <v>388</v>
      </c>
      <c r="M60" s="347"/>
      <c r="N60" s="348"/>
      <c r="O60" s="349"/>
      <c r="P60" s="361">
        <v>45896</v>
      </c>
      <c r="Q60" s="306"/>
      <c r="R60" s="289" t="str">
        <f t="shared" si="1"/>
        <v/>
      </c>
      <c r="S60" s="241"/>
      <c r="AA60" s="281">
        <v>773</v>
      </c>
    </row>
    <row r="61" spans="1:27" ht="18" customHeight="1">
      <c r="A61" s="298"/>
      <c r="B61" s="299"/>
      <c r="C61" s="241"/>
      <c r="D61" s="298"/>
      <c r="E61" s="300"/>
      <c r="F61" s="298"/>
      <c r="G61" s="241"/>
      <c r="H61" s="302"/>
      <c r="J61" s="241"/>
      <c r="M61" s="303"/>
      <c r="N61" s="281"/>
      <c r="O61" s="304"/>
      <c r="P61" s="305"/>
      <c r="Q61" s="306"/>
      <c r="R61" s="289" t="str">
        <f t="shared" si="1"/>
        <v/>
      </c>
      <c r="S61" s="241"/>
      <c r="AA61" s="281">
        <v>774</v>
      </c>
    </row>
    <row r="62" spans="1:27" ht="18" customHeight="1">
      <c r="A62" s="368" t="s">
        <v>307</v>
      </c>
      <c r="B62" s="299">
        <v>72113</v>
      </c>
      <c r="C62" s="241" t="s">
        <v>308</v>
      </c>
      <c r="D62" s="298">
        <v>1</v>
      </c>
      <c r="E62" s="300" t="s">
        <v>309</v>
      </c>
      <c r="F62" s="298"/>
      <c r="G62" s="241" t="s">
        <v>310</v>
      </c>
      <c r="H62" s="302">
        <v>45712</v>
      </c>
      <c r="I62" s="281">
        <v>1</v>
      </c>
      <c r="J62" s="241" t="s">
        <v>311</v>
      </c>
      <c r="L62" s="281" t="s">
        <v>312</v>
      </c>
      <c r="M62" s="303"/>
      <c r="N62" s="281"/>
      <c r="O62" s="304"/>
      <c r="P62" s="305">
        <v>45713</v>
      </c>
      <c r="Q62" s="306"/>
      <c r="R62" s="289" t="str">
        <f t="shared" si="1"/>
        <v/>
      </c>
      <c r="S62" s="241"/>
      <c r="AA62" s="281">
        <v>775</v>
      </c>
    </row>
    <row r="63" spans="1:27" ht="18" customHeight="1">
      <c r="A63" s="368" t="s">
        <v>307</v>
      </c>
      <c r="B63" s="299">
        <v>72113</v>
      </c>
      <c r="C63" s="241" t="s">
        <v>308</v>
      </c>
      <c r="D63" s="298">
        <v>1</v>
      </c>
      <c r="E63" s="300" t="s">
        <v>309</v>
      </c>
      <c r="F63" s="298"/>
      <c r="G63" s="241" t="s">
        <v>310</v>
      </c>
      <c r="H63" s="302">
        <v>45779</v>
      </c>
      <c r="I63" s="281">
        <v>2</v>
      </c>
      <c r="J63" s="241" t="s">
        <v>355</v>
      </c>
      <c r="L63" s="281" t="s">
        <v>312</v>
      </c>
      <c r="M63" s="303"/>
      <c r="N63" s="281"/>
      <c r="O63" s="304"/>
      <c r="P63" s="305">
        <v>45786</v>
      </c>
      <c r="Q63" s="306"/>
      <c r="R63" s="289" t="str">
        <f t="shared" si="1"/>
        <v/>
      </c>
      <c r="S63" s="241"/>
      <c r="AA63" s="281">
        <v>776</v>
      </c>
    </row>
    <row r="64" spans="1:27" ht="18" customHeight="1">
      <c r="A64" s="368" t="s">
        <v>307</v>
      </c>
      <c r="B64" s="299">
        <v>72113</v>
      </c>
      <c r="C64" s="241" t="s">
        <v>308</v>
      </c>
      <c r="D64" s="298">
        <v>1</v>
      </c>
      <c r="E64" s="300" t="s">
        <v>309</v>
      </c>
      <c r="F64" s="298"/>
      <c r="G64" s="241" t="s">
        <v>310</v>
      </c>
      <c r="H64" s="302">
        <v>45780</v>
      </c>
      <c r="I64" s="281">
        <v>3</v>
      </c>
      <c r="J64" s="241" t="s">
        <v>356</v>
      </c>
      <c r="L64" s="281" t="s">
        <v>312</v>
      </c>
      <c r="M64" s="303"/>
      <c r="N64" s="281"/>
      <c r="O64" s="304"/>
      <c r="P64" s="305">
        <v>45786</v>
      </c>
      <c r="Q64" s="306"/>
      <c r="R64" s="289" t="str">
        <f t="shared" si="1"/>
        <v/>
      </c>
      <c r="S64" s="241"/>
      <c r="AA64" s="281">
        <v>777</v>
      </c>
    </row>
    <row r="65" spans="1:27" ht="18" customHeight="1">
      <c r="A65" s="368" t="s">
        <v>307</v>
      </c>
      <c r="B65" s="299">
        <v>72113</v>
      </c>
      <c r="C65" s="241" t="s">
        <v>308</v>
      </c>
      <c r="D65" s="298">
        <v>1</v>
      </c>
      <c r="E65" s="300" t="s">
        <v>309</v>
      </c>
      <c r="F65" s="298"/>
      <c r="G65" s="241" t="s">
        <v>310</v>
      </c>
      <c r="H65" s="302">
        <v>45781</v>
      </c>
      <c r="I65" s="281">
        <v>4</v>
      </c>
      <c r="J65" s="241" t="s">
        <v>357</v>
      </c>
      <c r="L65" s="281" t="s">
        <v>312</v>
      </c>
      <c r="M65" s="303"/>
      <c r="N65" s="281"/>
      <c r="O65" s="304"/>
      <c r="P65" s="305">
        <v>45786</v>
      </c>
      <c r="Q65" s="306"/>
      <c r="R65" s="289" t="str">
        <f t="shared" si="1"/>
        <v/>
      </c>
      <c r="S65" s="241"/>
      <c r="AA65" s="281">
        <v>778</v>
      </c>
    </row>
    <row r="66" spans="1:27" ht="18" customHeight="1">
      <c r="A66" s="368" t="s">
        <v>307</v>
      </c>
      <c r="B66" s="299">
        <v>72113</v>
      </c>
      <c r="C66" s="241" t="s">
        <v>308</v>
      </c>
      <c r="D66" s="298">
        <v>1</v>
      </c>
      <c r="E66" s="300" t="s">
        <v>309</v>
      </c>
      <c r="F66" s="298"/>
      <c r="G66" s="241" t="s">
        <v>310</v>
      </c>
      <c r="H66" s="302">
        <v>45782</v>
      </c>
      <c r="I66" s="281">
        <v>5</v>
      </c>
      <c r="J66" s="241" t="s">
        <v>358</v>
      </c>
      <c r="L66" s="281" t="s">
        <v>312</v>
      </c>
      <c r="M66" s="303"/>
      <c r="N66" s="281"/>
      <c r="O66" s="304"/>
      <c r="P66" s="305">
        <v>45786</v>
      </c>
      <c r="Q66" s="306"/>
      <c r="R66" s="289" t="str">
        <f t="shared" si="1"/>
        <v/>
      </c>
      <c r="S66" s="241"/>
      <c r="AA66" s="281">
        <v>781</v>
      </c>
    </row>
    <row r="67" spans="1:27" ht="18" customHeight="1">
      <c r="A67" s="368" t="s">
        <v>307</v>
      </c>
      <c r="B67" s="299">
        <v>72113</v>
      </c>
      <c r="C67" s="241" t="s">
        <v>308</v>
      </c>
      <c r="D67" s="298">
        <v>1</v>
      </c>
      <c r="E67" s="300" t="s">
        <v>359</v>
      </c>
      <c r="F67" s="298"/>
      <c r="G67" s="241" t="s">
        <v>310</v>
      </c>
      <c r="H67" s="302">
        <v>45783</v>
      </c>
      <c r="I67" s="281">
        <v>6</v>
      </c>
      <c r="J67" s="241" t="s">
        <v>360</v>
      </c>
      <c r="L67" s="281" t="s">
        <v>312</v>
      </c>
      <c r="M67" s="303"/>
      <c r="N67" s="281"/>
      <c r="O67" s="304"/>
      <c r="P67" s="305">
        <v>45786</v>
      </c>
      <c r="Q67" s="306"/>
      <c r="R67" s="289" t="str">
        <f t="shared" si="1"/>
        <v/>
      </c>
      <c r="S67" s="241"/>
      <c r="AA67" s="281">
        <v>1013</v>
      </c>
    </row>
    <row r="68" spans="1:27" ht="18" customHeight="1">
      <c r="A68" s="298"/>
      <c r="B68" s="299"/>
      <c r="C68" s="241"/>
      <c r="D68" s="298"/>
      <c r="E68" s="300"/>
      <c r="F68" s="298"/>
      <c r="G68" s="241"/>
      <c r="H68" s="302"/>
      <c r="J68" s="241"/>
      <c r="M68" s="303"/>
      <c r="N68" s="281"/>
      <c r="O68" s="304"/>
      <c r="P68" s="305"/>
      <c r="Q68" s="306"/>
      <c r="R68" s="289" t="str">
        <f t="shared" si="1"/>
        <v/>
      </c>
      <c r="S68" s="241"/>
      <c r="AA68" s="281">
        <v>782</v>
      </c>
    </row>
    <row r="69" spans="1:27" ht="18" customHeight="1">
      <c r="A69" s="369">
        <v>38785</v>
      </c>
      <c r="B69" s="370">
        <v>72139</v>
      </c>
      <c r="C69" s="371" t="s">
        <v>41</v>
      </c>
      <c r="D69" s="369">
        <v>1</v>
      </c>
      <c r="E69" s="372" t="s">
        <v>313</v>
      </c>
      <c r="F69" s="369"/>
      <c r="G69" s="373" t="s">
        <v>303</v>
      </c>
      <c r="H69" s="374">
        <v>45720</v>
      </c>
      <c r="I69" s="375">
        <v>1</v>
      </c>
      <c r="J69" s="371" t="s">
        <v>322</v>
      </c>
      <c r="K69" s="376">
        <v>39444.42</v>
      </c>
      <c r="L69" s="377" t="s">
        <v>754</v>
      </c>
      <c r="M69" s="378"/>
      <c r="N69" s="375"/>
      <c r="O69" s="379"/>
      <c r="P69" s="380">
        <v>45985</v>
      </c>
      <c r="Q69" s="381"/>
      <c r="R69" s="289" t="str">
        <f t="shared" si="1"/>
        <v/>
      </c>
      <c r="S69" s="241"/>
      <c r="AA69" s="281">
        <v>783</v>
      </c>
    </row>
    <row r="70" spans="1:27" ht="18" customHeight="1">
      <c r="A70" s="369">
        <v>38785</v>
      </c>
      <c r="B70" s="370">
        <v>72140</v>
      </c>
      <c r="C70" s="371" t="s">
        <v>41</v>
      </c>
      <c r="D70" s="369">
        <v>1</v>
      </c>
      <c r="E70" s="372" t="s">
        <v>314</v>
      </c>
      <c r="F70" s="369"/>
      <c r="G70" s="373" t="s">
        <v>303</v>
      </c>
      <c r="H70" s="374">
        <v>45720</v>
      </c>
      <c r="I70" s="375">
        <v>2</v>
      </c>
      <c r="J70" s="371" t="s">
        <v>323</v>
      </c>
      <c r="K70" s="376">
        <v>38305.699999999997</v>
      </c>
      <c r="L70" s="377" t="s">
        <v>754</v>
      </c>
      <c r="M70" s="378"/>
      <c r="N70" s="375"/>
      <c r="O70" s="379"/>
      <c r="P70" s="380">
        <v>45985</v>
      </c>
      <c r="Q70" s="381"/>
      <c r="R70" s="289" t="str">
        <f t="shared" si="1"/>
        <v/>
      </c>
      <c r="S70" s="241"/>
      <c r="AA70" s="281">
        <v>784</v>
      </c>
    </row>
    <row r="71" spans="1:27" ht="18" customHeight="1">
      <c r="A71" s="369">
        <v>38785</v>
      </c>
      <c r="B71" s="370">
        <v>72141</v>
      </c>
      <c r="C71" s="371" t="s">
        <v>41</v>
      </c>
      <c r="D71" s="369">
        <v>1</v>
      </c>
      <c r="E71" s="372" t="s">
        <v>315</v>
      </c>
      <c r="F71" s="369"/>
      <c r="G71" s="373" t="s">
        <v>303</v>
      </c>
      <c r="H71" s="374">
        <v>45720</v>
      </c>
      <c r="I71" s="375">
        <v>3</v>
      </c>
      <c r="J71" s="371" t="s">
        <v>324</v>
      </c>
      <c r="K71" s="376">
        <v>39684.129999999997</v>
      </c>
      <c r="L71" s="377" t="s">
        <v>754</v>
      </c>
      <c r="M71" s="378"/>
      <c r="N71" s="375"/>
      <c r="O71" s="379"/>
      <c r="P71" s="380">
        <v>45985</v>
      </c>
      <c r="Q71" s="381"/>
      <c r="R71" s="289" t="str">
        <f t="shared" si="1"/>
        <v/>
      </c>
      <c r="S71" s="241"/>
      <c r="AA71" s="281">
        <v>785</v>
      </c>
    </row>
    <row r="72" spans="1:27" ht="18" customHeight="1">
      <c r="A72" s="369">
        <v>38785</v>
      </c>
      <c r="B72" s="370">
        <v>72142</v>
      </c>
      <c r="C72" s="371" t="s">
        <v>41</v>
      </c>
      <c r="D72" s="369">
        <v>1</v>
      </c>
      <c r="E72" s="372" t="s">
        <v>316</v>
      </c>
      <c r="F72" s="369"/>
      <c r="G72" s="373" t="s">
        <v>303</v>
      </c>
      <c r="H72" s="374">
        <v>45720</v>
      </c>
      <c r="I72" s="375">
        <v>4</v>
      </c>
      <c r="J72" s="371" t="s">
        <v>325</v>
      </c>
      <c r="K72" s="376">
        <v>39684.129999999997</v>
      </c>
      <c r="L72" s="377" t="s">
        <v>754</v>
      </c>
      <c r="M72" s="378"/>
      <c r="N72" s="375"/>
      <c r="O72" s="379"/>
      <c r="P72" s="380">
        <v>45985</v>
      </c>
      <c r="Q72" s="381"/>
      <c r="R72" s="289" t="str">
        <f t="shared" si="1"/>
        <v/>
      </c>
      <c r="S72" s="241"/>
      <c r="AA72" s="281">
        <v>788</v>
      </c>
    </row>
    <row r="73" spans="1:27" ht="18" customHeight="1">
      <c r="A73" s="369">
        <v>38785</v>
      </c>
      <c r="B73" s="370">
        <v>72143</v>
      </c>
      <c r="C73" s="371" t="s">
        <v>41</v>
      </c>
      <c r="D73" s="369">
        <v>1</v>
      </c>
      <c r="E73" s="372" t="s">
        <v>317</v>
      </c>
      <c r="F73" s="369"/>
      <c r="G73" s="373" t="s">
        <v>303</v>
      </c>
      <c r="H73" s="374">
        <v>45720</v>
      </c>
      <c r="I73" s="375">
        <v>5</v>
      </c>
      <c r="J73" s="371" t="s">
        <v>326</v>
      </c>
      <c r="K73" s="376">
        <v>16803.5</v>
      </c>
      <c r="L73" s="377" t="s">
        <v>754</v>
      </c>
      <c r="M73" s="378"/>
      <c r="N73" s="375"/>
      <c r="O73" s="379"/>
      <c r="P73" s="380">
        <v>45985</v>
      </c>
      <c r="Q73" s="381"/>
      <c r="R73" s="289" t="str">
        <f t="shared" si="1"/>
        <v/>
      </c>
      <c r="S73" s="241"/>
      <c r="AA73" s="281">
        <v>789</v>
      </c>
    </row>
    <row r="74" spans="1:27" ht="18" customHeight="1">
      <c r="A74" s="369">
        <v>38785</v>
      </c>
      <c r="B74" s="370">
        <v>72144</v>
      </c>
      <c r="C74" s="371" t="s">
        <v>41</v>
      </c>
      <c r="D74" s="369">
        <v>1</v>
      </c>
      <c r="E74" s="372" t="s">
        <v>318</v>
      </c>
      <c r="F74" s="369"/>
      <c r="G74" s="373" t="s">
        <v>303</v>
      </c>
      <c r="H74" s="374">
        <v>45720</v>
      </c>
      <c r="I74" s="375">
        <v>6</v>
      </c>
      <c r="J74" s="371" t="s">
        <v>327</v>
      </c>
      <c r="K74" s="376">
        <v>17217.82</v>
      </c>
      <c r="L74" s="377" t="s">
        <v>754</v>
      </c>
      <c r="M74" s="378"/>
      <c r="N74" s="375"/>
      <c r="O74" s="379"/>
      <c r="P74" s="380">
        <v>45985</v>
      </c>
      <c r="Q74" s="381"/>
      <c r="R74" s="289" t="str">
        <f t="shared" si="1"/>
        <v/>
      </c>
      <c r="S74" s="241"/>
      <c r="AA74" s="281">
        <v>790</v>
      </c>
    </row>
    <row r="75" spans="1:27" ht="18" customHeight="1">
      <c r="A75" s="369">
        <v>38785</v>
      </c>
      <c r="B75" s="370">
        <v>72145</v>
      </c>
      <c r="C75" s="371" t="s">
        <v>41</v>
      </c>
      <c r="D75" s="369">
        <v>1</v>
      </c>
      <c r="E75" s="372" t="s">
        <v>319</v>
      </c>
      <c r="F75" s="369"/>
      <c r="G75" s="373" t="s">
        <v>303</v>
      </c>
      <c r="H75" s="374">
        <v>45720</v>
      </c>
      <c r="I75" s="375">
        <v>7</v>
      </c>
      <c r="J75" s="371" t="s">
        <v>328</v>
      </c>
      <c r="K75" s="376">
        <v>17288.48</v>
      </c>
      <c r="L75" s="377" t="s">
        <v>754</v>
      </c>
      <c r="M75" s="378"/>
      <c r="N75" s="375"/>
      <c r="O75" s="379"/>
      <c r="P75" s="380">
        <v>45985</v>
      </c>
      <c r="Q75" s="381"/>
      <c r="R75" s="289" t="str">
        <f t="shared" si="1"/>
        <v/>
      </c>
      <c r="S75" s="241"/>
      <c r="AA75" s="281">
        <v>791</v>
      </c>
    </row>
    <row r="76" spans="1:27" ht="18" customHeight="1">
      <c r="A76" s="369">
        <v>38785</v>
      </c>
      <c r="B76" s="370">
        <v>72146</v>
      </c>
      <c r="C76" s="371" t="s">
        <v>41</v>
      </c>
      <c r="D76" s="369">
        <v>1</v>
      </c>
      <c r="E76" s="372" t="s">
        <v>320</v>
      </c>
      <c r="F76" s="369"/>
      <c r="G76" s="373" t="s">
        <v>303</v>
      </c>
      <c r="H76" s="374">
        <v>45720</v>
      </c>
      <c r="I76" s="375">
        <v>8</v>
      </c>
      <c r="J76" s="371" t="s">
        <v>329</v>
      </c>
      <c r="K76" s="376">
        <v>15059.18</v>
      </c>
      <c r="L76" s="377" t="s">
        <v>754</v>
      </c>
      <c r="M76" s="378"/>
      <c r="N76" s="375"/>
      <c r="O76" s="379"/>
      <c r="P76" s="380">
        <v>45985</v>
      </c>
      <c r="Q76" s="381"/>
      <c r="R76" s="289" t="str">
        <f t="shared" si="1"/>
        <v/>
      </c>
      <c r="S76" s="241"/>
      <c r="AA76" s="281">
        <v>792</v>
      </c>
    </row>
    <row r="77" spans="1:27" ht="18" customHeight="1">
      <c r="A77" s="369">
        <v>38785</v>
      </c>
      <c r="B77" s="370">
        <v>72147</v>
      </c>
      <c r="C77" s="371" t="s">
        <v>41</v>
      </c>
      <c r="D77" s="369">
        <v>2</v>
      </c>
      <c r="E77" s="372" t="s">
        <v>321</v>
      </c>
      <c r="F77" s="369"/>
      <c r="G77" s="373" t="s">
        <v>303</v>
      </c>
      <c r="H77" s="374">
        <v>45720</v>
      </c>
      <c r="I77" s="375">
        <v>9</v>
      </c>
      <c r="J77" s="371" t="s">
        <v>330</v>
      </c>
      <c r="K77" s="376">
        <v>84206.32</v>
      </c>
      <c r="L77" s="377" t="s">
        <v>754</v>
      </c>
      <c r="M77" s="378"/>
      <c r="N77" s="375"/>
      <c r="O77" s="379"/>
      <c r="P77" s="380">
        <v>45985</v>
      </c>
      <c r="Q77" s="381"/>
      <c r="R77" s="289" t="str">
        <f t="shared" si="1"/>
        <v/>
      </c>
      <c r="S77" s="241"/>
      <c r="AA77" s="281">
        <v>793</v>
      </c>
    </row>
    <row r="78" spans="1:27" ht="18" customHeight="1">
      <c r="A78" s="298"/>
      <c r="B78" s="299"/>
      <c r="C78" s="241"/>
      <c r="D78" s="298"/>
      <c r="E78" s="300"/>
      <c r="F78" s="298"/>
      <c r="G78" s="241"/>
      <c r="H78" s="302"/>
      <c r="J78" s="241"/>
      <c r="M78" s="303"/>
      <c r="N78" s="281"/>
      <c r="O78" s="304"/>
      <c r="P78" s="305"/>
      <c r="Q78" s="306"/>
      <c r="R78" s="289" t="str">
        <f t="shared" si="1"/>
        <v/>
      </c>
      <c r="S78" s="241"/>
      <c r="AA78" s="281">
        <v>794</v>
      </c>
    </row>
    <row r="79" spans="1:27" ht="18" customHeight="1">
      <c r="A79" s="369">
        <v>38804</v>
      </c>
      <c r="B79" s="370">
        <v>72234</v>
      </c>
      <c r="C79" s="371" t="s">
        <v>41</v>
      </c>
      <c r="D79" s="369">
        <v>1</v>
      </c>
      <c r="E79" s="372" t="s">
        <v>313</v>
      </c>
      <c r="F79" s="369"/>
      <c r="G79" s="373" t="s">
        <v>303</v>
      </c>
      <c r="H79" s="374">
        <v>45736</v>
      </c>
      <c r="I79" s="375">
        <v>1</v>
      </c>
      <c r="J79" s="371" t="s">
        <v>322</v>
      </c>
      <c r="K79" s="376">
        <v>39444.42</v>
      </c>
      <c r="L79" s="382" t="s">
        <v>331</v>
      </c>
      <c r="M79" s="378"/>
      <c r="N79" s="375"/>
      <c r="O79" s="379"/>
      <c r="P79" s="383">
        <v>45985</v>
      </c>
      <c r="Q79" s="381"/>
      <c r="R79" s="289" t="str">
        <f t="shared" si="1"/>
        <v/>
      </c>
      <c r="S79" s="241"/>
      <c r="AA79" s="281">
        <v>795</v>
      </c>
    </row>
    <row r="80" spans="1:27" ht="18" customHeight="1">
      <c r="A80" s="369">
        <v>38804</v>
      </c>
      <c r="B80" s="370">
        <v>72235</v>
      </c>
      <c r="C80" s="371" t="s">
        <v>41</v>
      </c>
      <c r="D80" s="369">
        <v>1</v>
      </c>
      <c r="E80" s="372" t="s">
        <v>314</v>
      </c>
      <c r="F80" s="369"/>
      <c r="G80" s="373" t="s">
        <v>303</v>
      </c>
      <c r="H80" s="374">
        <v>45736</v>
      </c>
      <c r="I80" s="375">
        <v>2</v>
      </c>
      <c r="J80" s="371" t="s">
        <v>323</v>
      </c>
      <c r="K80" s="376">
        <v>38305.699999999997</v>
      </c>
      <c r="L80" s="382" t="s">
        <v>331</v>
      </c>
      <c r="M80" s="378"/>
      <c r="N80" s="375"/>
      <c r="O80" s="379"/>
      <c r="P80" s="383">
        <v>45985</v>
      </c>
      <c r="Q80" s="381"/>
      <c r="R80" s="289" t="str">
        <f t="shared" si="1"/>
        <v/>
      </c>
      <c r="S80" s="241"/>
      <c r="AA80" s="281">
        <v>796</v>
      </c>
    </row>
    <row r="81" spans="1:27" ht="18" customHeight="1">
      <c r="A81" s="369">
        <v>38804</v>
      </c>
      <c r="B81" s="370">
        <v>72236</v>
      </c>
      <c r="C81" s="371" t="s">
        <v>41</v>
      </c>
      <c r="D81" s="369">
        <v>1</v>
      </c>
      <c r="E81" s="372" t="s">
        <v>315</v>
      </c>
      <c r="F81" s="369"/>
      <c r="G81" s="373" t="s">
        <v>303</v>
      </c>
      <c r="H81" s="374">
        <v>45736</v>
      </c>
      <c r="I81" s="375">
        <v>3</v>
      </c>
      <c r="J81" s="371" t="s">
        <v>324</v>
      </c>
      <c r="K81" s="376">
        <v>39684.129999999997</v>
      </c>
      <c r="L81" s="382" t="s">
        <v>331</v>
      </c>
      <c r="M81" s="378"/>
      <c r="N81" s="375"/>
      <c r="O81" s="379"/>
      <c r="P81" s="383">
        <v>45985</v>
      </c>
      <c r="Q81" s="381"/>
      <c r="R81" s="289" t="str">
        <f t="shared" si="1"/>
        <v/>
      </c>
      <c r="S81" s="241"/>
      <c r="AA81" s="281">
        <v>797</v>
      </c>
    </row>
    <row r="82" spans="1:27" ht="18" customHeight="1">
      <c r="A82" s="369">
        <v>38804</v>
      </c>
      <c r="B82" s="370">
        <v>72237</v>
      </c>
      <c r="C82" s="371" t="s">
        <v>41</v>
      </c>
      <c r="D82" s="369">
        <v>1</v>
      </c>
      <c r="E82" s="372" t="s">
        <v>316</v>
      </c>
      <c r="F82" s="369"/>
      <c r="G82" s="373" t="s">
        <v>303</v>
      </c>
      <c r="H82" s="374">
        <v>45736</v>
      </c>
      <c r="I82" s="375">
        <v>4</v>
      </c>
      <c r="J82" s="371" t="s">
        <v>325</v>
      </c>
      <c r="K82" s="376">
        <v>39684.129999999997</v>
      </c>
      <c r="L82" s="382" t="s">
        <v>331</v>
      </c>
      <c r="M82" s="378"/>
      <c r="N82" s="375"/>
      <c r="O82" s="379"/>
      <c r="P82" s="383">
        <v>45985</v>
      </c>
      <c r="Q82" s="381"/>
      <c r="R82" s="289" t="str">
        <f t="shared" si="1"/>
        <v/>
      </c>
      <c r="S82" s="241"/>
      <c r="AA82" s="281">
        <v>800</v>
      </c>
    </row>
    <row r="83" spans="1:27" ht="18" customHeight="1">
      <c r="A83" s="369">
        <v>38804</v>
      </c>
      <c r="B83" s="370">
        <v>72238</v>
      </c>
      <c r="C83" s="371" t="s">
        <v>41</v>
      </c>
      <c r="D83" s="369">
        <v>1</v>
      </c>
      <c r="E83" s="372" t="s">
        <v>317</v>
      </c>
      <c r="F83" s="369"/>
      <c r="G83" s="373" t="s">
        <v>303</v>
      </c>
      <c r="H83" s="374">
        <v>45736</v>
      </c>
      <c r="I83" s="375">
        <v>5</v>
      </c>
      <c r="J83" s="371" t="s">
        <v>326</v>
      </c>
      <c r="K83" s="376">
        <v>16803.5</v>
      </c>
      <c r="L83" s="382" t="s">
        <v>331</v>
      </c>
      <c r="M83" s="378"/>
      <c r="N83" s="375"/>
      <c r="O83" s="379"/>
      <c r="P83" s="383">
        <v>45985</v>
      </c>
      <c r="Q83" s="381"/>
      <c r="R83" s="289" t="str">
        <f t="shared" si="1"/>
        <v/>
      </c>
      <c r="S83" s="241"/>
      <c r="AA83" s="281">
        <v>801</v>
      </c>
    </row>
    <row r="84" spans="1:27" ht="18" customHeight="1">
      <c r="A84" s="369">
        <v>38804</v>
      </c>
      <c r="B84" s="370">
        <v>72239</v>
      </c>
      <c r="C84" s="371" t="s">
        <v>41</v>
      </c>
      <c r="D84" s="369">
        <v>1</v>
      </c>
      <c r="E84" s="372" t="s">
        <v>318</v>
      </c>
      <c r="F84" s="369"/>
      <c r="G84" s="373" t="s">
        <v>303</v>
      </c>
      <c r="H84" s="374">
        <v>45736</v>
      </c>
      <c r="I84" s="375">
        <v>6</v>
      </c>
      <c r="J84" s="371" t="s">
        <v>327</v>
      </c>
      <c r="K84" s="376">
        <v>17217.82</v>
      </c>
      <c r="L84" s="382" t="s">
        <v>331</v>
      </c>
      <c r="M84" s="378"/>
      <c r="N84" s="375"/>
      <c r="O84" s="379"/>
      <c r="P84" s="383">
        <v>45985</v>
      </c>
      <c r="Q84" s="381"/>
      <c r="R84" s="289" t="str">
        <f t="shared" si="1"/>
        <v/>
      </c>
      <c r="S84" s="241"/>
      <c r="AA84" s="281">
        <v>802</v>
      </c>
    </row>
    <row r="85" spans="1:27" ht="18" customHeight="1">
      <c r="A85" s="369">
        <v>38804</v>
      </c>
      <c r="B85" s="370">
        <v>72240</v>
      </c>
      <c r="C85" s="371" t="s">
        <v>41</v>
      </c>
      <c r="D85" s="369">
        <v>1</v>
      </c>
      <c r="E85" s="372" t="s">
        <v>319</v>
      </c>
      <c r="F85" s="369"/>
      <c r="G85" s="373" t="s">
        <v>303</v>
      </c>
      <c r="H85" s="374">
        <v>45736</v>
      </c>
      <c r="I85" s="375">
        <v>7</v>
      </c>
      <c r="J85" s="371" t="s">
        <v>328</v>
      </c>
      <c r="K85" s="376">
        <v>17288.48</v>
      </c>
      <c r="L85" s="382" t="s">
        <v>331</v>
      </c>
      <c r="M85" s="378"/>
      <c r="N85" s="375"/>
      <c r="O85" s="379"/>
      <c r="P85" s="383">
        <v>45985</v>
      </c>
      <c r="Q85" s="381"/>
      <c r="R85" s="289" t="str">
        <f t="shared" si="1"/>
        <v/>
      </c>
      <c r="S85" s="241"/>
      <c r="AA85" s="281">
        <v>1083</v>
      </c>
    </row>
    <row r="86" spans="1:27" ht="18" customHeight="1">
      <c r="A86" s="369">
        <v>38804</v>
      </c>
      <c r="B86" s="370">
        <v>72241</v>
      </c>
      <c r="C86" s="371" t="s">
        <v>41</v>
      </c>
      <c r="D86" s="369">
        <v>1</v>
      </c>
      <c r="E86" s="372" t="s">
        <v>320</v>
      </c>
      <c r="F86" s="369"/>
      <c r="G86" s="373" t="s">
        <v>303</v>
      </c>
      <c r="H86" s="374">
        <v>45736</v>
      </c>
      <c r="I86" s="375">
        <v>8</v>
      </c>
      <c r="J86" s="371" t="s">
        <v>329</v>
      </c>
      <c r="K86" s="376">
        <v>15059.18</v>
      </c>
      <c r="L86" s="382" t="s">
        <v>331</v>
      </c>
      <c r="M86" s="378"/>
      <c r="N86" s="375"/>
      <c r="O86" s="379"/>
      <c r="P86" s="383">
        <v>45985</v>
      </c>
      <c r="Q86" s="381"/>
      <c r="R86" s="289" t="str">
        <f t="shared" si="1"/>
        <v/>
      </c>
      <c r="S86" s="241"/>
      <c r="AA86" s="281">
        <v>1084</v>
      </c>
    </row>
    <row r="87" spans="1:27" ht="18" customHeight="1">
      <c r="A87" s="369">
        <v>38804</v>
      </c>
      <c r="B87" s="370">
        <v>72242</v>
      </c>
      <c r="C87" s="371" t="s">
        <v>41</v>
      </c>
      <c r="D87" s="369">
        <v>2</v>
      </c>
      <c r="E87" s="372" t="s">
        <v>321</v>
      </c>
      <c r="F87" s="369"/>
      <c r="G87" s="373" t="s">
        <v>303</v>
      </c>
      <c r="H87" s="374">
        <v>45736</v>
      </c>
      <c r="I87" s="375">
        <v>9</v>
      </c>
      <c r="J87" s="371" t="s">
        <v>330</v>
      </c>
      <c r="K87" s="376">
        <v>84206.32</v>
      </c>
      <c r="L87" s="382" t="s">
        <v>331</v>
      </c>
      <c r="M87" s="378"/>
      <c r="N87" s="375"/>
      <c r="O87" s="379"/>
      <c r="P87" s="383">
        <v>45985</v>
      </c>
      <c r="Q87" s="381"/>
      <c r="R87" s="289" t="str">
        <f t="shared" si="1"/>
        <v/>
      </c>
      <c r="S87" s="241"/>
      <c r="AA87" s="281">
        <v>807</v>
      </c>
    </row>
    <row r="88" spans="1:27" ht="18" customHeight="1">
      <c r="A88" s="298"/>
      <c r="B88" s="299"/>
      <c r="C88" s="241"/>
      <c r="D88" s="298"/>
      <c r="E88" s="300"/>
      <c r="F88" s="298"/>
      <c r="G88" s="384"/>
      <c r="H88" s="302"/>
      <c r="J88" s="241"/>
      <c r="M88" s="303"/>
      <c r="N88" s="281"/>
      <c r="O88" s="304"/>
      <c r="P88" s="305"/>
      <c r="Q88" s="306"/>
      <c r="R88" s="289" t="str">
        <f t="shared" si="1"/>
        <v/>
      </c>
      <c r="S88" s="241"/>
      <c r="AA88" s="281">
        <v>808</v>
      </c>
    </row>
    <row r="89" spans="1:27" ht="18" customHeight="1">
      <c r="A89" s="298">
        <v>38825</v>
      </c>
      <c r="B89" s="299">
        <v>72280</v>
      </c>
      <c r="C89" s="241" t="s">
        <v>41</v>
      </c>
      <c r="D89" s="298">
        <v>1</v>
      </c>
      <c r="E89" s="300" t="s">
        <v>336</v>
      </c>
      <c r="F89" s="298">
        <v>0</v>
      </c>
      <c r="G89" s="384" t="s">
        <v>246</v>
      </c>
      <c r="H89" s="302">
        <v>45748</v>
      </c>
      <c r="I89" s="281">
        <v>1</v>
      </c>
      <c r="J89" s="241" t="s">
        <v>337</v>
      </c>
      <c r="K89" s="284">
        <v>122666</v>
      </c>
      <c r="L89" s="281" t="s">
        <v>338</v>
      </c>
      <c r="M89" s="303"/>
      <c r="N89" s="281"/>
      <c r="O89" s="304"/>
      <c r="P89" s="305">
        <v>45884</v>
      </c>
      <c r="Q89" s="306"/>
      <c r="R89" s="289" t="str">
        <f t="shared" si="1"/>
        <v/>
      </c>
      <c r="S89" s="241"/>
      <c r="AA89" s="281">
        <v>809</v>
      </c>
    </row>
    <row r="90" spans="1:27" ht="18" customHeight="1">
      <c r="A90" s="342">
        <v>38825</v>
      </c>
      <c r="B90" s="355">
        <v>72948</v>
      </c>
      <c r="C90" s="356" t="s">
        <v>41</v>
      </c>
      <c r="D90" s="342">
        <v>1</v>
      </c>
      <c r="E90" s="357" t="s">
        <v>336</v>
      </c>
      <c r="F90" s="342">
        <v>0</v>
      </c>
      <c r="G90" s="385" t="s">
        <v>275</v>
      </c>
      <c r="H90" s="359">
        <v>45979</v>
      </c>
      <c r="I90" s="348">
        <v>2</v>
      </c>
      <c r="J90" s="356" t="s">
        <v>755</v>
      </c>
      <c r="K90" s="360">
        <v>45623</v>
      </c>
      <c r="L90" s="386" t="s">
        <v>756</v>
      </c>
      <c r="M90" s="347"/>
      <c r="N90" s="348"/>
      <c r="O90" s="349"/>
      <c r="P90" s="387">
        <v>46094</v>
      </c>
      <c r="Q90" s="306"/>
      <c r="R90" s="289" t="str">
        <f t="shared" si="1"/>
        <v/>
      </c>
      <c r="S90" s="241"/>
      <c r="AA90" s="281">
        <v>810</v>
      </c>
    </row>
    <row r="91" spans="1:27" ht="18" customHeight="1">
      <c r="A91" s="298"/>
      <c r="B91" s="299"/>
      <c r="C91" s="241"/>
      <c r="D91" s="298"/>
      <c r="E91" s="300"/>
      <c r="F91" s="298"/>
      <c r="G91" s="241"/>
      <c r="H91" s="302"/>
      <c r="J91" s="241"/>
      <c r="M91" s="303"/>
      <c r="N91" s="281"/>
      <c r="O91" s="304"/>
      <c r="P91" s="305"/>
      <c r="Q91" s="306"/>
      <c r="R91" s="289" t="str">
        <f t="shared" si="1"/>
        <v/>
      </c>
      <c r="S91" s="241"/>
      <c r="AA91" s="281">
        <v>811</v>
      </c>
    </row>
    <row r="92" spans="1:27" ht="18" customHeight="1">
      <c r="A92" s="298">
        <v>38835</v>
      </c>
      <c r="B92" s="299">
        <v>72297</v>
      </c>
      <c r="C92" s="241" t="s">
        <v>32</v>
      </c>
      <c r="D92" s="298">
        <v>15</v>
      </c>
      <c r="E92" s="300" t="s">
        <v>339</v>
      </c>
      <c r="F92" s="298"/>
      <c r="G92" s="241" t="s">
        <v>340</v>
      </c>
      <c r="H92" s="302">
        <v>45755</v>
      </c>
      <c r="I92" s="281">
        <v>1</v>
      </c>
      <c r="J92" s="241" t="s">
        <v>341</v>
      </c>
      <c r="M92" s="303"/>
      <c r="N92" s="281"/>
      <c r="O92" s="304"/>
      <c r="P92" s="305">
        <v>45775</v>
      </c>
      <c r="Q92" s="306"/>
      <c r="R92" s="289" t="str">
        <f t="shared" si="1"/>
        <v/>
      </c>
      <c r="S92" s="241"/>
      <c r="AA92" s="281">
        <v>812</v>
      </c>
    </row>
    <row r="93" spans="1:27" ht="18" customHeight="1">
      <c r="A93" s="298"/>
      <c r="B93" s="299"/>
      <c r="C93" s="241"/>
      <c r="D93" s="298"/>
      <c r="E93" s="300"/>
      <c r="F93" s="298"/>
      <c r="G93" s="241"/>
      <c r="H93" s="302"/>
      <c r="J93" s="241"/>
      <c r="M93" s="303"/>
      <c r="N93" s="281"/>
      <c r="O93" s="304"/>
      <c r="P93" s="305"/>
      <c r="Q93" s="306"/>
      <c r="R93" s="289" t="str">
        <f t="shared" si="1"/>
        <v/>
      </c>
      <c r="S93" s="241"/>
      <c r="AA93" s="281">
        <v>813</v>
      </c>
    </row>
    <row r="94" spans="1:27" ht="18" customHeight="1">
      <c r="A94" s="298">
        <v>38848</v>
      </c>
      <c r="B94" s="299">
        <v>72326</v>
      </c>
      <c r="C94" s="241" t="s">
        <v>0</v>
      </c>
      <c r="D94" s="298">
        <v>1</v>
      </c>
      <c r="E94" s="300" t="s">
        <v>253</v>
      </c>
      <c r="F94" s="298"/>
      <c r="G94" s="241" t="s">
        <v>243</v>
      </c>
      <c r="H94" s="302">
        <v>45770</v>
      </c>
      <c r="I94" s="281">
        <v>1</v>
      </c>
      <c r="J94" s="241" t="s">
        <v>342</v>
      </c>
      <c r="M94" s="303"/>
      <c r="N94" s="281"/>
      <c r="O94" s="304"/>
      <c r="P94" s="305">
        <v>45779</v>
      </c>
      <c r="Q94" s="306"/>
      <c r="R94" s="289" t="str">
        <f t="shared" si="1"/>
        <v/>
      </c>
      <c r="S94" s="241"/>
      <c r="AA94" s="281">
        <v>814</v>
      </c>
    </row>
    <row r="95" spans="1:27" ht="18" customHeight="1">
      <c r="A95" s="298">
        <v>38848</v>
      </c>
      <c r="B95" s="299">
        <v>72327</v>
      </c>
      <c r="C95" s="241" t="s">
        <v>0</v>
      </c>
      <c r="D95" s="298">
        <v>1</v>
      </c>
      <c r="E95" s="300" t="s">
        <v>253</v>
      </c>
      <c r="F95" s="298"/>
      <c r="G95" s="241" t="s">
        <v>243</v>
      </c>
      <c r="H95" s="302">
        <v>45770</v>
      </c>
      <c r="I95" s="281">
        <v>2</v>
      </c>
      <c r="J95" s="241" t="s">
        <v>343</v>
      </c>
      <c r="M95" s="303"/>
      <c r="N95" s="281"/>
      <c r="O95" s="304"/>
      <c r="P95" s="305">
        <v>45779</v>
      </c>
      <c r="Q95" s="306"/>
      <c r="R95" s="289" t="str">
        <f t="shared" si="1"/>
        <v/>
      </c>
      <c r="S95" s="241"/>
      <c r="AA95" s="281">
        <v>815</v>
      </c>
    </row>
    <row r="96" spans="1:27" ht="18" customHeight="1">
      <c r="A96" s="298">
        <v>38848</v>
      </c>
      <c r="B96" s="299">
        <v>72328</v>
      </c>
      <c r="C96" s="241" t="s">
        <v>0</v>
      </c>
      <c r="D96" s="298">
        <v>1</v>
      </c>
      <c r="E96" s="300" t="s">
        <v>253</v>
      </c>
      <c r="F96" s="298"/>
      <c r="G96" s="241" t="s">
        <v>243</v>
      </c>
      <c r="H96" s="302">
        <v>45770</v>
      </c>
      <c r="I96" s="281">
        <v>3</v>
      </c>
      <c r="J96" s="241" t="s">
        <v>344</v>
      </c>
      <c r="M96" s="303"/>
      <c r="N96" s="281"/>
      <c r="O96" s="304"/>
      <c r="P96" s="305">
        <v>45779</v>
      </c>
      <c r="Q96" s="306"/>
      <c r="R96" s="289" t="str">
        <f t="shared" si="1"/>
        <v/>
      </c>
      <c r="S96" s="241"/>
      <c r="AA96" s="281">
        <v>816</v>
      </c>
    </row>
    <row r="97" spans="1:27" ht="18" customHeight="1">
      <c r="A97" s="298"/>
      <c r="B97" s="299"/>
      <c r="C97" s="241"/>
      <c r="D97" s="298"/>
      <c r="E97" s="300"/>
      <c r="F97" s="298"/>
      <c r="G97" s="241"/>
      <c r="H97" s="302"/>
      <c r="J97" s="241"/>
      <c r="M97" s="303"/>
      <c r="N97" s="281"/>
      <c r="O97" s="304"/>
      <c r="P97" s="305"/>
      <c r="Q97" s="306"/>
      <c r="R97" s="289" t="str">
        <f t="shared" si="1"/>
        <v/>
      </c>
      <c r="S97" s="241"/>
      <c r="AA97" s="281">
        <v>817</v>
      </c>
    </row>
    <row r="98" spans="1:27" ht="18" customHeight="1">
      <c r="A98" s="298">
        <v>38865</v>
      </c>
      <c r="B98" s="299">
        <v>72367</v>
      </c>
      <c r="C98" s="241" t="s">
        <v>41</v>
      </c>
      <c r="D98" s="298">
        <v>4</v>
      </c>
      <c r="E98" s="300" t="s">
        <v>349</v>
      </c>
      <c r="F98" s="298">
        <v>5</v>
      </c>
      <c r="G98" s="241" t="s">
        <v>350</v>
      </c>
      <c r="H98" s="302">
        <v>45779</v>
      </c>
      <c r="I98" s="281">
        <v>1</v>
      </c>
      <c r="J98" s="241" t="s">
        <v>351</v>
      </c>
      <c r="K98" s="284">
        <v>161870</v>
      </c>
      <c r="L98" s="281" t="s">
        <v>354</v>
      </c>
      <c r="M98" s="303"/>
      <c r="N98" s="281"/>
      <c r="O98" s="304"/>
      <c r="P98" s="305">
        <v>46232</v>
      </c>
      <c r="Q98" s="306"/>
      <c r="R98" s="289" t="str">
        <f t="shared" si="1"/>
        <v/>
      </c>
      <c r="S98" s="241"/>
      <c r="AA98" s="281">
        <v>818</v>
      </c>
    </row>
    <row r="99" spans="1:27" ht="18" customHeight="1">
      <c r="A99" s="298">
        <v>38865</v>
      </c>
      <c r="B99" s="299">
        <v>72368</v>
      </c>
      <c r="C99" s="241" t="s">
        <v>41</v>
      </c>
      <c r="D99" s="298">
        <v>4</v>
      </c>
      <c r="E99" s="300" t="s">
        <v>352</v>
      </c>
      <c r="F99" s="298">
        <v>3</v>
      </c>
      <c r="G99" s="241" t="s">
        <v>350</v>
      </c>
      <c r="H99" s="302">
        <v>45779</v>
      </c>
      <c r="I99" s="281">
        <v>2</v>
      </c>
      <c r="J99" s="241" t="s">
        <v>353</v>
      </c>
      <c r="K99" s="284">
        <v>181755</v>
      </c>
      <c r="L99" s="281" t="s">
        <v>354</v>
      </c>
      <c r="M99" s="303"/>
      <c r="N99" s="281"/>
      <c r="O99" s="304"/>
      <c r="P99" s="305">
        <v>46232</v>
      </c>
      <c r="Q99" s="306"/>
      <c r="R99" s="289" t="str">
        <f t="shared" si="1"/>
        <v/>
      </c>
      <c r="S99" s="241"/>
      <c r="AA99" s="281">
        <v>819</v>
      </c>
    </row>
    <row r="100" spans="1:27" ht="18" customHeight="1">
      <c r="A100" s="298"/>
      <c r="B100" s="299"/>
      <c r="C100" s="241"/>
      <c r="D100" s="298"/>
      <c r="E100" s="300"/>
      <c r="F100" s="298"/>
      <c r="G100" s="241"/>
      <c r="H100" s="302"/>
      <c r="J100" s="241"/>
      <c r="M100" s="303"/>
      <c r="N100" s="281"/>
      <c r="O100" s="304"/>
      <c r="P100" s="305"/>
      <c r="Q100" s="306"/>
      <c r="R100" s="289" t="str">
        <f t="shared" ref="R100:R163" si="2">IF(SUM(Q100)&gt;0,SUM(Q100-P100),"")</f>
        <v/>
      </c>
      <c r="S100" s="241"/>
      <c r="AA100" s="281">
        <v>820</v>
      </c>
    </row>
    <row r="101" spans="1:27" ht="18" customHeight="1">
      <c r="A101" s="298">
        <v>38867</v>
      </c>
      <c r="B101" s="299">
        <v>72373</v>
      </c>
      <c r="C101" s="241" t="s">
        <v>41</v>
      </c>
      <c r="D101" s="298">
        <v>3</v>
      </c>
      <c r="E101" s="300" t="s">
        <v>361</v>
      </c>
      <c r="F101" s="298">
        <v>4</v>
      </c>
      <c r="G101" s="388" t="s">
        <v>282</v>
      </c>
      <c r="H101" s="302">
        <v>45782</v>
      </c>
      <c r="I101" s="281">
        <v>1</v>
      </c>
      <c r="J101" s="241" t="s">
        <v>362</v>
      </c>
      <c r="K101" s="284">
        <v>785648</v>
      </c>
      <c r="L101" s="389" t="s">
        <v>757</v>
      </c>
      <c r="M101" s="303"/>
      <c r="N101" s="281"/>
      <c r="O101" s="304"/>
      <c r="P101" s="305">
        <v>46304</v>
      </c>
      <c r="Q101" s="306"/>
      <c r="R101" s="289" t="str">
        <f t="shared" si="2"/>
        <v/>
      </c>
      <c r="S101" s="241"/>
      <c r="AA101" s="281">
        <v>821</v>
      </c>
    </row>
    <row r="102" spans="1:27" ht="18" customHeight="1">
      <c r="A102" s="298"/>
      <c r="B102" s="299"/>
      <c r="C102" s="241"/>
      <c r="D102" s="298"/>
      <c r="E102" s="300"/>
      <c r="F102" s="298"/>
      <c r="G102" s="241"/>
      <c r="H102" s="302"/>
      <c r="J102" s="241"/>
      <c r="M102" s="303"/>
      <c r="N102" s="281"/>
      <c r="O102" s="304"/>
      <c r="P102" s="305"/>
      <c r="Q102" s="306"/>
      <c r="R102" s="289" t="str">
        <f t="shared" si="2"/>
        <v/>
      </c>
      <c r="S102" s="241"/>
      <c r="AA102" s="281">
        <v>1085</v>
      </c>
    </row>
    <row r="103" spans="1:27" ht="18" customHeight="1">
      <c r="A103" s="298">
        <v>38885</v>
      </c>
      <c r="B103" s="299">
        <v>72395</v>
      </c>
      <c r="C103" s="241" t="s">
        <v>41</v>
      </c>
      <c r="D103" s="298">
        <v>1</v>
      </c>
      <c r="E103" s="300" t="s">
        <v>363</v>
      </c>
      <c r="F103" s="298">
        <v>2</v>
      </c>
      <c r="G103" s="301" t="s">
        <v>364</v>
      </c>
      <c r="H103" s="302">
        <v>45797</v>
      </c>
      <c r="I103" s="281">
        <v>1</v>
      </c>
      <c r="J103" s="241" t="s">
        <v>365</v>
      </c>
      <c r="K103" s="284">
        <v>146936</v>
      </c>
      <c r="L103" s="350" t="s">
        <v>758</v>
      </c>
      <c r="M103" s="303"/>
      <c r="N103" s="281"/>
      <c r="O103" s="304"/>
      <c r="P103" s="305">
        <v>45896</v>
      </c>
      <c r="Q103" s="306"/>
      <c r="R103" s="289" t="str">
        <f t="shared" si="2"/>
        <v/>
      </c>
      <c r="S103" s="241"/>
      <c r="AA103" s="281">
        <v>822</v>
      </c>
    </row>
    <row r="104" spans="1:27" ht="18" customHeight="1">
      <c r="A104" s="298"/>
      <c r="B104" s="299"/>
      <c r="C104" s="241"/>
      <c r="D104" s="298"/>
      <c r="E104" s="300"/>
      <c r="F104" s="298"/>
      <c r="G104" s="241"/>
      <c r="H104" s="302"/>
      <c r="J104" s="241"/>
      <c r="M104" s="303"/>
      <c r="N104" s="281"/>
      <c r="O104" s="304"/>
      <c r="P104" s="305"/>
      <c r="Q104" s="306"/>
      <c r="R104" s="289" t="str">
        <f t="shared" si="2"/>
        <v/>
      </c>
      <c r="S104" s="241"/>
      <c r="AA104" s="281">
        <v>823</v>
      </c>
    </row>
    <row r="105" spans="1:27" ht="18" customHeight="1">
      <c r="A105" s="298">
        <v>38898</v>
      </c>
      <c r="B105" s="299">
        <v>72422</v>
      </c>
      <c r="C105" s="241" t="s">
        <v>41</v>
      </c>
      <c r="D105" s="298">
        <v>1</v>
      </c>
      <c r="E105" s="300" t="s">
        <v>759</v>
      </c>
      <c r="F105" s="298">
        <v>0</v>
      </c>
      <c r="G105" s="388" t="s">
        <v>282</v>
      </c>
      <c r="H105" s="302">
        <v>45803</v>
      </c>
      <c r="I105" s="281">
        <v>1</v>
      </c>
      <c r="J105" s="241" t="s">
        <v>366</v>
      </c>
      <c r="K105" s="284">
        <v>272363</v>
      </c>
      <c r="L105" s="281" t="s">
        <v>760</v>
      </c>
      <c r="M105" s="303"/>
      <c r="N105" s="281"/>
      <c r="O105" s="304"/>
      <c r="P105" s="390">
        <v>45991</v>
      </c>
      <c r="Q105" s="306"/>
      <c r="R105" s="289" t="str">
        <f t="shared" si="2"/>
        <v/>
      </c>
      <c r="S105" s="241"/>
      <c r="AA105" s="281">
        <v>824</v>
      </c>
    </row>
    <row r="106" spans="1:27" ht="18" customHeight="1">
      <c r="A106" s="298"/>
      <c r="B106" s="299"/>
      <c r="C106" s="241"/>
      <c r="D106" s="298"/>
      <c r="E106" s="300"/>
      <c r="F106" s="298"/>
      <c r="G106" s="241"/>
      <c r="H106" s="302"/>
      <c r="J106" s="241"/>
      <c r="M106" s="303"/>
      <c r="N106" s="281"/>
      <c r="O106" s="304"/>
      <c r="P106" s="305"/>
      <c r="Q106" s="306"/>
      <c r="R106" s="289" t="str">
        <f t="shared" si="2"/>
        <v/>
      </c>
      <c r="S106" s="241"/>
      <c r="AA106" s="281">
        <v>825</v>
      </c>
    </row>
    <row r="107" spans="1:27" ht="18" customHeight="1">
      <c r="A107" s="298">
        <v>38899</v>
      </c>
      <c r="B107" s="299">
        <v>72425</v>
      </c>
      <c r="C107" s="241" t="s">
        <v>168</v>
      </c>
      <c r="D107" s="298">
        <v>1</v>
      </c>
      <c r="E107" s="300" t="s">
        <v>367</v>
      </c>
      <c r="F107" s="298"/>
      <c r="G107" s="241" t="s">
        <v>369</v>
      </c>
      <c r="H107" s="302">
        <v>45804</v>
      </c>
      <c r="I107" s="281">
        <v>50</v>
      </c>
      <c r="J107" s="241" t="s">
        <v>368</v>
      </c>
      <c r="K107" s="284">
        <v>345</v>
      </c>
      <c r="L107" s="281">
        <v>4590038355</v>
      </c>
      <c r="M107" s="303">
        <v>44570</v>
      </c>
      <c r="N107" s="281">
        <v>1</v>
      </c>
      <c r="O107" s="304">
        <v>52834</v>
      </c>
      <c r="P107" s="305">
        <v>45832</v>
      </c>
      <c r="Q107" s="306"/>
      <c r="R107" s="289" t="str">
        <f t="shared" si="2"/>
        <v/>
      </c>
      <c r="S107" s="241"/>
      <c r="AA107" s="281">
        <v>826</v>
      </c>
    </row>
    <row r="108" spans="1:27" ht="18" customHeight="1">
      <c r="A108" s="298"/>
      <c r="B108" s="299"/>
      <c r="C108" s="241"/>
      <c r="D108" s="298"/>
      <c r="E108" s="300"/>
      <c r="F108" s="298"/>
      <c r="G108" s="241"/>
      <c r="H108" s="302"/>
      <c r="J108" s="241"/>
      <c r="M108" s="303"/>
      <c r="N108" s="281"/>
      <c r="O108" s="304"/>
      <c r="P108" s="305"/>
      <c r="Q108" s="306"/>
      <c r="R108" s="289" t="str">
        <f t="shared" si="2"/>
        <v/>
      </c>
      <c r="S108" s="241"/>
      <c r="AA108" s="281">
        <v>827</v>
      </c>
    </row>
    <row r="109" spans="1:27" ht="18" customHeight="1">
      <c r="A109" s="298">
        <v>38906</v>
      </c>
      <c r="B109" s="299">
        <v>72438</v>
      </c>
      <c r="C109" s="241" t="s">
        <v>41</v>
      </c>
      <c r="D109" s="298">
        <v>3</v>
      </c>
      <c r="E109" s="300" t="s">
        <v>761</v>
      </c>
      <c r="F109" s="298"/>
      <c r="G109" s="388" t="s">
        <v>282</v>
      </c>
      <c r="H109" s="302">
        <v>45810</v>
      </c>
      <c r="I109" s="281">
        <v>1</v>
      </c>
      <c r="J109" s="241" t="s">
        <v>371</v>
      </c>
      <c r="K109" s="284">
        <v>243730</v>
      </c>
      <c r="L109" s="281" t="s">
        <v>379</v>
      </c>
      <c r="M109" s="303"/>
      <c r="N109" s="281"/>
      <c r="O109" s="304"/>
      <c r="P109" s="305">
        <v>46311</v>
      </c>
      <c r="Q109" s="306"/>
      <c r="R109" s="289" t="str">
        <f t="shared" si="2"/>
        <v/>
      </c>
      <c r="S109" s="241"/>
      <c r="AA109" s="281">
        <v>828</v>
      </c>
    </row>
    <row r="110" spans="1:27" ht="18" customHeight="1">
      <c r="A110" s="298">
        <v>38906</v>
      </c>
      <c r="B110" s="299">
        <v>72439</v>
      </c>
      <c r="C110" s="241" t="s">
        <v>41</v>
      </c>
      <c r="D110" s="298">
        <v>3</v>
      </c>
      <c r="E110" s="300" t="s">
        <v>372</v>
      </c>
      <c r="F110" s="298"/>
      <c r="G110" s="388" t="s">
        <v>282</v>
      </c>
      <c r="H110" s="302">
        <v>45810</v>
      </c>
      <c r="I110" s="281">
        <v>2</v>
      </c>
      <c r="J110" s="241" t="s">
        <v>373</v>
      </c>
      <c r="K110" s="284">
        <v>62656</v>
      </c>
      <c r="L110" s="281" t="s">
        <v>379</v>
      </c>
      <c r="M110" s="303"/>
      <c r="N110" s="281"/>
      <c r="O110" s="304"/>
      <c r="P110" s="305">
        <v>46311</v>
      </c>
      <c r="Q110" s="306"/>
      <c r="R110" s="289" t="str">
        <f t="shared" si="2"/>
        <v/>
      </c>
      <c r="S110" s="241"/>
      <c r="AA110" s="281">
        <v>829</v>
      </c>
    </row>
    <row r="111" spans="1:27" ht="18" customHeight="1">
      <c r="A111" s="298">
        <v>38906</v>
      </c>
      <c r="B111" s="299">
        <v>72440</v>
      </c>
      <c r="C111" s="241" t="s">
        <v>41</v>
      </c>
      <c r="D111" s="298">
        <v>4</v>
      </c>
      <c r="E111" s="300" t="s">
        <v>374</v>
      </c>
      <c r="F111" s="298"/>
      <c r="G111" s="388" t="s">
        <v>282</v>
      </c>
      <c r="H111" s="302">
        <v>45810</v>
      </c>
      <c r="I111" s="281">
        <v>3</v>
      </c>
      <c r="J111" s="241" t="s">
        <v>375</v>
      </c>
      <c r="K111" s="284">
        <v>31479</v>
      </c>
      <c r="L111" s="281" t="s">
        <v>379</v>
      </c>
      <c r="M111" s="303"/>
      <c r="N111" s="281"/>
      <c r="O111" s="304"/>
      <c r="P111" s="305">
        <v>46311</v>
      </c>
      <c r="Q111" s="306"/>
      <c r="R111" s="289" t="str">
        <f t="shared" si="2"/>
        <v/>
      </c>
      <c r="S111" s="241"/>
      <c r="AA111" s="281">
        <v>831</v>
      </c>
    </row>
    <row r="112" spans="1:27" ht="18" customHeight="1">
      <c r="A112" s="298">
        <v>38906</v>
      </c>
      <c r="B112" s="299">
        <v>72441</v>
      </c>
      <c r="C112" s="241" t="s">
        <v>41</v>
      </c>
      <c r="D112" s="298">
        <v>6</v>
      </c>
      <c r="E112" s="300" t="s">
        <v>376</v>
      </c>
      <c r="F112" s="298"/>
      <c r="G112" s="388" t="s">
        <v>282</v>
      </c>
      <c r="H112" s="302" t="s">
        <v>377</v>
      </c>
      <c r="I112" s="281">
        <v>4</v>
      </c>
      <c r="J112" s="241" t="s">
        <v>378</v>
      </c>
      <c r="K112" s="284">
        <v>582</v>
      </c>
      <c r="L112" s="281" t="s">
        <v>379</v>
      </c>
      <c r="M112" s="303"/>
      <c r="N112" s="281"/>
      <c r="O112" s="304"/>
      <c r="P112" s="305">
        <v>46311</v>
      </c>
      <c r="Q112" s="306"/>
      <c r="R112" s="289" t="str">
        <f t="shared" si="2"/>
        <v/>
      </c>
      <c r="S112" s="241"/>
      <c r="AA112" s="281">
        <v>832</v>
      </c>
    </row>
    <row r="113" spans="1:27" ht="18" customHeight="1">
      <c r="A113" s="298"/>
      <c r="B113" s="299"/>
      <c r="C113" s="241"/>
      <c r="D113" s="298"/>
      <c r="E113" s="300"/>
      <c r="F113" s="298"/>
      <c r="G113" s="241"/>
      <c r="H113" s="302"/>
      <c r="J113" s="241"/>
      <c r="M113" s="303"/>
      <c r="N113" s="281"/>
      <c r="O113" s="304"/>
      <c r="P113" s="305"/>
      <c r="Q113" s="306"/>
      <c r="R113" s="289" t="str">
        <f t="shared" si="2"/>
        <v/>
      </c>
      <c r="S113" s="241"/>
      <c r="AA113" s="281">
        <v>833</v>
      </c>
    </row>
    <row r="114" spans="1:27" ht="18" customHeight="1">
      <c r="A114" s="298">
        <v>38932</v>
      </c>
      <c r="B114" s="299">
        <v>72502</v>
      </c>
      <c r="C114" s="241" t="s">
        <v>171</v>
      </c>
      <c r="D114" s="298">
        <v>118</v>
      </c>
      <c r="E114" s="300" t="s">
        <v>392</v>
      </c>
      <c r="F114" s="298"/>
      <c r="G114" s="241" t="s">
        <v>390</v>
      </c>
      <c r="H114" s="302">
        <v>45834</v>
      </c>
      <c r="I114" s="281">
        <v>6</v>
      </c>
      <c r="J114" s="241" t="s">
        <v>393</v>
      </c>
      <c r="K114" s="284">
        <v>46.1</v>
      </c>
      <c r="L114" s="281" t="s">
        <v>494</v>
      </c>
      <c r="M114" s="303"/>
      <c r="N114" s="281"/>
      <c r="O114" s="304"/>
      <c r="P114" s="305">
        <v>45951</v>
      </c>
      <c r="Q114" s="306"/>
      <c r="R114" s="289" t="str">
        <f t="shared" si="2"/>
        <v/>
      </c>
      <c r="S114" s="241"/>
      <c r="AA114" s="281">
        <v>834</v>
      </c>
    </row>
    <row r="115" spans="1:27" ht="18" customHeight="1">
      <c r="A115" s="298"/>
      <c r="B115" s="299"/>
      <c r="C115" s="241"/>
      <c r="D115" s="298"/>
      <c r="E115" s="300"/>
      <c r="F115" s="298"/>
      <c r="G115" s="241"/>
      <c r="H115" s="302"/>
      <c r="J115" s="241"/>
      <c r="M115" s="303"/>
      <c r="N115" s="281"/>
      <c r="O115" s="304"/>
      <c r="P115" s="305"/>
      <c r="Q115" s="306"/>
      <c r="R115" s="289" t="str">
        <f t="shared" si="2"/>
        <v/>
      </c>
      <c r="S115" s="241"/>
      <c r="AA115" s="281">
        <v>835</v>
      </c>
    </row>
    <row r="116" spans="1:27" ht="18" customHeight="1">
      <c r="A116" s="298">
        <v>38933</v>
      </c>
      <c r="B116" s="299">
        <v>72507</v>
      </c>
      <c r="C116" s="241" t="s">
        <v>171</v>
      </c>
      <c r="D116" s="298">
        <v>34</v>
      </c>
      <c r="E116" s="300" t="s">
        <v>396</v>
      </c>
      <c r="F116" s="298"/>
      <c r="G116" s="241" t="s">
        <v>390</v>
      </c>
      <c r="H116" s="302">
        <v>45834</v>
      </c>
      <c r="I116" s="281">
        <v>5</v>
      </c>
      <c r="J116" s="241" t="s">
        <v>397</v>
      </c>
      <c r="K116" s="284">
        <v>29.22</v>
      </c>
      <c r="L116" s="281">
        <v>721704</v>
      </c>
      <c r="M116" s="303">
        <v>44918</v>
      </c>
      <c r="N116" s="281">
        <v>34</v>
      </c>
      <c r="O116" s="304">
        <v>53183</v>
      </c>
      <c r="P116" s="305">
        <v>45951</v>
      </c>
      <c r="Q116" s="306">
        <v>46035</v>
      </c>
      <c r="R116" s="289">
        <f t="shared" si="2"/>
        <v>84</v>
      </c>
      <c r="S116" s="241"/>
      <c r="AA116" s="281">
        <v>836</v>
      </c>
    </row>
    <row r="117" spans="1:27" ht="18" customHeight="1">
      <c r="A117" s="298"/>
      <c r="B117" s="299"/>
      <c r="C117" s="241"/>
      <c r="D117" s="298"/>
      <c r="E117" s="300"/>
      <c r="F117" s="298"/>
      <c r="G117" s="241"/>
      <c r="H117" s="302"/>
      <c r="J117" s="241"/>
      <c r="M117" s="303"/>
      <c r="N117" s="281"/>
      <c r="O117" s="304"/>
      <c r="P117" s="305"/>
      <c r="Q117" s="306"/>
      <c r="R117" s="289" t="str">
        <f t="shared" si="2"/>
        <v/>
      </c>
      <c r="S117" s="241"/>
      <c r="AA117" s="281">
        <v>837</v>
      </c>
    </row>
    <row r="118" spans="1:27" ht="18" customHeight="1">
      <c r="A118" s="298">
        <v>38935</v>
      </c>
      <c r="B118" s="299">
        <v>72517</v>
      </c>
      <c r="C118" s="241" t="s">
        <v>41</v>
      </c>
      <c r="D118" s="298">
        <v>3</v>
      </c>
      <c r="E118" s="300" t="s">
        <v>398</v>
      </c>
      <c r="F118" s="298"/>
      <c r="G118" s="388" t="s">
        <v>282</v>
      </c>
      <c r="H118" s="302">
        <v>45835</v>
      </c>
      <c r="I118" s="281">
        <v>1</v>
      </c>
      <c r="J118" s="241" t="s">
        <v>399</v>
      </c>
      <c r="K118" s="284">
        <v>253143</v>
      </c>
      <c r="L118" s="350" t="s">
        <v>762</v>
      </c>
      <c r="M118" s="303"/>
      <c r="N118" s="281"/>
      <c r="O118" s="304"/>
      <c r="P118" s="305">
        <v>45978</v>
      </c>
      <c r="Q118" s="306"/>
      <c r="R118" s="289" t="str">
        <f t="shared" si="2"/>
        <v/>
      </c>
      <c r="S118" s="241"/>
      <c r="AA118" s="281">
        <v>838</v>
      </c>
    </row>
    <row r="119" spans="1:27" ht="18" customHeight="1">
      <c r="A119" s="298">
        <v>38935</v>
      </c>
      <c r="B119" s="299">
        <v>72906</v>
      </c>
      <c r="C119" s="241" t="s">
        <v>41</v>
      </c>
      <c r="D119" s="298">
        <v>3</v>
      </c>
      <c r="E119" s="300" t="s">
        <v>763</v>
      </c>
      <c r="F119" s="298">
        <v>0</v>
      </c>
      <c r="G119" s="241" t="s">
        <v>275</v>
      </c>
      <c r="H119" s="302">
        <v>45960</v>
      </c>
      <c r="I119" s="281">
        <v>2</v>
      </c>
      <c r="J119" s="241" t="s">
        <v>764</v>
      </c>
      <c r="K119" s="284">
        <v>29698</v>
      </c>
      <c r="L119" s="350" t="s">
        <v>762</v>
      </c>
      <c r="M119" s="303"/>
      <c r="N119" s="281"/>
      <c r="O119" s="304"/>
      <c r="P119" s="305">
        <v>46027</v>
      </c>
      <c r="Q119" s="306"/>
      <c r="R119" s="289" t="str">
        <f t="shared" si="2"/>
        <v/>
      </c>
      <c r="S119" s="241"/>
      <c r="AA119" s="281">
        <v>839</v>
      </c>
    </row>
    <row r="120" spans="1:27" ht="18" customHeight="1">
      <c r="A120" s="298"/>
      <c r="B120" s="299"/>
      <c r="C120" s="241"/>
      <c r="D120" s="298"/>
      <c r="E120" s="300"/>
      <c r="F120" s="298"/>
      <c r="G120" s="241"/>
      <c r="H120" s="302"/>
      <c r="J120" s="241"/>
      <c r="M120" s="303"/>
      <c r="N120" s="281"/>
      <c r="O120" s="304"/>
      <c r="P120" s="305"/>
      <c r="Q120" s="306"/>
      <c r="R120" s="289" t="str">
        <f t="shared" si="2"/>
        <v/>
      </c>
      <c r="S120" s="241"/>
      <c r="AA120" s="281">
        <v>840</v>
      </c>
    </row>
    <row r="121" spans="1:27" ht="18" customHeight="1">
      <c r="A121" s="298">
        <v>38963</v>
      </c>
      <c r="B121" s="299">
        <v>72573</v>
      </c>
      <c r="C121" s="241" t="s">
        <v>71</v>
      </c>
      <c r="D121" s="298" t="s">
        <v>403</v>
      </c>
      <c r="E121" s="300" t="s">
        <v>404</v>
      </c>
      <c r="F121" s="298">
        <v>2</v>
      </c>
      <c r="G121" s="241" t="s">
        <v>402</v>
      </c>
      <c r="H121" s="302">
        <v>45859</v>
      </c>
      <c r="I121" s="281" t="s">
        <v>405</v>
      </c>
      <c r="J121" s="241" t="s">
        <v>406</v>
      </c>
      <c r="K121" s="284">
        <v>4557</v>
      </c>
      <c r="L121" s="281">
        <v>169536</v>
      </c>
      <c r="M121" s="303"/>
      <c r="N121" s="281"/>
      <c r="O121" s="304"/>
      <c r="P121" s="390">
        <v>45982</v>
      </c>
      <c r="Q121" s="306"/>
      <c r="R121" s="289" t="str">
        <f t="shared" si="2"/>
        <v/>
      </c>
      <c r="S121" s="241"/>
      <c r="AA121" s="281">
        <v>841</v>
      </c>
    </row>
    <row r="122" spans="1:27" ht="18" customHeight="1">
      <c r="A122" s="298"/>
      <c r="B122" s="299"/>
      <c r="C122" s="241"/>
      <c r="D122" s="298"/>
      <c r="E122" s="300"/>
      <c r="F122" s="298"/>
      <c r="G122" s="241"/>
      <c r="H122" s="302"/>
      <c r="J122" s="241"/>
      <c r="M122" s="303"/>
      <c r="N122" s="281"/>
      <c r="O122" s="304"/>
      <c r="P122" s="305"/>
      <c r="Q122" s="306"/>
      <c r="R122" s="289" t="str">
        <f t="shared" si="2"/>
        <v/>
      </c>
      <c r="S122" s="241"/>
      <c r="AA122" s="281">
        <v>842</v>
      </c>
    </row>
    <row r="123" spans="1:27" ht="18" customHeight="1">
      <c r="A123" s="298">
        <v>38966</v>
      </c>
      <c r="B123" s="299">
        <v>72580</v>
      </c>
      <c r="C123" s="241" t="s">
        <v>41</v>
      </c>
      <c r="D123" s="298">
        <v>1</v>
      </c>
      <c r="E123" s="300" t="s">
        <v>407</v>
      </c>
      <c r="F123" s="298"/>
      <c r="G123" s="391" t="s">
        <v>408</v>
      </c>
      <c r="H123" s="302">
        <v>45860</v>
      </c>
      <c r="I123" s="281">
        <v>1</v>
      </c>
      <c r="J123" s="241" t="s">
        <v>409</v>
      </c>
      <c r="K123" s="284">
        <v>6252</v>
      </c>
      <c r="L123" s="281" t="s">
        <v>416</v>
      </c>
      <c r="M123" s="303"/>
      <c r="N123" s="281"/>
      <c r="O123" s="304"/>
      <c r="P123" s="305">
        <v>45929</v>
      </c>
      <c r="Q123" s="306"/>
      <c r="R123" s="289" t="str">
        <f t="shared" si="2"/>
        <v/>
      </c>
      <c r="S123" s="241"/>
      <c r="AA123" s="281">
        <v>843</v>
      </c>
    </row>
    <row r="124" spans="1:27" ht="18" customHeight="1">
      <c r="A124" s="298">
        <v>38966</v>
      </c>
      <c r="B124" s="299">
        <v>72581</v>
      </c>
      <c r="C124" s="241" t="s">
        <v>41</v>
      </c>
      <c r="D124" s="298">
        <v>1</v>
      </c>
      <c r="E124" s="300" t="s">
        <v>410</v>
      </c>
      <c r="F124" s="298"/>
      <c r="G124" s="391" t="s">
        <v>408</v>
      </c>
      <c r="H124" s="302">
        <v>45860</v>
      </c>
      <c r="I124" s="281">
        <v>2</v>
      </c>
      <c r="J124" s="241" t="s">
        <v>411</v>
      </c>
      <c r="K124" s="284">
        <v>17740</v>
      </c>
      <c r="L124" s="281" t="s">
        <v>416</v>
      </c>
      <c r="M124" s="303"/>
      <c r="N124" s="281"/>
      <c r="O124" s="304"/>
      <c r="P124" s="305">
        <v>45929</v>
      </c>
      <c r="Q124" s="306"/>
      <c r="R124" s="289" t="str">
        <f t="shared" si="2"/>
        <v/>
      </c>
      <c r="S124" s="241"/>
      <c r="AA124" s="281">
        <v>844</v>
      </c>
    </row>
    <row r="125" spans="1:27" ht="18" customHeight="1">
      <c r="A125" s="298">
        <v>38966</v>
      </c>
      <c r="B125" s="299">
        <v>72582</v>
      </c>
      <c r="C125" s="241" t="s">
        <v>41</v>
      </c>
      <c r="D125" s="298">
        <v>1</v>
      </c>
      <c r="E125" s="300" t="s">
        <v>412</v>
      </c>
      <c r="F125" s="298"/>
      <c r="G125" s="391" t="s">
        <v>408</v>
      </c>
      <c r="H125" s="302">
        <v>45860</v>
      </c>
      <c r="I125" s="281">
        <v>3</v>
      </c>
      <c r="J125" s="241" t="s">
        <v>413</v>
      </c>
      <c r="K125" s="284">
        <v>1545</v>
      </c>
      <c r="L125" s="281" t="s">
        <v>416</v>
      </c>
      <c r="M125" s="303"/>
      <c r="N125" s="281"/>
      <c r="O125" s="304"/>
      <c r="P125" s="305">
        <v>45929</v>
      </c>
      <c r="Q125" s="306"/>
      <c r="R125" s="289" t="str">
        <f t="shared" si="2"/>
        <v/>
      </c>
      <c r="S125" s="241"/>
      <c r="AA125" s="281">
        <v>845</v>
      </c>
    </row>
    <row r="126" spans="1:27" ht="18" customHeight="1">
      <c r="A126" s="298">
        <v>38966</v>
      </c>
      <c r="B126" s="299">
        <v>72583</v>
      </c>
      <c r="C126" s="241" t="s">
        <v>41</v>
      </c>
      <c r="D126" s="298">
        <v>2</v>
      </c>
      <c r="E126" s="300" t="s">
        <v>414</v>
      </c>
      <c r="F126" s="298"/>
      <c r="G126" s="391" t="s">
        <v>408</v>
      </c>
      <c r="H126" s="302">
        <v>45860</v>
      </c>
      <c r="I126" s="281">
        <v>4</v>
      </c>
      <c r="J126" s="241" t="s">
        <v>415</v>
      </c>
      <c r="K126" s="284">
        <v>512</v>
      </c>
      <c r="L126" s="281" t="s">
        <v>416</v>
      </c>
      <c r="M126" s="303"/>
      <c r="N126" s="281"/>
      <c r="O126" s="304"/>
      <c r="P126" s="305">
        <v>45929</v>
      </c>
      <c r="Q126" s="306"/>
      <c r="R126" s="289" t="str">
        <f t="shared" si="2"/>
        <v/>
      </c>
      <c r="S126" s="241"/>
      <c r="AA126" s="281">
        <v>846</v>
      </c>
    </row>
    <row r="127" spans="1:27" ht="18" customHeight="1">
      <c r="A127" s="298"/>
      <c r="B127" s="299"/>
      <c r="C127" s="241"/>
      <c r="D127" s="298"/>
      <c r="E127" s="300"/>
      <c r="F127" s="298"/>
      <c r="G127" s="241"/>
      <c r="H127" s="302"/>
      <c r="J127" s="241"/>
      <c r="M127" s="303"/>
      <c r="N127" s="281"/>
      <c r="O127" s="304"/>
      <c r="P127" s="305"/>
      <c r="Q127" s="306"/>
      <c r="R127" s="289" t="str">
        <f t="shared" si="2"/>
        <v/>
      </c>
      <c r="S127" s="241"/>
      <c r="AA127" s="281">
        <v>847</v>
      </c>
    </row>
    <row r="128" spans="1:27" ht="18" customHeight="1">
      <c r="A128" s="298">
        <v>38970</v>
      </c>
      <c r="B128" s="299">
        <v>72589</v>
      </c>
      <c r="C128" s="241" t="s">
        <v>41</v>
      </c>
      <c r="D128" s="298">
        <v>2</v>
      </c>
      <c r="E128" s="300" t="s">
        <v>417</v>
      </c>
      <c r="F128" s="298"/>
      <c r="G128" s="388" t="s">
        <v>282</v>
      </c>
      <c r="H128" s="302">
        <v>45862</v>
      </c>
      <c r="I128" s="281">
        <v>1</v>
      </c>
      <c r="J128" s="241" t="s">
        <v>418</v>
      </c>
      <c r="K128" s="284">
        <v>1447</v>
      </c>
      <c r="L128" s="281" t="s">
        <v>419</v>
      </c>
      <c r="M128" s="303"/>
      <c r="N128" s="281"/>
      <c r="O128" s="304"/>
      <c r="P128" s="305">
        <v>45930</v>
      </c>
      <c r="Q128" s="306"/>
      <c r="R128" s="289" t="str">
        <f t="shared" si="2"/>
        <v/>
      </c>
      <c r="S128" s="241"/>
      <c r="AA128" s="281">
        <v>848</v>
      </c>
    </row>
    <row r="129" spans="1:27" ht="18" customHeight="1">
      <c r="A129" s="298">
        <v>38970</v>
      </c>
      <c r="B129" s="299">
        <v>72590</v>
      </c>
      <c r="C129" s="241" t="s">
        <v>41</v>
      </c>
      <c r="D129" s="298">
        <v>2</v>
      </c>
      <c r="E129" s="300" t="s">
        <v>420</v>
      </c>
      <c r="F129" s="298"/>
      <c r="G129" s="388" t="s">
        <v>282</v>
      </c>
      <c r="H129" s="302">
        <v>45862</v>
      </c>
      <c r="I129" s="281">
        <v>2</v>
      </c>
      <c r="J129" s="241" t="s">
        <v>428</v>
      </c>
      <c r="K129" s="284">
        <v>14138</v>
      </c>
      <c r="L129" s="281" t="s">
        <v>419</v>
      </c>
      <c r="M129" s="303"/>
      <c r="N129" s="281"/>
      <c r="O129" s="304"/>
      <c r="P129" s="305">
        <v>45930</v>
      </c>
      <c r="Q129" s="306"/>
      <c r="R129" s="289" t="str">
        <f t="shared" si="2"/>
        <v/>
      </c>
      <c r="S129" s="241"/>
      <c r="AA129" s="281">
        <v>849</v>
      </c>
    </row>
    <row r="130" spans="1:27" ht="18" customHeight="1">
      <c r="A130" s="298">
        <v>38970</v>
      </c>
      <c r="B130" s="299">
        <v>72591</v>
      </c>
      <c r="C130" s="241" t="s">
        <v>41</v>
      </c>
      <c r="D130" s="298">
        <v>1</v>
      </c>
      <c r="E130" s="300" t="s">
        <v>421</v>
      </c>
      <c r="F130" s="298"/>
      <c r="G130" s="388" t="s">
        <v>282</v>
      </c>
      <c r="H130" s="302">
        <v>45862</v>
      </c>
      <c r="I130" s="281">
        <v>3</v>
      </c>
      <c r="J130" s="241" t="s">
        <v>429</v>
      </c>
      <c r="K130" s="284">
        <v>1562</v>
      </c>
      <c r="L130" s="281" t="s">
        <v>419</v>
      </c>
      <c r="M130" s="303"/>
      <c r="N130" s="281"/>
      <c r="O130" s="304"/>
      <c r="P130" s="305">
        <v>45930</v>
      </c>
      <c r="Q130" s="306"/>
      <c r="R130" s="289" t="str">
        <f t="shared" si="2"/>
        <v/>
      </c>
      <c r="S130" s="241"/>
      <c r="AA130" s="281">
        <v>850</v>
      </c>
    </row>
    <row r="131" spans="1:27" ht="18" customHeight="1">
      <c r="A131" s="298">
        <v>38970</v>
      </c>
      <c r="B131" s="299">
        <v>72592</v>
      </c>
      <c r="C131" s="241" t="s">
        <v>41</v>
      </c>
      <c r="D131" s="298">
        <v>1</v>
      </c>
      <c r="E131" s="300" t="s">
        <v>708</v>
      </c>
      <c r="F131" s="298"/>
      <c r="G131" s="388" t="s">
        <v>282</v>
      </c>
      <c r="H131" s="302">
        <v>45862</v>
      </c>
      <c r="I131" s="281">
        <v>4</v>
      </c>
      <c r="J131" s="241" t="s">
        <v>430</v>
      </c>
      <c r="K131" s="284">
        <v>2053</v>
      </c>
      <c r="L131" s="281" t="s">
        <v>419</v>
      </c>
      <c r="M131" s="303"/>
      <c r="N131" s="281"/>
      <c r="O131" s="304"/>
      <c r="P131" s="305">
        <v>45930</v>
      </c>
      <c r="Q131" s="306"/>
      <c r="R131" s="289" t="str">
        <f t="shared" si="2"/>
        <v/>
      </c>
      <c r="S131" s="241"/>
      <c r="AA131" s="281">
        <v>851</v>
      </c>
    </row>
    <row r="132" spans="1:27" ht="18" customHeight="1">
      <c r="A132" s="298">
        <v>38970</v>
      </c>
      <c r="B132" s="299">
        <v>72593</v>
      </c>
      <c r="C132" s="241" t="s">
        <v>41</v>
      </c>
      <c r="D132" s="298">
        <v>1</v>
      </c>
      <c r="E132" s="300" t="s">
        <v>422</v>
      </c>
      <c r="F132" s="298"/>
      <c r="G132" s="388" t="s">
        <v>282</v>
      </c>
      <c r="H132" s="302">
        <v>45862</v>
      </c>
      <c r="I132" s="281">
        <v>5</v>
      </c>
      <c r="J132" s="241" t="s">
        <v>431</v>
      </c>
      <c r="K132" s="284">
        <v>2053</v>
      </c>
      <c r="L132" s="281" t="s">
        <v>419</v>
      </c>
      <c r="M132" s="303"/>
      <c r="N132" s="281"/>
      <c r="O132" s="304"/>
      <c r="P132" s="305">
        <v>45930</v>
      </c>
      <c r="Q132" s="306"/>
      <c r="R132" s="289" t="str">
        <f t="shared" si="2"/>
        <v/>
      </c>
      <c r="S132" s="241"/>
      <c r="AA132" s="281">
        <v>853</v>
      </c>
    </row>
    <row r="133" spans="1:27" ht="18" customHeight="1">
      <c r="A133" s="298">
        <v>38970</v>
      </c>
      <c r="B133" s="299">
        <v>72594</v>
      </c>
      <c r="C133" s="241" t="s">
        <v>41</v>
      </c>
      <c r="D133" s="298">
        <v>1</v>
      </c>
      <c r="E133" s="300" t="s">
        <v>423</v>
      </c>
      <c r="F133" s="298"/>
      <c r="G133" s="388" t="s">
        <v>282</v>
      </c>
      <c r="H133" s="302">
        <v>45862</v>
      </c>
      <c r="I133" s="281">
        <v>6</v>
      </c>
      <c r="J133" s="241" t="s">
        <v>432</v>
      </c>
      <c r="K133" s="284">
        <v>2053</v>
      </c>
      <c r="L133" s="281" t="s">
        <v>419</v>
      </c>
      <c r="M133" s="303"/>
      <c r="N133" s="281"/>
      <c r="O133" s="304"/>
      <c r="P133" s="305">
        <v>45930</v>
      </c>
      <c r="Q133" s="306"/>
      <c r="R133" s="289" t="str">
        <f t="shared" si="2"/>
        <v/>
      </c>
      <c r="S133" s="241"/>
      <c r="AA133" s="281">
        <v>1082</v>
      </c>
    </row>
    <row r="134" spans="1:27" ht="18" customHeight="1">
      <c r="A134" s="298">
        <v>38970</v>
      </c>
      <c r="B134" s="299">
        <v>72595</v>
      </c>
      <c r="C134" s="241" t="s">
        <v>41</v>
      </c>
      <c r="D134" s="298">
        <v>2</v>
      </c>
      <c r="E134" s="300" t="s">
        <v>424</v>
      </c>
      <c r="F134" s="298"/>
      <c r="G134" s="388" t="s">
        <v>282</v>
      </c>
      <c r="H134" s="302">
        <v>45862</v>
      </c>
      <c r="I134" s="281">
        <v>7</v>
      </c>
      <c r="J134" s="241" t="s">
        <v>433</v>
      </c>
      <c r="K134" s="284">
        <v>1468</v>
      </c>
      <c r="L134" s="281" t="s">
        <v>419</v>
      </c>
      <c r="M134" s="303"/>
      <c r="N134" s="281"/>
      <c r="O134" s="304"/>
      <c r="P134" s="305">
        <v>45930</v>
      </c>
      <c r="Q134" s="306"/>
      <c r="R134" s="289" t="str">
        <f t="shared" si="2"/>
        <v/>
      </c>
      <c r="S134" s="241"/>
      <c r="AA134" s="281">
        <v>854</v>
      </c>
    </row>
    <row r="135" spans="1:27" ht="18" customHeight="1">
      <c r="A135" s="298">
        <v>38970</v>
      </c>
      <c r="B135" s="299">
        <v>72596</v>
      </c>
      <c r="C135" s="241" t="s">
        <v>41</v>
      </c>
      <c r="D135" s="298">
        <v>2</v>
      </c>
      <c r="E135" s="300" t="s">
        <v>425</v>
      </c>
      <c r="F135" s="298"/>
      <c r="G135" s="388" t="s">
        <v>282</v>
      </c>
      <c r="H135" s="302">
        <v>45862</v>
      </c>
      <c r="I135" s="281">
        <v>8</v>
      </c>
      <c r="J135" s="241" t="s">
        <v>434</v>
      </c>
      <c r="K135" s="284">
        <v>308</v>
      </c>
      <c r="L135" s="281" t="s">
        <v>419</v>
      </c>
      <c r="M135" s="303"/>
      <c r="N135" s="281"/>
      <c r="O135" s="304"/>
      <c r="P135" s="305">
        <v>45930</v>
      </c>
      <c r="Q135" s="306"/>
      <c r="R135" s="289" t="str">
        <f t="shared" si="2"/>
        <v/>
      </c>
      <c r="S135" s="241"/>
      <c r="AA135" s="281">
        <v>855</v>
      </c>
    </row>
    <row r="136" spans="1:27" ht="18" customHeight="1">
      <c r="A136" s="298">
        <v>38970</v>
      </c>
      <c r="B136" s="299">
        <v>72597</v>
      </c>
      <c r="C136" s="241" t="s">
        <v>41</v>
      </c>
      <c r="D136" s="298">
        <v>2</v>
      </c>
      <c r="E136" s="300" t="s">
        <v>426</v>
      </c>
      <c r="F136" s="298"/>
      <c r="G136" s="388" t="s">
        <v>282</v>
      </c>
      <c r="H136" s="302">
        <v>45862</v>
      </c>
      <c r="I136" s="281">
        <v>9</v>
      </c>
      <c r="J136" s="241" t="s">
        <v>435</v>
      </c>
      <c r="K136" s="284">
        <v>490</v>
      </c>
      <c r="L136" s="281" t="s">
        <v>419</v>
      </c>
      <c r="M136" s="303"/>
      <c r="N136" s="281"/>
      <c r="O136" s="304"/>
      <c r="P136" s="305">
        <v>45930</v>
      </c>
      <c r="Q136" s="306"/>
      <c r="R136" s="289" t="str">
        <f t="shared" si="2"/>
        <v/>
      </c>
      <c r="S136" s="241"/>
      <c r="AA136" s="281">
        <v>856</v>
      </c>
    </row>
    <row r="137" spans="1:27" ht="18" customHeight="1">
      <c r="A137" s="298">
        <v>38970</v>
      </c>
      <c r="B137" s="299">
        <v>72598</v>
      </c>
      <c r="C137" s="241" t="s">
        <v>41</v>
      </c>
      <c r="D137" s="298">
        <v>2</v>
      </c>
      <c r="E137" s="300" t="s">
        <v>707</v>
      </c>
      <c r="F137" s="298"/>
      <c r="G137" s="388" t="s">
        <v>282</v>
      </c>
      <c r="H137" s="302">
        <v>45862</v>
      </c>
      <c r="I137" s="281">
        <v>10</v>
      </c>
      <c r="J137" s="241" t="s">
        <v>436</v>
      </c>
      <c r="K137" s="284">
        <v>306</v>
      </c>
      <c r="L137" s="281" t="s">
        <v>419</v>
      </c>
      <c r="M137" s="303"/>
      <c r="N137" s="281"/>
      <c r="O137" s="304"/>
      <c r="P137" s="305">
        <v>45930</v>
      </c>
      <c r="Q137" s="306"/>
      <c r="R137" s="289" t="str">
        <f t="shared" si="2"/>
        <v/>
      </c>
      <c r="S137" s="241"/>
      <c r="AA137" s="281">
        <v>857</v>
      </c>
    </row>
    <row r="138" spans="1:27" ht="18" customHeight="1">
      <c r="A138" s="298">
        <v>38970</v>
      </c>
      <c r="B138" s="299">
        <v>72599</v>
      </c>
      <c r="C138" s="241" t="s">
        <v>41</v>
      </c>
      <c r="D138" s="298">
        <v>1</v>
      </c>
      <c r="E138" s="300" t="s">
        <v>427</v>
      </c>
      <c r="F138" s="298"/>
      <c r="G138" s="388" t="s">
        <v>282</v>
      </c>
      <c r="H138" s="302">
        <v>45862</v>
      </c>
      <c r="I138" s="281">
        <v>11</v>
      </c>
      <c r="J138" s="241" t="s">
        <v>437</v>
      </c>
      <c r="K138" s="284">
        <v>2178</v>
      </c>
      <c r="L138" s="281" t="s">
        <v>419</v>
      </c>
      <c r="M138" s="303"/>
      <c r="N138" s="281"/>
      <c r="O138" s="304"/>
      <c r="P138" s="305">
        <v>45930</v>
      </c>
      <c r="Q138" s="306"/>
      <c r="R138" s="289" t="str">
        <f t="shared" si="2"/>
        <v/>
      </c>
      <c r="S138" s="241"/>
      <c r="AA138" s="281">
        <v>858</v>
      </c>
    </row>
    <row r="139" spans="1:27" ht="18" customHeight="1">
      <c r="A139" s="392">
        <v>38970</v>
      </c>
      <c r="B139" s="366">
        <v>73000</v>
      </c>
      <c r="C139" s="393" t="s">
        <v>41</v>
      </c>
      <c r="D139" s="392">
        <v>3</v>
      </c>
      <c r="E139" s="367" t="s">
        <v>421</v>
      </c>
      <c r="F139" s="392"/>
      <c r="G139" s="394" t="s">
        <v>594</v>
      </c>
      <c r="H139" s="395">
        <v>46010</v>
      </c>
      <c r="I139" s="396" t="s">
        <v>765</v>
      </c>
      <c r="J139" s="393" t="s">
        <v>429</v>
      </c>
      <c r="K139" s="397">
        <v>1562</v>
      </c>
      <c r="L139" s="398" t="s">
        <v>419</v>
      </c>
      <c r="M139" s="303"/>
      <c r="N139" s="281"/>
      <c r="O139" s="304"/>
      <c r="P139" s="390">
        <v>46065</v>
      </c>
      <c r="Q139" s="306"/>
      <c r="R139" s="289" t="str">
        <f t="shared" si="2"/>
        <v/>
      </c>
      <c r="S139" s="241"/>
      <c r="AA139" s="281">
        <v>861</v>
      </c>
    </row>
    <row r="140" spans="1:27" ht="18" customHeight="1">
      <c r="A140" s="298"/>
      <c r="B140" s="299"/>
      <c r="C140" s="241"/>
      <c r="D140" s="298"/>
      <c r="E140" s="300"/>
      <c r="F140" s="298"/>
      <c r="G140" s="241"/>
      <c r="H140" s="302"/>
      <c r="J140" s="241"/>
      <c r="M140" s="303"/>
      <c r="N140" s="281"/>
      <c r="O140" s="304"/>
      <c r="P140" s="305"/>
      <c r="Q140" s="306"/>
      <c r="R140" s="289" t="str">
        <f t="shared" si="2"/>
        <v/>
      </c>
      <c r="S140" s="241"/>
      <c r="AA140" s="281">
        <v>863</v>
      </c>
    </row>
    <row r="141" spans="1:27" ht="18" customHeight="1">
      <c r="A141" s="298">
        <v>38971</v>
      </c>
      <c r="B141" s="299">
        <v>72600</v>
      </c>
      <c r="C141" s="241" t="s">
        <v>438</v>
      </c>
      <c r="D141" s="298">
        <v>1</v>
      </c>
      <c r="E141" s="300" t="s">
        <v>439</v>
      </c>
      <c r="F141" s="298" t="s">
        <v>249</v>
      </c>
      <c r="G141" s="241" t="s">
        <v>441</v>
      </c>
      <c r="H141" s="302">
        <v>45862</v>
      </c>
      <c r="I141" s="281">
        <v>1</v>
      </c>
      <c r="J141" s="241" t="s">
        <v>442</v>
      </c>
      <c r="K141" s="284" t="s">
        <v>290</v>
      </c>
      <c r="L141" s="281" t="s">
        <v>448</v>
      </c>
      <c r="M141" s="303"/>
      <c r="N141" s="281"/>
      <c r="O141" s="304"/>
      <c r="P141" s="305">
        <v>45891</v>
      </c>
      <c r="Q141" s="306"/>
      <c r="R141" s="289" t="str">
        <f t="shared" si="2"/>
        <v/>
      </c>
      <c r="S141" s="241"/>
      <c r="AA141" s="281">
        <v>864</v>
      </c>
    </row>
    <row r="142" spans="1:27" ht="18" customHeight="1">
      <c r="A142" s="298">
        <v>38971</v>
      </c>
      <c r="B142" s="299">
        <v>72600</v>
      </c>
      <c r="C142" s="241" t="s">
        <v>438</v>
      </c>
      <c r="D142" s="298">
        <v>1</v>
      </c>
      <c r="E142" s="300" t="s">
        <v>443</v>
      </c>
      <c r="F142" s="298" t="s">
        <v>440</v>
      </c>
      <c r="G142" s="241" t="s">
        <v>441</v>
      </c>
      <c r="H142" s="302">
        <v>45862</v>
      </c>
      <c r="I142" s="281">
        <v>2</v>
      </c>
      <c r="J142" s="241" t="s">
        <v>444</v>
      </c>
      <c r="K142" s="284" t="s">
        <v>447</v>
      </c>
      <c r="L142" s="281" t="s">
        <v>448</v>
      </c>
      <c r="M142" s="303"/>
      <c r="N142" s="281"/>
      <c r="O142" s="304"/>
      <c r="P142" s="305">
        <v>45891</v>
      </c>
      <c r="Q142" s="306"/>
      <c r="R142" s="289" t="str">
        <f t="shared" si="2"/>
        <v/>
      </c>
      <c r="S142" s="241"/>
      <c r="AA142" s="281">
        <v>865</v>
      </c>
    </row>
    <row r="143" spans="1:27" ht="18" customHeight="1">
      <c r="A143" s="298">
        <v>38971</v>
      </c>
      <c r="B143" s="299">
        <v>72601</v>
      </c>
      <c r="C143" s="241" t="s">
        <v>438</v>
      </c>
      <c r="D143" s="298">
        <v>1</v>
      </c>
      <c r="E143" s="300" t="s">
        <v>445</v>
      </c>
      <c r="F143" s="298" t="s">
        <v>440</v>
      </c>
      <c r="G143" s="241" t="s">
        <v>441</v>
      </c>
      <c r="H143" s="302">
        <v>45862</v>
      </c>
      <c r="I143" s="281">
        <v>3</v>
      </c>
      <c r="J143" s="241" t="s">
        <v>446</v>
      </c>
      <c r="K143" s="284">
        <v>1950</v>
      </c>
      <c r="L143" s="281" t="s">
        <v>448</v>
      </c>
      <c r="M143" s="303"/>
      <c r="N143" s="281"/>
      <c r="O143" s="304"/>
      <c r="P143" s="305">
        <v>45891</v>
      </c>
      <c r="Q143" s="306"/>
      <c r="R143" s="289" t="str">
        <f t="shared" si="2"/>
        <v/>
      </c>
      <c r="S143" s="241"/>
      <c r="AA143" s="281">
        <v>866</v>
      </c>
    </row>
    <row r="144" spans="1:27" ht="18" customHeight="1">
      <c r="A144" s="298"/>
      <c r="B144" s="299"/>
      <c r="C144" s="241"/>
      <c r="D144" s="298"/>
      <c r="E144" s="300"/>
      <c r="F144" s="298"/>
      <c r="G144" s="241"/>
      <c r="H144" s="302"/>
      <c r="J144" s="241"/>
      <c r="M144" s="303"/>
      <c r="N144" s="281"/>
      <c r="O144" s="304"/>
      <c r="P144" s="305"/>
      <c r="Q144" s="306"/>
      <c r="R144" s="289" t="str">
        <f t="shared" si="2"/>
        <v/>
      </c>
      <c r="S144" s="241"/>
      <c r="AA144" s="281">
        <v>867</v>
      </c>
    </row>
    <row r="145" spans="1:27" ht="18" customHeight="1">
      <c r="A145" s="298">
        <v>38972</v>
      </c>
      <c r="B145" s="299">
        <v>72602</v>
      </c>
      <c r="C145" s="241" t="s">
        <v>41</v>
      </c>
      <c r="D145" s="298">
        <v>10</v>
      </c>
      <c r="E145" s="300" t="s">
        <v>449</v>
      </c>
      <c r="F145" s="298"/>
      <c r="G145" s="388" t="s">
        <v>303</v>
      </c>
      <c r="H145" s="302">
        <v>45863</v>
      </c>
      <c r="I145" s="281">
        <v>1</v>
      </c>
      <c r="J145" s="241" t="s">
        <v>450</v>
      </c>
      <c r="K145" s="284">
        <v>11328</v>
      </c>
      <c r="L145" s="281" t="s">
        <v>451</v>
      </c>
      <c r="M145" s="303"/>
      <c r="N145" s="281"/>
      <c r="O145" s="304"/>
      <c r="P145" s="305">
        <v>45958</v>
      </c>
      <c r="Q145" s="306"/>
      <c r="R145" s="289" t="str">
        <f t="shared" si="2"/>
        <v/>
      </c>
      <c r="S145" s="241"/>
      <c r="AA145" s="281">
        <v>868</v>
      </c>
    </row>
    <row r="146" spans="1:27" ht="18" customHeight="1">
      <c r="A146" s="298">
        <v>38972</v>
      </c>
      <c r="B146" s="299">
        <v>72603</v>
      </c>
      <c r="C146" s="241" t="s">
        <v>41</v>
      </c>
      <c r="D146" s="298">
        <v>2</v>
      </c>
      <c r="E146" s="300" t="s">
        <v>452</v>
      </c>
      <c r="F146" s="298"/>
      <c r="G146" s="388" t="s">
        <v>303</v>
      </c>
      <c r="H146" s="302">
        <v>45863</v>
      </c>
      <c r="I146" s="281">
        <v>2</v>
      </c>
      <c r="J146" s="241" t="s">
        <v>453</v>
      </c>
      <c r="K146" s="284">
        <v>8313</v>
      </c>
      <c r="L146" s="281" t="s">
        <v>451</v>
      </c>
      <c r="M146" s="303"/>
      <c r="N146" s="281"/>
      <c r="O146" s="304"/>
      <c r="P146" s="305">
        <v>45958</v>
      </c>
      <c r="Q146" s="306"/>
      <c r="R146" s="289" t="str">
        <f t="shared" si="2"/>
        <v/>
      </c>
      <c r="S146" s="241"/>
      <c r="AA146" s="281">
        <v>869</v>
      </c>
    </row>
    <row r="147" spans="1:27" ht="18" customHeight="1">
      <c r="A147" s="298">
        <v>38972</v>
      </c>
      <c r="B147" s="299">
        <v>72604</v>
      </c>
      <c r="C147" s="241" t="s">
        <v>41</v>
      </c>
      <c r="D147" s="298">
        <v>2</v>
      </c>
      <c r="E147" s="300" t="s">
        <v>454</v>
      </c>
      <c r="F147" s="298"/>
      <c r="G147" s="388" t="s">
        <v>303</v>
      </c>
      <c r="H147" s="302">
        <v>45863</v>
      </c>
      <c r="I147" s="281">
        <v>3</v>
      </c>
      <c r="J147" s="241" t="s">
        <v>455</v>
      </c>
      <c r="K147" s="284">
        <v>6842</v>
      </c>
      <c r="L147" s="281" t="s">
        <v>451</v>
      </c>
      <c r="M147" s="303"/>
      <c r="N147" s="281"/>
      <c r="O147" s="304"/>
      <c r="P147" s="305">
        <v>45958</v>
      </c>
      <c r="Q147" s="306"/>
      <c r="R147" s="289" t="str">
        <f t="shared" si="2"/>
        <v/>
      </c>
      <c r="S147" s="241"/>
      <c r="AA147" s="281">
        <v>870</v>
      </c>
    </row>
    <row r="148" spans="1:27" ht="18" customHeight="1">
      <c r="A148" s="298"/>
      <c r="B148" s="299"/>
      <c r="C148" s="241"/>
      <c r="D148" s="298"/>
      <c r="E148" s="300"/>
      <c r="F148" s="298"/>
      <c r="G148" s="241"/>
      <c r="H148" s="302"/>
      <c r="J148" s="241"/>
      <c r="M148" s="303"/>
      <c r="N148" s="281"/>
      <c r="O148" s="304"/>
      <c r="P148" s="305"/>
      <c r="Q148" s="306"/>
      <c r="R148" s="289" t="str">
        <f t="shared" si="2"/>
        <v/>
      </c>
      <c r="S148" s="241"/>
      <c r="AA148" s="281">
        <v>871</v>
      </c>
    </row>
    <row r="149" spans="1:27" ht="18" customHeight="1">
      <c r="A149" s="298">
        <v>38973</v>
      </c>
      <c r="B149" s="299">
        <v>72605</v>
      </c>
      <c r="C149" s="241" t="s">
        <v>41</v>
      </c>
      <c r="D149" s="298">
        <v>18</v>
      </c>
      <c r="E149" s="300" t="s">
        <v>456</v>
      </c>
      <c r="F149" s="298">
        <v>0</v>
      </c>
      <c r="G149" s="388" t="s">
        <v>246</v>
      </c>
      <c r="H149" s="302">
        <v>45863</v>
      </c>
      <c r="I149" s="281">
        <v>1</v>
      </c>
      <c r="J149" s="241" t="s">
        <v>457</v>
      </c>
      <c r="K149" s="284">
        <v>24549</v>
      </c>
      <c r="L149" s="350" t="s">
        <v>766</v>
      </c>
      <c r="M149" s="303"/>
      <c r="N149" s="281"/>
      <c r="O149" s="304"/>
      <c r="P149" s="305">
        <v>46010</v>
      </c>
      <c r="Q149" s="306"/>
      <c r="R149" s="289" t="str">
        <f t="shared" si="2"/>
        <v/>
      </c>
      <c r="S149" s="241"/>
      <c r="AA149" s="281">
        <v>872</v>
      </c>
    </row>
    <row r="150" spans="1:27" ht="18" customHeight="1">
      <c r="A150" s="298">
        <v>38973</v>
      </c>
      <c r="B150" s="299">
        <v>72606</v>
      </c>
      <c r="C150" s="241" t="s">
        <v>41</v>
      </c>
      <c r="D150" s="298" t="s">
        <v>767</v>
      </c>
      <c r="E150" s="300" t="s">
        <v>458</v>
      </c>
      <c r="F150" s="298"/>
      <c r="G150" s="388" t="s">
        <v>246</v>
      </c>
      <c r="H150" s="302">
        <v>45863</v>
      </c>
      <c r="I150" s="281">
        <v>2</v>
      </c>
      <c r="J150" s="241" t="s">
        <v>459</v>
      </c>
      <c r="K150" s="284">
        <v>9820</v>
      </c>
      <c r="L150" s="350" t="s">
        <v>766</v>
      </c>
      <c r="M150" s="303"/>
      <c r="N150" s="281"/>
      <c r="O150" s="304"/>
      <c r="P150" s="305">
        <v>46010</v>
      </c>
      <c r="Q150" s="306"/>
      <c r="R150" s="289" t="str">
        <f t="shared" si="2"/>
        <v/>
      </c>
      <c r="S150" s="241"/>
      <c r="AA150" s="281">
        <v>873</v>
      </c>
    </row>
    <row r="151" spans="1:27" ht="18" customHeight="1">
      <c r="A151" s="298"/>
      <c r="B151" s="299"/>
      <c r="C151" s="241"/>
      <c r="D151" s="298"/>
      <c r="E151" s="300"/>
      <c r="F151" s="298"/>
      <c r="G151" s="241"/>
      <c r="H151" s="302"/>
      <c r="J151" s="241"/>
      <c r="M151" s="303"/>
      <c r="N151" s="281"/>
      <c r="O151" s="304"/>
      <c r="P151" s="305"/>
      <c r="Q151" s="306"/>
      <c r="R151" s="289" t="str">
        <f t="shared" si="2"/>
        <v/>
      </c>
      <c r="S151" s="241"/>
      <c r="AA151" s="281">
        <v>874</v>
      </c>
    </row>
    <row r="152" spans="1:27" ht="18" customHeight="1">
      <c r="A152" s="298">
        <v>38987</v>
      </c>
      <c r="B152" s="299">
        <v>72621</v>
      </c>
      <c r="C152" s="241" t="s">
        <v>41</v>
      </c>
      <c r="D152" s="298">
        <v>10</v>
      </c>
      <c r="E152" s="300" t="s">
        <v>281</v>
      </c>
      <c r="F152" s="298">
        <v>2</v>
      </c>
      <c r="G152" s="241" t="s">
        <v>460</v>
      </c>
      <c r="H152" s="302">
        <v>45870</v>
      </c>
      <c r="I152" s="281">
        <v>1</v>
      </c>
      <c r="J152" s="241" t="s">
        <v>461</v>
      </c>
      <c r="K152" s="284">
        <v>4097</v>
      </c>
      <c r="L152" s="281" t="s">
        <v>462</v>
      </c>
      <c r="M152" s="303"/>
      <c r="N152" s="281"/>
      <c r="O152" s="304"/>
      <c r="P152" s="390">
        <v>45975</v>
      </c>
      <c r="Q152" s="306"/>
      <c r="R152" s="289" t="str">
        <f t="shared" si="2"/>
        <v/>
      </c>
      <c r="S152" s="241"/>
      <c r="AA152" s="281">
        <v>875</v>
      </c>
    </row>
    <row r="153" spans="1:27" ht="18" customHeight="1">
      <c r="A153" s="298"/>
      <c r="B153" s="299"/>
      <c r="C153" s="241"/>
      <c r="D153" s="298"/>
      <c r="E153" s="300"/>
      <c r="F153" s="298"/>
      <c r="G153" s="241"/>
      <c r="H153" s="302"/>
      <c r="J153" s="241"/>
      <c r="M153" s="303"/>
      <c r="N153" s="281"/>
      <c r="O153" s="304"/>
      <c r="P153" s="305"/>
      <c r="Q153" s="306"/>
      <c r="R153" s="289" t="str">
        <f t="shared" si="2"/>
        <v/>
      </c>
      <c r="S153" s="241"/>
      <c r="AA153" s="281">
        <v>876</v>
      </c>
    </row>
    <row r="154" spans="1:27" ht="18" customHeight="1">
      <c r="A154" s="298">
        <v>38988</v>
      </c>
      <c r="B154" s="299">
        <v>72622</v>
      </c>
      <c r="C154" s="241" t="s">
        <v>41</v>
      </c>
      <c r="D154" s="298">
        <v>3</v>
      </c>
      <c r="E154" s="300" t="s">
        <v>285</v>
      </c>
      <c r="F154" s="298">
        <v>6</v>
      </c>
      <c r="G154" s="388" t="s">
        <v>246</v>
      </c>
      <c r="H154" s="302">
        <v>45870</v>
      </c>
      <c r="I154" s="281">
        <v>1</v>
      </c>
      <c r="J154" s="241" t="s">
        <v>463</v>
      </c>
      <c r="K154" s="284">
        <v>26451</v>
      </c>
      <c r="L154" s="281" t="s">
        <v>465</v>
      </c>
      <c r="M154" s="303"/>
      <c r="N154" s="281"/>
      <c r="O154" s="304"/>
      <c r="P154" s="305">
        <v>46019</v>
      </c>
      <c r="Q154" s="306"/>
      <c r="R154" s="289" t="str">
        <f t="shared" si="2"/>
        <v/>
      </c>
      <c r="S154" s="241"/>
      <c r="AA154" s="281">
        <v>877</v>
      </c>
    </row>
    <row r="155" spans="1:27" ht="18" customHeight="1">
      <c r="A155" s="298">
        <v>38988</v>
      </c>
      <c r="B155" s="299">
        <v>72623</v>
      </c>
      <c r="C155" s="241" t="s">
        <v>41</v>
      </c>
      <c r="D155" s="298">
        <v>2</v>
      </c>
      <c r="E155" s="300" t="s">
        <v>288</v>
      </c>
      <c r="F155" s="298">
        <v>3</v>
      </c>
      <c r="G155" s="388" t="s">
        <v>246</v>
      </c>
      <c r="H155" s="302">
        <v>45870</v>
      </c>
      <c r="I155" s="281">
        <v>2</v>
      </c>
      <c r="J155" s="241" t="s">
        <v>464</v>
      </c>
      <c r="K155" s="284">
        <v>26795</v>
      </c>
      <c r="L155" s="281" t="s">
        <v>465</v>
      </c>
      <c r="M155" s="303"/>
      <c r="N155" s="281"/>
      <c r="O155" s="304"/>
      <c r="P155" s="305">
        <v>46019</v>
      </c>
      <c r="Q155" s="306"/>
      <c r="R155" s="289" t="str">
        <f t="shared" si="2"/>
        <v/>
      </c>
      <c r="S155" s="241"/>
      <c r="AA155" s="281">
        <v>878</v>
      </c>
    </row>
    <row r="156" spans="1:27" ht="18" customHeight="1">
      <c r="A156" s="298"/>
      <c r="B156" s="299"/>
      <c r="C156" s="241"/>
      <c r="D156" s="298"/>
      <c r="E156" s="300"/>
      <c r="F156" s="298"/>
      <c r="G156" s="241"/>
      <c r="H156" s="302"/>
      <c r="J156" s="241"/>
      <c r="M156" s="303"/>
      <c r="N156" s="281"/>
      <c r="O156" s="304"/>
      <c r="P156" s="305"/>
      <c r="Q156" s="306"/>
      <c r="R156" s="289" t="str">
        <f t="shared" si="2"/>
        <v/>
      </c>
      <c r="S156" s="241"/>
      <c r="AA156" s="281">
        <v>879</v>
      </c>
    </row>
    <row r="157" spans="1:27" ht="18" customHeight="1">
      <c r="A157" s="298">
        <v>38989</v>
      </c>
      <c r="B157" s="299">
        <v>72624</v>
      </c>
      <c r="C157" s="241" t="s">
        <v>41</v>
      </c>
      <c r="D157" s="298">
        <v>1</v>
      </c>
      <c r="E157" s="300" t="s">
        <v>466</v>
      </c>
      <c r="F157" s="298">
        <v>0</v>
      </c>
      <c r="G157" s="241" t="s">
        <v>282</v>
      </c>
      <c r="H157" s="302">
        <v>45874</v>
      </c>
      <c r="I157" s="281">
        <v>1</v>
      </c>
      <c r="J157" s="241" t="s">
        <v>467</v>
      </c>
      <c r="K157" s="284">
        <v>135869</v>
      </c>
      <c r="L157" s="350" t="s">
        <v>468</v>
      </c>
      <c r="M157" s="303"/>
      <c r="N157" s="281"/>
      <c r="O157" s="304"/>
      <c r="P157" s="305">
        <v>46048</v>
      </c>
      <c r="Q157" s="306"/>
      <c r="R157" s="289" t="str">
        <f t="shared" si="2"/>
        <v/>
      </c>
      <c r="S157" s="241"/>
      <c r="AA157" s="281">
        <v>880</v>
      </c>
    </row>
    <row r="158" spans="1:27" ht="18" customHeight="1">
      <c r="A158" s="298"/>
      <c r="B158" s="299"/>
      <c r="C158" s="241"/>
      <c r="D158" s="298"/>
      <c r="E158" s="300"/>
      <c r="F158" s="298"/>
      <c r="G158" s="241"/>
      <c r="H158" s="302"/>
      <c r="J158" s="241"/>
      <c r="M158" s="303"/>
      <c r="N158" s="281"/>
      <c r="O158" s="304"/>
      <c r="P158" s="305"/>
      <c r="Q158" s="306"/>
      <c r="R158" s="289" t="str">
        <f t="shared" si="2"/>
        <v/>
      </c>
      <c r="S158" s="241"/>
      <c r="AA158" s="281">
        <v>881</v>
      </c>
    </row>
    <row r="159" spans="1:27" ht="18" customHeight="1">
      <c r="A159" s="298">
        <v>38990</v>
      </c>
      <c r="B159" s="299">
        <v>72625</v>
      </c>
      <c r="C159" s="241" t="s">
        <v>41</v>
      </c>
      <c r="D159" s="298">
        <v>4</v>
      </c>
      <c r="E159" s="300" t="s">
        <v>469</v>
      </c>
      <c r="F159" s="298"/>
      <c r="G159" s="388" t="s">
        <v>303</v>
      </c>
      <c r="H159" s="302">
        <v>45874</v>
      </c>
      <c r="I159" s="281">
        <v>1</v>
      </c>
      <c r="J159" s="241" t="s">
        <v>470</v>
      </c>
      <c r="K159" s="284">
        <v>1612</v>
      </c>
      <c r="L159" s="399" t="s">
        <v>691</v>
      </c>
      <c r="M159" s="303"/>
      <c r="N159" s="281"/>
      <c r="O159" s="304" t="s">
        <v>768</v>
      </c>
      <c r="P159" s="305">
        <v>46170</v>
      </c>
      <c r="Q159" s="306"/>
      <c r="R159" s="289" t="str">
        <f t="shared" si="2"/>
        <v/>
      </c>
      <c r="S159" s="241"/>
      <c r="AA159" s="281">
        <v>882</v>
      </c>
    </row>
    <row r="160" spans="1:27" ht="18" customHeight="1">
      <c r="A160" s="298">
        <v>38990</v>
      </c>
      <c r="B160" s="299">
        <v>72626</v>
      </c>
      <c r="C160" s="241" t="s">
        <v>41</v>
      </c>
      <c r="D160" s="298">
        <v>4</v>
      </c>
      <c r="E160" s="300" t="s">
        <v>471</v>
      </c>
      <c r="F160" s="298"/>
      <c r="G160" s="388" t="s">
        <v>303</v>
      </c>
      <c r="H160" s="302">
        <v>45874</v>
      </c>
      <c r="I160" s="281">
        <v>2</v>
      </c>
      <c r="J160" s="241" t="s">
        <v>472</v>
      </c>
      <c r="K160" s="284">
        <v>1258</v>
      </c>
      <c r="L160" s="399" t="s">
        <v>691</v>
      </c>
      <c r="M160" s="303"/>
      <c r="N160" s="281"/>
      <c r="O160" s="304"/>
      <c r="P160" s="305">
        <v>46170</v>
      </c>
      <c r="Q160" s="306"/>
      <c r="R160" s="289" t="str">
        <f t="shared" si="2"/>
        <v/>
      </c>
      <c r="S160" s="241"/>
      <c r="AA160" s="281">
        <v>883</v>
      </c>
    </row>
    <row r="161" spans="1:27" ht="18" customHeight="1">
      <c r="A161" s="298">
        <v>38990</v>
      </c>
      <c r="B161" s="299">
        <v>72627</v>
      </c>
      <c r="C161" s="241" t="s">
        <v>41</v>
      </c>
      <c r="D161" s="298">
        <v>3</v>
      </c>
      <c r="E161" s="300" t="s">
        <v>474</v>
      </c>
      <c r="F161" s="298"/>
      <c r="G161" s="388" t="s">
        <v>303</v>
      </c>
      <c r="H161" s="302">
        <v>45874</v>
      </c>
      <c r="I161" s="281">
        <v>3</v>
      </c>
      <c r="J161" s="241" t="s">
        <v>473</v>
      </c>
      <c r="K161" s="284">
        <v>10765</v>
      </c>
      <c r="L161" s="399" t="s">
        <v>691</v>
      </c>
      <c r="M161" s="303"/>
      <c r="N161" s="281"/>
      <c r="O161" s="304"/>
      <c r="P161" s="305">
        <v>46170</v>
      </c>
      <c r="Q161" s="306"/>
      <c r="R161" s="289" t="str">
        <f t="shared" si="2"/>
        <v/>
      </c>
      <c r="S161" s="241"/>
      <c r="AA161" s="281">
        <v>884</v>
      </c>
    </row>
    <row r="162" spans="1:27" ht="18" customHeight="1">
      <c r="A162" s="298">
        <v>38990</v>
      </c>
      <c r="B162" s="299">
        <v>72628</v>
      </c>
      <c r="C162" s="241" t="s">
        <v>41</v>
      </c>
      <c r="D162" s="298">
        <v>3</v>
      </c>
      <c r="E162" s="300" t="s">
        <v>475</v>
      </c>
      <c r="F162" s="298"/>
      <c r="G162" s="388" t="s">
        <v>303</v>
      </c>
      <c r="H162" s="302">
        <v>45874</v>
      </c>
      <c r="I162" s="281">
        <v>4</v>
      </c>
      <c r="J162" s="241" t="s">
        <v>476</v>
      </c>
      <c r="K162" s="284">
        <v>27754</v>
      </c>
      <c r="L162" s="399" t="s">
        <v>691</v>
      </c>
      <c r="M162" s="303"/>
      <c r="N162" s="281"/>
      <c r="O162" s="304"/>
      <c r="P162" s="305">
        <v>46170</v>
      </c>
      <c r="Q162" s="306"/>
      <c r="R162" s="289" t="str">
        <f t="shared" si="2"/>
        <v/>
      </c>
      <c r="S162" s="241"/>
      <c r="AA162" s="281">
        <v>885</v>
      </c>
    </row>
    <row r="163" spans="1:27" ht="18" customHeight="1">
      <c r="A163" s="298">
        <v>38990</v>
      </c>
      <c r="B163" s="299">
        <v>72629</v>
      </c>
      <c r="C163" s="241" t="s">
        <v>41</v>
      </c>
      <c r="D163" s="298">
        <v>5</v>
      </c>
      <c r="E163" s="300" t="s">
        <v>477</v>
      </c>
      <c r="F163" s="298"/>
      <c r="G163" s="388" t="s">
        <v>303</v>
      </c>
      <c r="H163" s="302">
        <v>45874</v>
      </c>
      <c r="I163" s="281">
        <v>5</v>
      </c>
      <c r="J163" s="241" t="s">
        <v>478</v>
      </c>
      <c r="K163" s="284">
        <v>10517</v>
      </c>
      <c r="L163" s="399" t="s">
        <v>691</v>
      </c>
      <c r="M163" s="303"/>
      <c r="N163" s="281"/>
      <c r="O163" s="304"/>
      <c r="P163" s="305">
        <v>46170</v>
      </c>
      <c r="Q163" s="306"/>
      <c r="R163" s="289" t="str">
        <f t="shared" si="2"/>
        <v/>
      </c>
      <c r="S163" s="241"/>
      <c r="AA163" s="281">
        <v>886</v>
      </c>
    </row>
    <row r="164" spans="1:27" ht="18" customHeight="1">
      <c r="A164" s="298">
        <v>38990</v>
      </c>
      <c r="B164" s="299">
        <v>72630</v>
      </c>
      <c r="C164" s="241" t="s">
        <v>41</v>
      </c>
      <c r="D164" s="298">
        <v>5</v>
      </c>
      <c r="E164" s="300" t="s">
        <v>479</v>
      </c>
      <c r="F164" s="298"/>
      <c r="G164" s="388" t="s">
        <v>303</v>
      </c>
      <c r="H164" s="302">
        <v>45874</v>
      </c>
      <c r="I164" s="281">
        <v>6</v>
      </c>
      <c r="J164" s="241" t="s">
        <v>480</v>
      </c>
      <c r="K164" s="284">
        <v>16571</v>
      </c>
      <c r="L164" s="399" t="s">
        <v>691</v>
      </c>
      <c r="M164" s="303"/>
      <c r="N164" s="281"/>
      <c r="O164" s="304"/>
      <c r="P164" s="305">
        <v>46170</v>
      </c>
      <c r="Q164" s="306"/>
      <c r="R164" s="289" t="str">
        <f t="shared" ref="R164:R181" si="3">IF(SUM(Q164)&gt;0,SUM(Q164-P164),"")</f>
        <v/>
      </c>
      <c r="S164" s="241"/>
      <c r="AA164" s="281">
        <v>887</v>
      </c>
    </row>
    <row r="165" spans="1:27" ht="18" customHeight="1">
      <c r="A165" s="298">
        <v>38990</v>
      </c>
      <c r="B165" s="299">
        <v>72631</v>
      </c>
      <c r="C165" s="241" t="s">
        <v>41</v>
      </c>
      <c r="D165" s="298">
        <v>3</v>
      </c>
      <c r="E165" s="300" t="s">
        <v>481</v>
      </c>
      <c r="F165" s="298"/>
      <c r="G165" s="388" t="s">
        <v>303</v>
      </c>
      <c r="H165" s="302">
        <v>45874</v>
      </c>
      <c r="I165" s="281">
        <v>7</v>
      </c>
      <c r="J165" s="241" t="s">
        <v>482</v>
      </c>
      <c r="K165" s="284">
        <v>4197</v>
      </c>
      <c r="L165" s="399" t="s">
        <v>691</v>
      </c>
      <c r="M165" s="303"/>
      <c r="N165" s="281"/>
      <c r="O165" s="304"/>
      <c r="P165" s="305">
        <v>46170</v>
      </c>
      <c r="Q165" s="306"/>
      <c r="R165" s="289" t="str">
        <f t="shared" si="3"/>
        <v/>
      </c>
      <c r="S165" s="241"/>
      <c r="AA165" s="281">
        <v>888</v>
      </c>
    </row>
    <row r="166" spans="1:27" ht="18" customHeight="1">
      <c r="A166" s="298">
        <v>38990</v>
      </c>
      <c r="B166" s="299">
        <v>72632</v>
      </c>
      <c r="C166" s="241" t="s">
        <v>41</v>
      </c>
      <c r="D166" s="298">
        <v>5</v>
      </c>
      <c r="E166" s="300" t="s">
        <v>483</v>
      </c>
      <c r="F166" s="298"/>
      <c r="G166" s="388" t="s">
        <v>303</v>
      </c>
      <c r="H166" s="302">
        <v>45874</v>
      </c>
      <c r="I166" s="281">
        <v>8</v>
      </c>
      <c r="J166" s="241" t="s">
        <v>484</v>
      </c>
      <c r="K166" s="284">
        <v>4192</v>
      </c>
      <c r="L166" s="399" t="s">
        <v>691</v>
      </c>
      <c r="M166" s="303"/>
      <c r="N166" s="281"/>
      <c r="O166" s="304"/>
      <c r="P166" s="305">
        <v>46170</v>
      </c>
      <c r="Q166" s="306"/>
      <c r="R166" s="289" t="str">
        <f t="shared" si="3"/>
        <v/>
      </c>
      <c r="S166" s="241"/>
      <c r="AA166" s="281">
        <v>889</v>
      </c>
    </row>
    <row r="167" spans="1:27" ht="18" customHeight="1">
      <c r="A167" s="298">
        <v>38990</v>
      </c>
      <c r="B167" s="299">
        <v>72633</v>
      </c>
      <c r="C167" s="241" t="s">
        <v>41</v>
      </c>
      <c r="D167" s="298">
        <v>5</v>
      </c>
      <c r="E167" s="300" t="s">
        <v>485</v>
      </c>
      <c r="F167" s="298"/>
      <c r="G167" s="388" t="s">
        <v>303</v>
      </c>
      <c r="H167" s="302">
        <v>45874</v>
      </c>
      <c r="I167" s="281">
        <v>9</v>
      </c>
      <c r="J167" s="241" t="s">
        <v>486</v>
      </c>
      <c r="K167" s="284">
        <v>46607</v>
      </c>
      <c r="L167" s="399" t="s">
        <v>691</v>
      </c>
      <c r="M167" s="303"/>
      <c r="N167" s="281"/>
      <c r="O167" s="304"/>
      <c r="P167" s="305">
        <v>46170</v>
      </c>
      <c r="Q167" s="306"/>
      <c r="R167" s="289" t="str">
        <f t="shared" si="3"/>
        <v/>
      </c>
      <c r="S167" s="241"/>
      <c r="AA167" s="281">
        <v>890</v>
      </c>
    </row>
    <row r="168" spans="1:27" ht="18" customHeight="1">
      <c r="A168" s="298">
        <v>38990</v>
      </c>
      <c r="B168" s="299">
        <v>72634</v>
      </c>
      <c r="C168" s="241" t="s">
        <v>41</v>
      </c>
      <c r="D168" s="298">
        <v>6</v>
      </c>
      <c r="E168" s="300" t="s">
        <v>487</v>
      </c>
      <c r="F168" s="298"/>
      <c r="G168" s="388" t="s">
        <v>303</v>
      </c>
      <c r="H168" s="302">
        <v>45874</v>
      </c>
      <c r="I168" s="281">
        <v>10</v>
      </c>
      <c r="J168" s="241" t="s">
        <v>488</v>
      </c>
      <c r="K168" s="284">
        <v>4517</v>
      </c>
      <c r="L168" s="399" t="s">
        <v>691</v>
      </c>
      <c r="M168" s="303"/>
      <c r="N168" s="281"/>
      <c r="O168" s="304"/>
      <c r="P168" s="305">
        <v>46170</v>
      </c>
      <c r="Q168" s="306"/>
      <c r="R168" s="289" t="str">
        <f t="shared" si="3"/>
        <v/>
      </c>
      <c r="S168" s="241"/>
      <c r="AA168" s="281">
        <v>891</v>
      </c>
    </row>
    <row r="169" spans="1:27" ht="18" customHeight="1">
      <c r="A169" s="298">
        <v>38990</v>
      </c>
      <c r="B169" s="299">
        <v>72635</v>
      </c>
      <c r="C169" s="241" t="s">
        <v>41</v>
      </c>
      <c r="D169" s="298">
        <v>4</v>
      </c>
      <c r="E169" s="300" t="s">
        <v>769</v>
      </c>
      <c r="F169" s="298"/>
      <c r="G169" s="388" t="s">
        <v>303</v>
      </c>
      <c r="H169" s="302">
        <v>45874</v>
      </c>
      <c r="I169" s="281">
        <v>11</v>
      </c>
      <c r="J169" s="241" t="s">
        <v>489</v>
      </c>
      <c r="K169" s="284">
        <v>12782</v>
      </c>
      <c r="L169" s="399" t="s">
        <v>691</v>
      </c>
      <c r="M169" s="303"/>
      <c r="N169" s="281"/>
      <c r="O169" s="304"/>
      <c r="P169" s="305">
        <v>46170</v>
      </c>
      <c r="Q169" s="306"/>
      <c r="R169" s="289" t="str">
        <f t="shared" si="3"/>
        <v/>
      </c>
      <c r="S169" s="241"/>
      <c r="AA169" s="281">
        <v>892</v>
      </c>
    </row>
    <row r="170" spans="1:27" ht="18" customHeight="1">
      <c r="A170" s="298"/>
      <c r="B170" s="299"/>
      <c r="C170" s="241"/>
      <c r="D170" s="298"/>
      <c r="E170" s="300"/>
      <c r="F170" s="298"/>
      <c r="G170" s="388"/>
      <c r="H170" s="302"/>
      <c r="J170" s="241"/>
      <c r="L170" s="400"/>
      <c r="M170" s="303"/>
      <c r="N170" s="281"/>
      <c r="O170" s="304"/>
      <c r="P170" s="305"/>
      <c r="Q170" s="306"/>
      <c r="R170" s="289" t="str">
        <f t="shared" si="3"/>
        <v/>
      </c>
      <c r="S170" s="241"/>
      <c r="AA170" s="281">
        <v>893</v>
      </c>
    </row>
    <row r="171" spans="1:27" ht="18" customHeight="1">
      <c r="A171" s="298">
        <v>38993</v>
      </c>
      <c r="B171" s="299">
        <v>72638</v>
      </c>
      <c r="C171" s="241" t="s">
        <v>41</v>
      </c>
      <c r="D171" s="298">
        <v>1000</v>
      </c>
      <c r="E171" s="300" t="s">
        <v>491</v>
      </c>
      <c r="F171" s="298"/>
      <c r="G171" s="241" t="s">
        <v>244</v>
      </c>
      <c r="H171" s="302">
        <v>45877</v>
      </c>
      <c r="I171" s="281">
        <v>1</v>
      </c>
      <c r="J171" s="241" t="s">
        <v>492</v>
      </c>
      <c r="K171" s="284">
        <v>48.94</v>
      </c>
      <c r="L171" s="281" t="s">
        <v>493</v>
      </c>
      <c r="M171" s="303"/>
      <c r="N171" s="281"/>
      <c r="O171" s="304"/>
      <c r="P171" s="305">
        <v>45960</v>
      </c>
      <c r="Q171" s="306"/>
      <c r="R171" s="289" t="str">
        <f t="shared" si="3"/>
        <v/>
      </c>
      <c r="S171" s="241"/>
      <c r="AA171" s="281">
        <v>894</v>
      </c>
    </row>
    <row r="172" spans="1:27" ht="18" customHeight="1">
      <c r="A172" s="298"/>
      <c r="B172" s="299"/>
      <c r="C172" s="241"/>
      <c r="D172" s="298"/>
      <c r="E172" s="300"/>
      <c r="F172" s="298"/>
      <c r="G172" s="241"/>
      <c r="H172" s="302"/>
      <c r="J172" s="241"/>
      <c r="M172" s="303"/>
      <c r="N172" s="281"/>
      <c r="O172" s="304"/>
      <c r="P172" s="305"/>
      <c r="Q172" s="306"/>
      <c r="R172" s="289" t="str">
        <f t="shared" si="3"/>
        <v/>
      </c>
      <c r="S172" s="241"/>
      <c r="AA172" s="281">
        <v>895</v>
      </c>
    </row>
    <row r="173" spans="1:27" ht="18" customHeight="1">
      <c r="A173" s="298">
        <v>38998</v>
      </c>
      <c r="B173" s="299">
        <v>72643</v>
      </c>
      <c r="C173" s="241" t="s">
        <v>41</v>
      </c>
      <c r="D173" s="298">
        <v>8</v>
      </c>
      <c r="E173" s="300" t="s">
        <v>496</v>
      </c>
      <c r="F173" s="298">
        <v>0</v>
      </c>
      <c r="G173" s="241" t="s">
        <v>246</v>
      </c>
      <c r="H173" s="302">
        <v>45881</v>
      </c>
      <c r="I173" s="281">
        <v>1</v>
      </c>
      <c r="J173" s="241" t="s">
        <v>497</v>
      </c>
      <c r="K173" s="284">
        <v>14955</v>
      </c>
      <c r="L173" s="281" t="s">
        <v>498</v>
      </c>
      <c r="M173" s="303"/>
      <c r="N173" s="281"/>
      <c r="O173" s="304"/>
      <c r="P173" s="305">
        <v>46008</v>
      </c>
      <c r="Q173" s="306"/>
      <c r="R173" s="289" t="str">
        <f t="shared" si="3"/>
        <v/>
      </c>
      <c r="S173" s="241"/>
      <c r="AA173" s="281">
        <v>896</v>
      </c>
    </row>
    <row r="174" spans="1:27" ht="18" customHeight="1">
      <c r="A174" s="298"/>
      <c r="B174" s="299"/>
      <c r="C174" s="241"/>
      <c r="D174" s="298"/>
      <c r="E174" s="300"/>
      <c r="F174" s="298"/>
      <c r="G174" s="241"/>
      <c r="H174" s="302"/>
      <c r="J174" s="241"/>
      <c r="M174" s="303"/>
      <c r="N174" s="281"/>
      <c r="O174" s="304"/>
      <c r="P174" s="305"/>
      <c r="Q174" s="306"/>
      <c r="R174" s="289" t="str">
        <f t="shared" si="3"/>
        <v/>
      </c>
      <c r="S174" s="241"/>
      <c r="AA174" s="281">
        <v>1086</v>
      </c>
    </row>
    <row r="175" spans="1:27" ht="18" customHeight="1">
      <c r="A175" s="298">
        <v>39000</v>
      </c>
      <c r="B175" s="299">
        <v>72645</v>
      </c>
      <c r="C175" s="241" t="s">
        <v>41</v>
      </c>
      <c r="D175" s="298">
        <v>1</v>
      </c>
      <c r="E175" s="300" t="s">
        <v>499</v>
      </c>
      <c r="F175" s="298"/>
      <c r="G175" s="388" t="s">
        <v>303</v>
      </c>
      <c r="H175" s="302">
        <v>45883</v>
      </c>
      <c r="I175" s="281">
        <v>1</v>
      </c>
      <c r="J175" s="241" t="s">
        <v>500</v>
      </c>
      <c r="K175" s="284">
        <v>49980</v>
      </c>
      <c r="L175" s="281" t="s">
        <v>505</v>
      </c>
      <c r="M175" s="303"/>
      <c r="N175" s="281"/>
      <c r="O175" s="304"/>
      <c r="P175" s="305">
        <v>46002</v>
      </c>
      <c r="Q175" s="306"/>
      <c r="R175" s="289" t="str">
        <f t="shared" si="3"/>
        <v/>
      </c>
      <c r="S175" s="241"/>
      <c r="AA175" s="281">
        <v>1087</v>
      </c>
    </row>
    <row r="176" spans="1:27" ht="18" customHeight="1">
      <c r="A176" s="298">
        <v>39000</v>
      </c>
      <c r="B176" s="299">
        <v>72646</v>
      </c>
      <c r="C176" s="241" t="s">
        <v>41</v>
      </c>
      <c r="D176" s="298">
        <v>1</v>
      </c>
      <c r="E176" s="300" t="s">
        <v>502</v>
      </c>
      <c r="F176" s="298">
        <v>3</v>
      </c>
      <c r="G176" s="388" t="s">
        <v>303</v>
      </c>
      <c r="H176" s="302">
        <v>45883</v>
      </c>
      <c r="I176" s="281">
        <v>2</v>
      </c>
      <c r="J176" s="241" t="s">
        <v>501</v>
      </c>
      <c r="K176" s="284">
        <v>44970</v>
      </c>
      <c r="L176" s="281" t="s">
        <v>505</v>
      </c>
      <c r="M176" s="303"/>
      <c r="N176" s="281"/>
      <c r="O176" s="304"/>
      <c r="P176" s="305">
        <v>46002</v>
      </c>
      <c r="Q176" s="306"/>
      <c r="R176" s="289" t="str">
        <f t="shared" si="3"/>
        <v/>
      </c>
      <c r="S176" s="241"/>
      <c r="AA176" s="281">
        <v>897</v>
      </c>
    </row>
    <row r="177" spans="1:27" ht="18" customHeight="1">
      <c r="A177" s="298">
        <v>39000</v>
      </c>
      <c r="B177" s="299">
        <v>72647</v>
      </c>
      <c r="C177" s="241" t="s">
        <v>41</v>
      </c>
      <c r="D177" s="298">
        <v>1</v>
      </c>
      <c r="E177" s="300" t="s">
        <v>503</v>
      </c>
      <c r="F177" s="298">
        <v>5</v>
      </c>
      <c r="G177" s="388" t="s">
        <v>303</v>
      </c>
      <c r="H177" s="302">
        <v>45883</v>
      </c>
      <c r="I177" s="281">
        <v>3</v>
      </c>
      <c r="J177" s="241" t="s">
        <v>504</v>
      </c>
      <c r="K177" s="284">
        <v>9139</v>
      </c>
      <c r="L177" s="281" t="s">
        <v>505</v>
      </c>
      <c r="M177" s="303"/>
      <c r="N177" s="281"/>
      <c r="O177" s="304"/>
      <c r="P177" s="305">
        <v>46002</v>
      </c>
      <c r="Q177" s="306"/>
      <c r="R177" s="289" t="str">
        <f t="shared" si="3"/>
        <v/>
      </c>
      <c r="S177" s="241"/>
      <c r="AA177" s="281">
        <v>1088</v>
      </c>
    </row>
    <row r="178" spans="1:27" ht="18" customHeight="1">
      <c r="A178" s="298"/>
      <c r="B178" s="299"/>
      <c r="C178" s="241"/>
      <c r="D178" s="298"/>
      <c r="E178" s="300"/>
      <c r="F178" s="298"/>
      <c r="G178" s="241"/>
      <c r="H178" s="302"/>
      <c r="J178" s="241"/>
      <c r="M178" s="303"/>
      <c r="N178" s="281"/>
      <c r="O178" s="304"/>
      <c r="P178" s="305"/>
      <c r="Q178" s="306"/>
      <c r="R178" s="289" t="str">
        <f t="shared" si="3"/>
        <v/>
      </c>
      <c r="S178" s="241"/>
      <c r="AA178" s="281">
        <v>899</v>
      </c>
    </row>
    <row r="179" spans="1:27" ht="18" customHeight="1">
      <c r="A179" s="298">
        <v>39001</v>
      </c>
      <c r="B179" s="401">
        <v>72648</v>
      </c>
      <c r="C179" s="241" t="s">
        <v>41</v>
      </c>
      <c r="D179" s="298">
        <v>10</v>
      </c>
      <c r="E179" s="300" t="s">
        <v>506</v>
      </c>
      <c r="F179" s="298"/>
      <c r="G179" s="241" t="s">
        <v>244</v>
      </c>
      <c r="H179" s="302">
        <v>45883</v>
      </c>
      <c r="I179" s="281">
        <v>1</v>
      </c>
      <c r="J179" s="241" t="s">
        <v>507</v>
      </c>
      <c r="K179" s="284">
        <v>110</v>
      </c>
      <c r="L179" s="281" t="s">
        <v>508</v>
      </c>
      <c r="M179" s="303"/>
      <c r="N179" s="281"/>
      <c r="O179" s="304"/>
      <c r="P179" s="305">
        <v>45915</v>
      </c>
      <c r="Q179" s="306"/>
      <c r="R179" s="289" t="str">
        <f t="shared" si="3"/>
        <v/>
      </c>
      <c r="S179" s="241"/>
      <c r="AA179" s="281">
        <v>900</v>
      </c>
    </row>
    <row r="180" spans="1:27" ht="18" customHeight="1">
      <c r="A180" s="298"/>
      <c r="B180" s="299"/>
      <c r="C180" s="241"/>
      <c r="D180" s="298"/>
      <c r="E180" s="300"/>
      <c r="F180" s="298"/>
      <c r="G180" s="241"/>
      <c r="H180" s="302"/>
      <c r="J180" s="241"/>
      <c r="M180" s="303"/>
      <c r="N180" s="281"/>
      <c r="O180" s="304"/>
      <c r="P180" s="305"/>
      <c r="Q180" s="306"/>
      <c r="R180" s="289" t="str">
        <f t="shared" si="3"/>
        <v/>
      </c>
      <c r="S180" s="241"/>
      <c r="AA180" s="281">
        <v>901</v>
      </c>
    </row>
    <row r="181" spans="1:27" ht="18" customHeight="1">
      <c r="A181" s="298">
        <v>39004</v>
      </c>
      <c r="B181" s="299">
        <v>72651</v>
      </c>
      <c r="C181" s="241" t="s">
        <v>41</v>
      </c>
      <c r="D181" s="298">
        <v>3</v>
      </c>
      <c r="E181" s="300" t="s">
        <v>400</v>
      </c>
      <c r="F181" s="298"/>
      <c r="G181" s="391" t="s">
        <v>282</v>
      </c>
      <c r="H181" s="302">
        <v>45885</v>
      </c>
      <c r="I181" s="281">
        <v>1</v>
      </c>
      <c r="J181" s="241" t="s">
        <v>509</v>
      </c>
      <c r="K181" s="284">
        <v>2154</v>
      </c>
      <c r="L181" s="350" t="s">
        <v>770</v>
      </c>
      <c r="M181" s="303"/>
      <c r="N181" s="281"/>
      <c r="O181" s="304"/>
      <c r="P181" s="305">
        <v>46069</v>
      </c>
      <c r="Q181" s="306"/>
      <c r="R181" s="289" t="str">
        <f t="shared" si="3"/>
        <v/>
      </c>
      <c r="S181" s="241"/>
      <c r="AA181" s="281">
        <v>902</v>
      </c>
    </row>
    <row r="182" spans="1:27" ht="18" customHeight="1">
      <c r="A182" s="298">
        <v>39004</v>
      </c>
      <c r="B182" s="401">
        <v>72651</v>
      </c>
      <c r="C182" s="241" t="s">
        <v>41</v>
      </c>
      <c r="D182" s="298">
        <v>1</v>
      </c>
      <c r="E182" s="300" t="s">
        <v>400</v>
      </c>
      <c r="F182" s="298"/>
      <c r="G182" s="391" t="s">
        <v>282</v>
      </c>
      <c r="H182" s="302">
        <v>45885</v>
      </c>
      <c r="I182" s="281" t="s">
        <v>771</v>
      </c>
      <c r="J182" s="241" t="s">
        <v>509</v>
      </c>
      <c r="K182" s="284">
        <v>2896</v>
      </c>
      <c r="L182" s="350" t="s">
        <v>770</v>
      </c>
      <c r="M182" s="303"/>
      <c r="N182" s="281"/>
      <c r="O182" s="304"/>
      <c r="P182" s="305"/>
      <c r="Q182" s="306"/>
      <c r="R182" s="289"/>
      <c r="S182" s="241"/>
      <c r="AA182" s="281">
        <v>903</v>
      </c>
    </row>
    <row r="183" spans="1:27" ht="18" customHeight="1">
      <c r="A183" s="298">
        <v>39004</v>
      </c>
      <c r="B183" s="299">
        <v>72652</v>
      </c>
      <c r="C183" s="241" t="s">
        <v>41</v>
      </c>
      <c r="D183" s="298">
        <v>3</v>
      </c>
      <c r="E183" s="300" t="s">
        <v>510</v>
      </c>
      <c r="F183" s="298"/>
      <c r="G183" s="391" t="s">
        <v>282</v>
      </c>
      <c r="H183" s="302">
        <v>45885</v>
      </c>
      <c r="I183" s="281">
        <v>2</v>
      </c>
      <c r="J183" s="241" t="s">
        <v>511</v>
      </c>
      <c r="K183" s="284">
        <v>25597</v>
      </c>
      <c r="L183" s="350" t="s">
        <v>770</v>
      </c>
      <c r="M183" s="303"/>
      <c r="N183" s="281"/>
      <c r="O183" s="304"/>
      <c r="P183" s="305">
        <v>46069</v>
      </c>
      <c r="Q183" s="306"/>
      <c r="R183" s="289" t="str">
        <f t="shared" ref="R183:R246" si="4">IF(SUM(Q183)&gt;0,SUM(Q183-P183),"")</f>
        <v/>
      </c>
      <c r="S183" s="241"/>
      <c r="AA183" s="281">
        <v>904</v>
      </c>
    </row>
    <row r="184" spans="1:27" ht="18" customHeight="1">
      <c r="A184" s="298">
        <v>39004</v>
      </c>
      <c r="B184" s="299">
        <v>72653</v>
      </c>
      <c r="C184" s="241" t="s">
        <v>41</v>
      </c>
      <c r="D184" s="298">
        <v>2</v>
      </c>
      <c r="E184" s="300" t="s">
        <v>512</v>
      </c>
      <c r="F184" s="298"/>
      <c r="G184" s="391" t="s">
        <v>282</v>
      </c>
      <c r="H184" s="302">
        <v>45885</v>
      </c>
      <c r="I184" s="281">
        <v>3</v>
      </c>
      <c r="J184" s="241" t="s">
        <v>513</v>
      </c>
      <c r="K184" s="284">
        <v>23777</v>
      </c>
      <c r="L184" s="350" t="s">
        <v>770</v>
      </c>
      <c r="M184" s="303"/>
      <c r="N184" s="281"/>
      <c r="O184" s="304"/>
      <c r="P184" s="305">
        <v>46069</v>
      </c>
      <c r="Q184" s="306"/>
      <c r="R184" s="289" t="str">
        <f t="shared" si="4"/>
        <v/>
      </c>
      <c r="S184" s="241"/>
      <c r="AA184" s="281">
        <v>905</v>
      </c>
    </row>
    <row r="185" spans="1:27" ht="18" customHeight="1">
      <c r="A185" s="298">
        <v>39004</v>
      </c>
      <c r="B185" s="299">
        <v>72654</v>
      </c>
      <c r="C185" s="241" t="s">
        <v>41</v>
      </c>
      <c r="D185" s="298">
        <v>1</v>
      </c>
      <c r="E185" s="300" t="s">
        <v>514</v>
      </c>
      <c r="F185" s="298"/>
      <c r="G185" s="391" t="s">
        <v>282</v>
      </c>
      <c r="H185" s="302">
        <v>45885</v>
      </c>
      <c r="I185" s="281">
        <v>4</v>
      </c>
      <c r="J185" s="241" t="s">
        <v>515</v>
      </c>
      <c r="K185" s="284">
        <v>17784</v>
      </c>
      <c r="L185" s="350" t="s">
        <v>770</v>
      </c>
      <c r="M185" s="303"/>
      <c r="N185" s="281"/>
      <c r="O185" s="304"/>
      <c r="P185" s="305">
        <v>46069</v>
      </c>
      <c r="Q185" s="306"/>
      <c r="R185" s="289" t="str">
        <f t="shared" si="4"/>
        <v/>
      </c>
      <c r="S185" s="241"/>
      <c r="AA185" s="281">
        <v>906</v>
      </c>
    </row>
    <row r="186" spans="1:27" ht="18" customHeight="1">
      <c r="A186" s="298"/>
      <c r="B186" s="299"/>
      <c r="C186" s="241"/>
      <c r="D186" s="298"/>
      <c r="E186" s="300"/>
      <c r="F186" s="298"/>
      <c r="G186" s="241"/>
      <c r="H186" s="302"/>
      <c r="J186" s="241"/>
      <c r="M186" s="303"/>
      <c r="N186" s="281"/>
      <c r="O186" s="304"/>
      <c r="P186" s="305"/>
      <c r="Q186" s="306"/>
      <c r="R186" s="289" t="str">
        <f t="shared" si="4"/>
        <v/>
      </c>
      <c r="S186" s="241"/>
      <c r="AA186" s="281">
        <v>907</v>
      </c>
    </row>
    <row r="187" spans="1:27" ht="18" customHeight="1">
      <c r="A187" s="303">
        <v>39006</v>
      </c>
      <c r="B187" s="299">
        <v>72656</v>
      </c>
      <c r="C187" s="241" t="s">
        <v>4</v>
      </c>
      <c r="D187" s="298">
        <v>1</v>
      </c>
      <c r="E187" s="300" t="s">
        <v>516</v>
      </c>
      <c r="F187" s="298"/>
      <c r="G187" s="241" t="s">
        <v>279</v>
      </c>
      <c r="H187" s="302">
        <v>45887</v>
      </c>
      <c r="I187" s="281">
        <v>10</v>
      </c>
      <c r="J187" s="241" t="s">
        <v>517</v>
      </c>
      <c r="K187" s="284">
        <v>2173</v>
      </c>
      <c r="L187" s="281">
        <v>280103799</v>
      </c>
      <c r="M187" s="303"/>
      <c r="N187" s="281"/>
      <c r="O187" s="304"/>
      <c r="P187" s="305">
        <v>45968</v>
      </c>
      <c r="Q187" s="306"/>
      <c r="R187" s="289" t="str">
        <f t="shared" si="4"/>
        <v/>
      </c>
      <c r="S187" s="241"/>
      <c r="AA187" s="281">
        <v>908</v>
      </c>
    </row>
    <row r="188" spans="1:27" ht="18" customHeight="1">
      <c r="A188" s="298">
        <v>39006</v>
      </c>
      <c r="B188" s="299">
        <v>72657</v>
      </c>
      <c r="C188" s="241" t="s">
        <v>4</v>
      </c>
      <c r="D188" s="298">
        <v>1</v>
      </c>
      <c r="E188" s="300" t="s">
        <v>518</v>
      </c>
      <c r="F188" s="298"/>
      <c r="G188" s="241" t="s">
        <v>279</v>
      </c>
      <c r="H188" s="302">
        <v>45887</v>
      </c>
      <c r="I188" s="281">
        <v>20</v>
      </c>
      <c r="J188" s="241" t="s">
        <v>517</v>
      </c>
      <c r="K188" s="284">
        <v>2360</v>
      </c>
      <c r="L188" s="281">
        <v>280103799</v>
      </c>
      <c r="M188" s="303"/>
      <c r="N188" s="281"/>
      <c r="O188" s="304"/>
      <c r="P188" s="305">
        <v>45968</v>
      </c>
      <c r="Q188" s="306"/>
      <c r="R188" s="289" t="str">
        <f t="shared" si="4"/>
        <v/>
      </c>
      <c r="S188" s="241"/>
      <c r="AA188" s="281">
        <v>909</v>
      </c>
    </row>
    <row r="189" spans="1:27" ht="18" customHeight="1">
      <c r="A189" s="298">
        <v>39007</v>
      </c>
      <c r="B189" s="402">
        <v>72674</v>
      </c>
      <c r="C189" s="241" t="s">
        <v>4</v>
      </c>
      <c r="D189" s="298">
        <v>1</v>
      </c>
      <c r="E189" s="300" t="s">
        <v>519</v>
      </c>
      <c r="F189" s="298"/>
      <c r="G189" s="241" t="s">
        <v>279</v>
      </c>
      <c r="H189" s="302">
        <v>45887</v>
      </c>
      <c r="I189" s="281">
        <v>190</v>
      </c>
      <c r="J189" s="241" t="s">
        <v>520</v>
      </c>
      <c r="K189" s="284">
        <v>200</v>
      </c>
      <c r="L189" s="281">
        <v>280103799</v>
      </c>
      <c r="M189" s="303"/>
      <c r="N189" s="281"/>
      <c r="O189" s="304"/>
      <c r="P189" s="305">
        <v>45968</v>
      </c>
      <c r="Q189" s="306"/>
      <c r="R189" s="289" t="str">
        <f t="shared" si="4"/>
        <v/>
      </c>
      <c r="S189" s="241"/>
      <c r="AA189" s="281">
        <v>910</v>
      </c>
    </row>
    <row r="190" spans="1:27" ht="18" customHeight="1">
      <c r="A190" s="298"/>
      <c r="B190" s="299"/>
      <c r="C190" s="241"/>
      <c r="D190" s="298"/>
      <c r="E190" s="300"/>
      <c r="F190" s="298"/>
      <c r="G190" s="241"/>
      <c r="H190" s="302"/>
      <c r="J190" s="241"/>
      <c r="M190" s="303"/>
      <c r="N190" s="281"/>
      <c r="O190" s="304"/>
      <c r="P190" s="305"/>
      <c r="Q190" s="306"/>
      <c r="R190" s="289" t="str">
        <f t="shared" si="4"/>
        <v/>
      </c>
      <c r="S190" s="241"/>
      <c r="AA190" s="281">
        <v>911</v>
      </c>
    </row>
    <row r="191" spans="1:27" ht="18" customHeight="1">
      <c r="A191" s="298">
        <v>39015</v>
      </c>
      <c r="B191" s="299">
        <v>72690</v>
      </c>
      <c r="C191" s="241" t="s">
        <v>0</v>
      </c>
      <c r="D191" s="298">
        <v>20</v>
      </c>
      <c r="E191" s="300" t="s">
        <v>521</v>
      </c>
      <c r="F191" s="298"/>
      <c r="G191" s="241" t="s">
        <v>391</v>
      </c>
      <c r="H191" s="302">
        <v>45897</v>
      </c>
      <c r="I191" s="281">
        <v>1</v>
      </c>
      <c r="J191" s="241" t="s">
        <v>522</v>
      </c>
      <c r="K191" s="284">
        <v>218</v>
      </c>
      <c r="L191" s="281" t="s">
        <v>523</v>
      </c>
      <c r="M191" s="303">
        <v>44920</v>
      </c>
      <c r="N191" s="281">
        <v>20</v>
      </c>
      <c r="O191" s="304">
        <v>53188</v>
      </c>
      <c r="P191" s="305">
        <v>45939</v>
      </c>
      <c r="Q191" s="306">
        <v>46037</v>
      </c>
      <c r="R191" s="289">
        <f t="shared" si="4"/>
        <v>98</v>
      </c>
      <c r="S191" s="241"/>
      <c r="AA191" s="281">
        <v>912</v>
      </c>
    </row>
    <row r="192" spans="1:27" ht="18" customHeight="1">
      <c r="A192" s="298">
        <v>39015</v>
      </c>
      <c r="B192" s="299">
        <v>72691</v>
      </c>
      <c r="C192" s="241" t="s">
        <v>0</v>
      </c>
      <c r="D192" s="298">
        <v>10</v>
      </c>
      <c r="E192" s="300" t="s">
        <v>524</v>
      </c>
      <c r="F192" s="298"/>
      <c r="G192" s="241" t="s">
        <v>391</v>
      </c>
      <c r="H192" s="302">
        <v>45897</v>
      </c>
      <c r="I192" s="281">
        <v>2</v>
      </c>
      <c r="J192" s="241" t="s">
        <v>525</v>
      </c>
      <c r="K192" s="284" t="s">
        <v>561</v>
      </c>
      <c r="L192" s="281" t="s">
        <v>523</v>
      </c>
      <c r="M192" s="303">
        <v>44920</v>
      </c>
      <c r="N192" s="281">
        <v>10</v>
      </c>
      <c r="O192" s="304">
        <v>53188</v>
      </c>
      <c r="P192" s="305">
        <v>45939</v>
      </c>
      <c r="Q192" s="306">
        <v>46037</v>
      </c>
      <c r="R192" s="289">
        <f t="shared" si="4"/>
        <v>98</v>
      </c>
      <c r="S192" s="241"/>
      <c r="AA192" s="281">
        <v>1089</v>
      </c>
    </row>
    <row r="193" spans="1:27" ht="18" customHeight="1">
      <c r="A193" s="298"/>
      <c r="B193" s="299"/>
      <c r="C193" s="241"/>
      <c r="D193" s="298"/>
      <c r="E193" s="300"/>
      <c r="F193" s="298"/>
      <c r="G193" s="241"/>
      <c r="H193" s="302"/>
      <c r="J193" s="241"/>
      <c r="M193" s="303"/>
      <c r="N193" s="281"/>
      <c r="O193" s="304"/>
      <c r="P193" s="305"/>
      <c r="Q193" s="306"/>
      <c r="R193" s="289" t="str">
        <f t="shared" si="4"/>
        <v/>
      </c>
      <c r="S193" s="241"/>
      <c r="AA193" s="281">
        <v>1090</v>
      </c>
    </row>
    <row r="194" spans="1:27" ht="18" customHeight="1">
      <c r="A194" s="403">
        <v>39016</v>
      </c>
      <c r="B194" s="404">
        <v>72692</v>
      </c>
      <c r="C194" s="405" t="s">
        <v>41</v>
      </c>
      <c r="D194" s="403">
        <v>2</v>
      </c>
      <c r="E194" s="406" t="s">
        <v>526</v>
      </c>
      <c r="F194" s="403"/>
      <c r="G194" s="407" t="s">
        <v>303</v>
      </c>
      <c r="H194" s="408">
        <v>45898</v>
      </c>
      <c r="I194" s="409">
        <v>1</v>
      </c>
      <c r="J194" s="405" t="s">
        <v>527</v>
      </c>
      <c r="K194" s="410">
        <v>17821</v>
      </c>
      <c r="L194" s="409" t="s">
        <v>560</v>
      </c>
      <c r="M194" s="411"/>
      <c r="N194" s="409"/>
      <c r="O194" s="412"/>
      <c r="P194" s="413">
        <v>46142</v>
      </c>
      <c r="Q194" s="306"/>
      <c r="R194" s="289" t="str">
        <f t="shared" si="4"/>
        <v/>
      </c>
      <c r="S194" s="241"/>
      <c r="AA194" s="281">
        <v>1091</v>
      </c>
    </row>
    <row r="195" spans="1:27" ht="18" customHeight="1">
      <c r="A195" s="403">
        <v>39016</v>
      </c>
      <c r="B195" s="404">
        <v>72693</v>
      </c>
      <c r="C195" s="405" t="s">
        <v>41</v>
      </c>
      <c r="D195" s="403">
        <v>2</v>
      </c>
      <c r="E195" s="406" t="s">
        <v>528</v>
      </c>
      <c r="F195" s="403"/>
      <c r="G195" s="407" t="s">
        <v>303</v>
      </c>
      <c r="H195" s="408">
        <v>45898</v>
      </c>
      <c r="I195" s="409">
        <v>2</v>
      </c>
      <c r="J195" s="405" t="s">
        <v>529</v>
      </c>
      <c r="K195" s="410">
        <v>38376</v>
      </c>
      <c r="L195" s="409" t="s">
        <v>560</v>
      </c>
      <c r="M195" s="411"/>
      <c r="N195" s="409"/>
      <c r="O195" s="412"/>
      <c r="P195" s="413">
        <v>46142</v>
      </c>
      <c r="Q195" s="306"/>
      <c r="R195" s="289" t="str">
        <f t="shared" si="4"/>
        <v/>
      </c>
      <c r="S195" s="241"/>
      <c r="AA195" s="281">
        <v>918</v>
      </c>
    </row>
    <row r="196" spans="1:27" ht="18" customHeight="1">
      <c r="A196" s="403">
        <v>39016</v>
      </c>
      <c r="B196" s="404">
        <v>72694</v>
      </c>
      <c r="C196" s="405" t="s">
        <v>41</v>
      </c>
      <c r="D196" s="403">
        <v>2</v>
      </c>
      <c r="E196" s="406" t="s">
        <v>530</v>
      </c>
      <c r="F196" s="403"/>
      <c r="G196" s="407" t="s">
        <v>303</v>
      </c>
      <c r="H196" s="408">
        <v>45898</v>
      </c>
      <c r="I196" s="409">
        <v>3</v>
      </c>
      <c r="J196" s="405" t="s">
        <v>531</v>
      </c>
      <c r="K196" s="410">
        <v>2911</v>
      </c>
      <c r="L196" s="409" t="s">
        <v>560</v>
      </c>
      <c r="M196" s="411"/>
      <c r="N196" s="409"/>
      <c r="O196" s="412"/>
      <c r="P196" s="413">
        <v>46142</v>
      </c>
      <c r="Q196" s="306"/>
      <c r="R196" s="289" t="str">
        <f t="shared" si="4"/>
        <v/>
      </c>
      <c r="S196" s="241"/>
      <c r="AA196" s="281">
        <v>919</v>
      </c>
    </row>
    <row r="197" spans="1:27" ht="18" customHeight="1">
      <c r="A197" s="403">
        <v>39016</v>
      </c>
      <c r="B197" s="404">
        <v>72695</v>
      </c>
      <c r="C197" s="405" t="s">
        <v>41</v>
      </c>
      <c r="D197" s="403">
        <v>2</v>
      </c>
      <c r="E197" s="406" t="s">
        <v>532</v>
      </c>
      <c r="F197" s="403"/>
      <c r="G197" s="407" t="s">
        <v>303</v>
      </c>
      <c r="H197" s="408">
        <v>45898</v>
      </c>
      <c r="I197" s="409">
        <v>4</v>
      </c>
      <c r="J197" s="405" t="s">
        <v>533</v>
      </c>
      <c r="K197" s="410">
        <v>4617</v>
      </c>
      <c r="L197" s="409" t="s">
        <v>560</v>
      </c>
      <c r="M197" s="411"/>
      <c r="N197" s="409"/>
      <c r="O197" s="412"/>
      <c r="P197" s="413">
        <v>46142</v>
      </c>
      <c r="Q197" s="306"/>
      <c r="R197" s="289" t="str">
        <f t="shared" si="4"/>
        <v/>
      </c>
      <c r="S197" s="241"/>
      <c r="AA197" s="281">
        <v>920</v>
      </c>
    </row>
    <row r="198" spans="1:27" ht="18" customHeight="1">
      <c r="A198" s="403">
        <v>39016</v>
      </c>
      <c r="B198" s="404">
        <v>72696</v>
      </c>
      <c r="C198" s="405" t="s">
        <v>41</v>
      </c>
      <c r="D198" s="403">
        <v>6</v>
      </c>
      <c r="E198" s="406" t="s">
        <v>534</v>
      </c>
      <c r="F198" s="403"/>
      <c r="G198" s="407" t="s">
        <v>303</v>
      </c>
      <c r="H198" s="408">
        <v>45898</v>
      </c>
      <c r="I198" s="409">
        <v>5</v>
      </c>
      <c r="J198" s="405" t="s">
        <v>535</v>
      </c>
      <c r="K198" s="410">
        <v>10453</v>
      </c>
      <c r="L198" s="409" t="s">
        <v>560</v>
      </c>
      <c r="M198" s="411"/>
      <c r="N198" s="409"/>
      <c r="O198" s="412"/>
      <c r="P198" s="413">
        <v>46142</v>
      </c>
      <c r="Q198" s="306"/>
      <c r="R198" s="289" t="str">
        <f t="shared" si="4"/>
        <v/>
      </c>
      <c r="S198" s="241"/>
      <c r="AA198" s="281">
        <v>921</v>
      </c>
    </row>
    <row r="199" spans="1:27" ht="18" customHeight="1">
      <c r="A199" s="403">
        <v>39016</v>
      </c>
      <c r="B199" s="404">
        <v>72697</v>
      </c>
      <c r="C199" s="405" t="s">
        <v>41</v>
      </c>
      <c r="D199" s="403">
        <v>2</v>
      </c>
      <c r="E199" s="406" t="s">
        <v>536</v>
      </c>
      <c r="F199" s="403"/>
      <c r="G199" s="407" t="s">
        <v>303</v>
      </c>
      <c r="H199" s="408">
        <v>45898</v>
      </c>
      <c r="I199" s="409">
        <v>6</v>
      </c>
      <c r="J199" s="405" t="s">
        <v>537</v>
      </c>
      <c r="K199" s="410">
        <v>79970</v>
      </c>
      <c r="L199" s="409" t="s">
        <v>560</v>
      </c>
      <c r="M199" s="411"/>
      <c r="N199" s="409"/>
      <c r="O199" s="412"/>
      <c r="P199" s="413">
        <v>46142</v>
      </c>
      <c r="Q199" s="306"/>
      <c r="R199" s="289" t="str">
        <f t="shared" si="4"/>
        <v/>
      </c>
      <c r="S199" s="241"/>
      <c r="AA199" s="281">
        <v>922</v>
      </c>
    </row>
    <row r="200" spans="1:27" ht="18" customHeight="1">
      <c r="A200" s="403">
        <v>39016</v>
      </c>
      <c r="B200" s="401">
        <v>72698</v>
      </c>
      <c r="C200" s="405" t="s">
        <v>41</v>
      </c>
      <c r="D200" s="403">
        <v>2</v>
      </c>
      <c r="E200" s="406" t="s">
        <v>538</v>
      </c>
      <c r="F200" s="403"/>
      <c r="G200" s="407" t="s">
        <v>303</v>
      </c>
      <c r="H200" s="408">
        <v>45898</v>
      </c>
      <c r="I200" s="409">
        <v>7</v>
      </c>
      <c r="J200" s="405" t="s">
        <v>539</v>
      </c>
      <c r="K200" s="410">
        <v>50363</v>
      </c>
      <c r="L200" s="409" t="s">
        <v>560</v>
      </c>
      <c r="M200" s="411"/>
      <c r="N200" s="409"/>
      <c r="O200" s="412"/>
      <c r="P200" s="413">
        <v>46142</v>
      </c>
      <c r="Q200" s="306"/>
      <c r="R200" s="289" t="str">
        <f t="shared" si="4"/>
        <v/>
      </c>
      <c r="S200" s="241"/>
      <c r="AA200" s="281">
        <v>923</v>
      </c>
    </row>
    <row r="201" spans="1:27" ht="16.5" customHeight="1">
      <c r="A201" s="403">
        <v>39016</v>
      </c>
      <c r="B201" s="404">
        <v>72699</v>
      </c>
      <c r="C201" s="405" t="s">
        <v>41</v>
      </c>
      <c r="D201" s="403">
        <v>1</v>
      </c>
      <c r="E201" s="406" t="s">
        <v>540</v>
      </c>
      <c r="F201" s="403"/>
      <c r="G201" s="407" t="s">
        <v>303</v>
      </c>
      <c r="H201" s="408">
        <v>45898</v>
      </c>
      <c r="I201" s="409">
        <v>8</v>
      </c>
      <c r="J201" s="405" t="s">
        <v>541</v>
      </c>
      <c r="K201" s="410">
        <v>16754</v>
      </c>
      <c r="L201" s="409" t="s">
        <v>560</v>
      </c>
      <c r="M201" s="411"/>
      <c r="N201" s="409"/>
      <c r="O201" s="412"/>
      <c r="P201" s="413">
        <v>46142</v>
      </c>
      <c r="Q201" s="306"/>
      <c r="R201" s="289" t="str">
        <f t="shared" si="4"/>
        <v/>
      </c>
      <c r="S201" s="241"/>
      <c r="AA201" s="281">
        <v>924</v>
      </c>
    </row>
    <row r="202" spans="1:27" ht="15" customHeight="1">
      <c r="A202" s="403">
        <v>39016</v>
      </c>
      <c r="B202" s="404">
        <v>72700</v>
      </c>
      <c r="C202" s="405" t="s">
        <v>41</v>
      </c>
      <c r="D202" s="403">
        <v>1</v>
      </c>
      <c r="E202" s="406" t="s">
        <v>542</v>
      </c>
      <c r="F202" s="403"/>
      <c r="G202" s="407" t="s">
        <v>303</v>
      </c>
      <c r="H202" s="408">
        <v>45898</v>
      </c>
      <c r="I202" s="409">
        <v>10</v>
      </c>
      <c r="J202" s="405" t="s">
        <v>543</v>
      </c>
      <c r="K202" s="410">
        <v>18455</v>
      </c>
      <c r="L202" s="409" t="s">
        <v>560</v>
      </c>
      <c r="M202" s="411"/>
      <c r="N202" s="409"/>
      <c r="O202" s="412"/>
      <c r="P202" s="413">
        <v>46142</v>
      </c>
      <c r="Q202" s="306"/>
      <c r="R202" s="289" t="str">
        <f t="shared" si="4"/>
        <v/>
      </c>
      <c r="S202" s="241"/>
      <c r="AA202" s="281">
        <v>925</v>
      </c>
    </row>
    <row r="203" spans="1:27" ht="18" customHeight="1">
      <c r="A203" s="403">
        <v>39016</v>
      </c>
      <c r="B203" s="404">
        <v>72701</v>
      </c>
      <c r="C203" s="405" t="s">
        <v>41</v>
      </c>
      <c r="D203" s="403">
        <v>2</v>
      </c>
      <c r="E203" s="406" t="s">
        <v>544</v>
      </c>
      <c r="F203" s="403"/>
      <c r="G203" s="407" t="s">
        <v>303</v>
      </c>
      <c r="H203" s="408">
        <v>45898</v>
      </c>
      <c r="I203" s="409">
        <v>11</v>
      </c>
      <c r="J203" s="405" t="s">
        <v>545</v>
      </c>
      <c r="K203" s="410">
        <v>775</v>
      </c>
      <c r="L203" s="409" t="s">
        <v>560</v>
      </c>
      <c r="M203" s="411"/>
      <c r="N203" s="409"/>
      <c r="O203" s="412"/>
      <c r="P203" s="413">
        <v>46142</v>
      </c>
      <c r="Q203" s="306"/>
      <c r="R203" s="289" t="str">
        <f t="shared" si="4"/>
        <v/>
      </c>
      <c r="S203" s="241"/>
      <c r="AA203" s="281">
        <v>926</v>
      </c>
    </row>
    <row r="204" spans="1:27" ht="18" customHeight="1">
      <c r="A204" s="403">
        <v>39016</v>
      </c>
      <c r="B204" s="404">
        <v>72702</v>
      </c>
      <c r="C204" s="405" t="s">
        <v>41</v>
      </c>
      <c r="D204" s="403">
        <v>2</v>
      </c>
      <c r="E204" s="406" t="s">
        <v>546</v>
      </c>
      <c r="F204" s="403"/>
      <c r="G204" s="407" t="s">
        <v>303</v>
      </c>
      <c r="H204" s="408">
        <v>45898</v>
      </c>
      <c r="I204" s="409">
        <v>12</v>
      </c>
      <c r="J204" s="405" t="s">
        <v>547</v>
      </c>
      <c r="K204" s="410">
        <v>6408</v>
      </c>
      <c r="L204" s="409" t="s">
        <v>560</v>
      </c>
      <c r="M204" s="411"/>
      <c r="N204" s="409"/>
      <c r="O204" s="412"/>
      <c r="P204" s="413">
        <v>46142</v>
      </c>
      <c r="Q204" s="306"/>
      <c r="R204" s="289" t="str">
        <f t="shared" si="4"/>
        <v/>
      </c>
      <c r="S204" s="241"/>
      <c r="AA204" s="281">
        <v>927</v>
      </c>
    </row>
    <row r="205" spans="1:27" ht="18" customHeight="1">
      <c r="A205" s="403">
        <v>39016</v>
      </c>
      <c r="B205" s="404">
        <v>72703</v>
      </c>
      <c r="C205" s="405" t="s">
        <v>41</v>
      </c>
      <c r="D205" s="403">
        <v>2</v>
      </c>
      <c r="E205" s="406" t="s">
        <v>548</v>
      </c>
      <c r="F205" s="403"/>
      <c r="G205" s="407" t="s">
        <v>303</v>
      </c>
      <c r="H205" s="408">
        <v>45898</v>
      </c>
      <c r="I205" s="409">
        <v>13</v>
      </c>
      <c r="J205" s="405" t="s">
        <v>549</v>
      </c>
      <c r="K205" s="410">
        <v>2057</v>
      </c>
      <c r="L205" s="409" t="s">
        <v>560</v>
      </c>
      <c r="M205" s="411"/>
      <c r="N205" s="409"/>
      <c r="O205" s="412"/>
      <c r="P205" s="413">
        <v>46142</v>
      </c>
      <c r="Q205" s="306"/>
      <c r="R205" s="289" t="str">
        <f t="shared" si="4"/>
        <v/>
      </c>
      <c r="S205" s="241"/>
      <c r="AA205" s="281">
        <v>1092</v>
      </c>
    </row>
    <row r="206" spans="1:27" ht="18" customHeight="1">
      <c r="A206" s="403">
        <v>39016</v>
      </c>
      <c r="B206" s="404">
        <v>72704</v>
      </c>
      <c r="C206" s="405" t="s">
        <v>41</v>
      </c>
      <c r="D206" s="403">
        <v>2</v>
      </c>
      <c r="E206" s="406" t="s">
        <v>550</v>
      </c>
      <c r="F206" s="403"/>
      <c r="G206" s="407" t="s">
        <v>303</v>
      </c>
      <c r="H206" s="408">
        <v>45898</v>
      </c>
      <c r="I206" s="409">
        <v>14</v>
      </c>
      <c r="J206" s="405" t="s">
        <v>551</v>
      </c>
      <c r="K206" s="410">
        <v>70664</v>
      </c>
      <c r="L206" s="409" t="s">
        <v>560</v>
      </c>
      <c r="M206" s="411"/>
      <c r="N206" s="409"/>
      <c r="O206" s="412"/>
      <c r="P206" s="413">
        <v>46142</v>
      </c>
      <c r="Q206" s="306"/>
      <c r="R206" s="289" t="str">
        <f t="shared" si="4"/>
        <v/>
      </c>
      <c r="S206" s="241"/>
      <c r="AA206" s="281">
        <v>937</v>
      </c>
    </row>
    <row r="207" spans="1:27" ht="18" customHeight="1">
      <c r="A207" s="403">
        <v>39016</v>
      </c>
      <c r="B207" s="404">
        <v>72705</v>
      </c>
      <c r="C207" s="405" t="s">
        <v>41</v>
      </c>
      <c r="D207" s="403">
        <v>2</v>
      </c>
      <c r="E207" s="406" t="s">
        <v>552</v>
      </c>
      <c r="F207" s="403"/>
      <c r="G207" s="407" t="s">
        <v>303</v>
      </c>
      <c r="H207" s="408">
        <v>45898</v>
      </c>
      <c r="I207" s="409">
        <v>15</v>
      </c>
      <c r="J207" s="405" t="s">
        <v>553</v>
      </c>
      <c r="K207" s="410">
        <v>6646</v>
      </c>
      <c r="L207" s="409" t="s">
        <v>560</v>
      </c>
      <c r="M207" s="411"/>
      <c r="N207" s="409"/>
      <c r="O207" s="412"/>
      <c r="P207" s="413">
        <v>46142</v>
      </c>
      <c r="Q207" s="306"/>
      <c r="R207" s="289" t="str">
        <f t="shared" si="4"/>
        <v/>
      </c>
      <c r="S207" s="241"/>
      <c r="AA207" s="281">
        <v>938</v>
      </c>
    </row>
    <row r="208" spans="1:27" ht="18" customHeight="1">
      <c r="A208" s="403">
        <v>39016</v>
      </c>
      <c r="B208" s="404">
        <v>72706</v>
      </c>
      <c r="C208" s="405" t="s">
        <v>41</v>
      </c>
      <c r="D208" s="403">
        <v>2</v>
      </c>
      <c r="E208" s="406" t="s">
        <v>554</v>
      </c>
      <c r="F208" s="403"/>
      <c r="G208" s="407" t="s">
        <v>303</v>
      </c>
      <c r="H208" s="408">
        <v>45898</v>
      </c>
      <c r="I208" s="409">
        <v>16</v>
      </c>
      <c r="J208" s="405" t="s">
        <v>555</v>
      </c>
      <c r="K208" s="410">
        <v>660</v>
      </c>
      <c r="L208" s="409" t="s">
        <v>560</v>
      </c>
      <c r="M208" s="411"/>
      <c r="N208" s="409"/>
      <c r="O208" s="412"/>
      <c r="P208" s="413">
        <v>46142</v>
      </c>
      <c r="Q208" s="306"/>
      <c r="R208" s="289" t="str">
        <f t="shared" si="4"/>
        <v/>
      </c>
      <c r="S208" s="241"/>
      <c r="AA208" s="281">
        <v>939</v>
      </c>
    </row>
    <row r="209" spans="1:27" ht="18" customHeight="1">
      <c r="A209" s="403">
        <v>39016</v>
      </c>
      <c r="B209" s="404">
        <v>72707</v>
      </c>
      <c r="C209" s="405" t="s">
        <v>41</v>
      </c>
      <c r="D209" s="403">
        <v>2</v>
      </c>
      <c r="E209" s="406" t="s">
        <v>556</v>
      </c>
      <c r="F209" s="403"/>
      <c r="G209" s="407" t="s">
        <v>303</v>
      </c>
      <c r="H209" s="408">
        <v>45898</v>
      </c>
      <c r="I209" s="409">
        <v>17</v>
      </c>
      <c r="J209" s="405" t="s">
        <v>557</v>
      </c>
      <c r="K209" s="410">
        <v>662</v>
      </c>
      <c r="L209" s="409" t="s">
        <v>560</v>
      </c>
      <c r="M209" s="411"/>
      <c r="N209" s="409"/>
      <c r="O209" s="412"/>
      <c r="P209" s="413">
        <v>46142</v>
      </c>
      <c r="Q209" s="306"/>
      <c r="R209" s="289" t="str">
        <f t="shared" si="4"/>
        <v/>
      </c>
      <c r="S209" s="241"/>
      <c r="AA209" s="281">
        <v>940</v>
      </c>
    </row>
    <row r="210" spans="1:27" ht="18" customHeight="1">
      <c r="A210" s="403">
        <v>39016</v>
      </c>
      <c r="B210" s="404">
        <v>72708</v>
      </c>
      <c r="C210" s="405" t="s">
        <v>41</v>
      </c>
      <c r="D210" s="403">
        <v>2</v>
      </c>
      <c r="E210" s="406" t="s">
        <v>558</v>
      </c>
      <c r="F210" s="403"/>
      <c r="G210" s="407" t="s">
        <v>303</v>
      </c>
      <c r="H210" s="408">
        <v>45898</v>
      </c>
      <c r="I210" s="409">
        <v>18</v>
      </c>
      <c r="J210" s="405" t="s">
        <v>559</v>
      </c>
      <c r="K210" s="410">
        <v>657</v>
      </c>
      <c r="L210" s="409" t="s">
        <v>560</v>
      </c>
      <c r="M210" s="411"/>
      <c r="N210" s="409"/>
      <c r="O210" s="412"/>
      <c r="P210" s="413">
        <v>46142</v>
      </c>
      <c r="Q210" s="306"/>
      <c r="R210" s="289" t="str">
        <f t="shared" si="4"/>
        <v/>
      </c>
      <c r="S210" s="241"/>
      <c r="AA210" s="281">
        <v>941</v>
      </c>
    </row>
    <row r="211" spans="1:27" ht="18" customHeight="1">
      <c r="A211" s="298"/>
      <c r="B211" s="299"/>
      <c r="C211" s="241"/>
      <c r="D211" s="298"/>
      <c r="E211" s="300"/>
      <c r="F211" s="298"/>
      <c r="G211" s="241"/>
      <c r="H211" s="302"/>
      <c r="J211" s="241"/>
      <c r="M211" s="303"/>
      <c r="N211" s="281"/>
      <c r="O211" s="304"/>
      <c r="P211" s="305"/>
      <c r="Q211" s="306"/>
      <c r="R211" s="289" t="str">
        <f t="shared" si="4"/>
        <v/>
      </c>
      <c r="S211" s="241"/>
      <c r="AA211" s="281">
        <v>942</v>
      </c>
    </row>
    <row r="212" spans="1:27" ht="18.600000000000001" customHeight="1">
      <c r="A212" s="298">
        <v>39020</v>
      </c>
      <c r="B212" s="299">
        <v>72712</v>
      </c>
      <c r="C212" s="241" t="s">
        <v>168</v>
      </c>
      <c r="D212" s="298">
        <v>3</v>
      </c>
      <c r="E212" s="300" t="s">
        <v>562</v>
      </c>
      <c r="F212" s="298"/>
      <c r="G212" s="241" t="s">
        <v>382</v>
      </c>
      <c r="H212" s="302">
        <v>45904</v>
      </c>
      <c r="I212" s="281">
        <v>10</v>
      </c>
      <c r="J212" s="241" t="s">
        <v>563</v>
      </c>
      <c r="K212" s="284">
        <v>1233</v>
      </c>
      <c r="L212" s="281">
        <v>700547896</v>
      </c>
      <c r="M212" s="303"/>
      <c r="N212" s="281"/>
      <c r="O212" s="304"/>
      <c r="P212" s="390">
        <v>46000</v>
      </c>
      <c r="Q212" s="306"/>
      <c r="R212" s="289" t="str">
        <f t="shared" si="4"/>
        <v/>
      </c>
      <c r="S212" s="241"/>
      <c r="AA212" s="281">
        <v>943</v>
      </c>
    </row>
    <row r="213" spans="1:27" ht="18.600000000000001" customHeight="1">
      <c r="A213" s="298"/>
      <c r="B213" s="299"/>
      <c r="C213" s="241"/>
      <c r="D213" s="298"/>
      <c r="E213" s="300"/>
      <c r="F213" s="298"/>
      <c r="G213" s="241"/>
      <c r="H213" s="302"/>
      <c r="J213" s="241"/>
      <c r="M213" s="303"/>
      <c r="N213" s="281"/>
      <c r="O213" s="304"/>
      <c r="P213" s="305"/>
      <c r="Q213" s="306"/>
      <c r="R213" s="289" t="str">
        <f t="shared" si="4"/>
        <v/>
      </c>
      <c r="S213" s="241"/>
      <c r="AA213" s="281">
        <v>944</v>
      </c>
    </row>
    <row r="214" spans="1:27" ht="18.600000000000001" customHeight="1">
      <c r="A214" s="298">
        <v>39021</v>
      </c>
      <c r="B214" s="299">
        <v>72713</v>
      </c>
      <c r="C214" s="241" t="s">
        <v>41</v>
      </c>
      <c r="D214" s="298">
        <v>1</v>
      </c>
      <c r="E214" s="300" t="s">
        <v>564</v>
      </c>
      <c r="F214" s="298"/>
      <c r="G214" s="388" t="s">
        <v>565</v>
      </c>
      <c r="H214" s="302">
        <v>45908</v>
      </c>
      <c r="I214" s="281">
        <v>1</v>
      </c>
      <c r="J214" s="241" t="s">
        <v>566</v>
      </c>
      <c r="K214" s="284">
        <v>25379</v>
      </c>
      <c r="L214" s="281" t="s">
        <v>593</v>
      </c>
      <c r="M214" s="303"/>
      <c r="N214" s="281"/>
      <c r="O214" s="304"/>
      <c r="P214" s="414">
        <v>46097</v>
      </c>
      <c r="Q214" s="306"/>
      <c r="R214" s="289" t="str">
        <f t="shared" si="4"/>
        <v/>
      </c>
      <c r="S214" s="241"/>
      <c r="AA214" s="281">
        <v>945</v>
      </c>
    </row>
    <row r="215" spans="1:27" ht="18.600000000000001" customHeight="1">
      <c r="A215" s="298">
        <v>39021</v>
      </c>
      <c r="B215" s="299">
        <v>72714</v>
      </c>
      <c r="C215" s="241" t="s">
        <v>41</v>
      </c>
      <c r="D215" s="298">
        <v>1</v>
      </c>
      <c r="E215" s="300" t="s">
        <v>567</v>
      </c>
      <c r="F215" s="298"/>
      <c r="G215" s="388" t="s">
        <v>565</v>
      </c>
      <c r="H215" s="302">
        <v>45908</v>
      </c>
      <c r="I215" s="281">
        <v>2</v>
      </c>
      <c r="J215" s="241" t="s">
        <v>568</v>
      </c>
      <c r="K215" s="284">
        <v>5164</v>
      </c>
      <c r="L215" s="281" t="s">
        <v>593</v>
      </c>
      <c r="M215" s="303"/>
      <c r="N215" s="281"/>
      <c r="O215" s="304"/>
      <c r="P215" s="414">
        <v>46098</v>
      </c>
      <c r="Q215" s="306"/>
      <c r="R215" s="289" t="str">
        <f t="shared" si="4"/>
        <v/>
      </c>
      <c r="S215" s="241"/>
      <c r="AA215" s="281">
        <v>946</v>
      </c>
    </row>
    <row r="216" spans="1:27" ht="18.600000000000001" customHeight="1">
      <c r="A216" s="298">
        <v>39021</v>
      </c>
      <c r="B216" s="299">
        <v>72715</v>
      </c>
      <c r="C216" s="241" t="s">
        <v>41</v>
      </c>
      <c r="D216" s="298">
        <v>2</v>
      </c>
      <c r="E216" s="300" t="s">
        <v>569</v>
      </c>
      <c r="F216" s="298"/>
      <c r="G216" s="388" t="s">
        <v>565</v>
      </c>
      <c r="H216" s="302">
        <v>45908</v>
      </c>
      <c r="I216" s="281">
        <v>3</v>
      </c>
      <c r="J216" s="301" t="s">
        <v>570</v>
      </c>
      <c r="K216" s="284">
        <v>3278</v>
      </c>
      <c r="L216" s="281" t="s">
        <v>593</v>
      </c>
      <c r="M216" s="303"/>
      <c r="N216" s="281"/>
      <c r="O216" s="304"/>
      <c r="P216" s="414">
        <v>46099</v>
      </c>
      <c r="Q216" s="306"/>
      <c r="R216" s="289" t="str">
        <f t="shared" si="4"/>
        <v/>
      </c>
      <c r="S216" s="241"/>
      <c r="AA216" s="281">
        <v>947</v>
      </c>
    </row>
    <row r="217" spans="1:27" ht="18" customHeight="1">
      <c r="A217" s="298">
        <v>39021</v>
      </c>
      <c r="B217" s="299">
        <v>72716</v>
      </c>
      <c r="C217" s="241" t="s">
        <v>41</v>
      </c>
      <c r="D217" s="298">
        <v>1</v>
      </c>
      <c r="E217" s="300" t="s">
        <v>571</v>
      </c>
      <c r="F217" s="298"/>
      <c r="G217" s="388" t="s">
        <v>565</v>
      </c>
      <c r="H217" s="302">
        <v>45908</v>
      </c>
      <c r="I217" s="281">
        <v>4</v>
      </c>
      <c r="J217" s="241" t="s">
        <v>572</v>
      </c>
      <c r="K217" s="284">
        <v>12468</v>
      </c>
      <c r="L217" s="281" t="s">
        <v>593</v>
      </c>
      <c r="M217" s="303"/>
      <c r="N217" s="281"/>
      <c r="O217" s="304"/>
      <c r="P217" s="414">
        <v>46100</v>
      </c>
      <c r="Q217" s="306"/>
      <c r="R217" s="289" t="str">
        <f t="shared" si="4"/>
        <v/>
      </c>
      <c r="S217" s="241"/>
      <c r="AA217" s="281">
        <v>947</v>
      </c>
    </row>
    <row r="218" spans="1:27" ht="18" customHeight="1">
      <c r="A218" s="298">
        <v>39021</v>
      </c>
      <c r="B218" s="299">
        <v>72717</v>
      </c>
      <c r="C218" s="241" t="s">
        <v>41</v>
      </c>
      <c r="D218" s="298">
        <v>1</v>
      </c>
      <c r="E218" s="300" t="s">
        <v>573</v>
      </c>
      <c r="F218" s="298"/>
      <c r="G218" s="388" t="s">
        <v>565</v>
      </c>
      <c r="H218" s="302">
        <v>45908</v>
      </c>
      <c r="I218" s="281">
        <v>5</v>
      </c>
      <c r="J218" s="241" t="s">
        <v>574</v>
      </c>
      <c r="K218" s="284">
        <v>9166</v>
      </c>
      <c r="L218" s="281" t="s">
        <v>593</v>
      </c>
      <c r="M218" s="303"/>
      <c r="N218" s="281"/>
      <c r="O218" s="304"/>
      <c r="P218" s="414">
        <v>46101</v>
      </c>
      <c r="Q218" s="306"/>
      <c r="R218" s="289" t="str">
        <f t="shared" si="4"/>
        <v/>
      </c>
      <c r="S218" s="241"/>
      <c r="AA218" s="281">
        <v>947</v>
      </c>
    </row>
    <row r="219" spans="1:27" ht="18" customHeight="1">
      <c r="A219" s="298">
        <v>39021</v>
      </c>
      <c r="B219" s="299">
        <v>72718</v>
      </c>
      <c r="C219" s="241" t="s">
        <v>41</v>
      </c>
      <c r="D219" s="298">
        <v>1</v>
      </c>
      <c r="E219" s="300" t="s">
        <v>575</v>
      </c>
      <c r="F219" s="298"/>
      <c r="G219" s="388" t="s">
        <v>565</v>
      </c>
      <c r="H219" s="302">
        <v>45908</v>
      </c>
      <c r="I219" s="281">
        <v>6</v>
      </c>
      <c r="J219" s="241" t="s">
        <v>576</v>
      </c>
      <c r="K219" s="284">
        <v>26145</v>
      </c>
      <c r="L219" s="281" t="s">
        <v>593</v>
      </c>
      <c r="M219" s="303"/>
      <c r="N219" s="281"/>
      <c r="O219" s="304"/>
      <c r="P219" s="414">
        <v>46102</v>
      </c>
      <c r="Q219" s="306"/>
      <c r="R219" s="289" t="str">
        <f t="shared" si="4"/>
        <v/>
      </c>
      <c r="S219" s="241"/>
      <c r="AA219" s="281">
        <v>949</v>
      </c>
    </row>
    <row r="220" spans="1:27" ht="18" customHeight="1">
      <c r="A220" s="298">
        <v>39021</v>
      </c>
      <c r="B220" s="299">
        <v>72719</v>
      </c>
      <c r="C220" s="241" t="s">
        <v>41</v>
      </c>
      <c r="D220" s="298">
        <v>1</v>
      </c>
      <c r="E220" s="300" t="s">
        <v>577</v>
      </c>
      <c r="F220" s="298"/>
      <c r="G220" s="388" t="s">
        <v>565</v>
      </c>
      <c r="H220" s="302">
        <v>45908</v>
      </c>
      <c r="I220" s="281">
        <v>7</v>
      </c>
      <c r="J220" s="241" t="s">
        <v>578</v>
      </c>
      <c r="K220" s="284">
        <v>85101</v>
      </c>
      <c r="L220" s="281" t="s">
        <v>593</v>
      </c>
      <c r="M220" s="303"/>
      <c r="N220" s="281"/>
      <c r="O220" s="304"/>
      <c r="P220" s="414">
        <v>46103</v>
      </c>
      <c r="Q220" s="306"/>
      <c r="R220" s="289" t="str">
        <f t="shared" si="4"/>
        <v/>
      </c>
      <c r="S220" s="241"/>
      <c r="AA220" s="281">
        <v>951</v>
      </c>
    </row>
    <row r="221" spans="1:27" ht="18" customHeight="1">
      <c r="A221" s="298">
        <v>39021</v>
      </c>
      <c r="B221" s="299">
        <v>72720</v>
      </c>
      <c r="C221" s="241" t="s">
        <v>41</v>
      </c>
      <c r="D221" s="298">
        <v>1</v>
      </c>
      <c r="E221" s="300" t="s">
        <v>579</v>
      </c>
      <c r="F221" s="298"/>
      <c r="G221" s="388" t="s">
        <v>565</v>
      </c>
      <c r="H221" s="302">
        <v>45908</v>
      </c>
      <c r="I221" s="281">
        <v>8</v>
      </c>
      <c r="J221" s="241" t="s">
        <v>580</v>
      </c>
      <c r="K221" s="284">
        <v>83447</v>
      </c>
      <c r="L221" s="281" t="s">
        <v>593</v>
      </c>
      <c r="M221" s="303"/>
      <c r="N221" s="281"/>
      <c r="O221" s="304"/>
      <c r="P221" s="414">
        <v>46104</v>
      </c>
      <c r="Q221" s="306"/>
      <c r="R221" s="289" t="str">
        <f t="shared" si="4"/>
        <v/>
      </c>
      <c r="S221" s="241"/>
      <c r="AA221" s="281">
        <v>952</v>
      </c>
    </row>
    <row r="222" spans="1:27" ht="18" customHeight="1">
      <c r="A222" s="298">
        <v>39021</v>
      </c>
      <c r="B222" s="299">
        <v>72721</v>
      </c>
      <c r="C222" s="241" t="s">
        <v>41</v>
      </c>
      <c r="D222" s="298">
        <v>1</v>
      </c>
      <c r="E222" s="300" t="s">
        <v>581</v>
      </c>
      <c r="F222" s="298"/>
      <c r="G222" s="388" t="s">
        <v>565</v>
      </c>
      <c r="H222" s="302">
        <v>45908</v>
      </c>
      <c r="I222" s="281">
        <v>9</v>
      </c>
      <c r="J222" s="241" t="s">
        <v>582</v>
      </c>
      <c r="K222" s="284">
        <v>9079</v>
      </c>
      <c r="L222" s="281" t="s">
        <v>593</v>
      </c>
      <c r="M222" s="303"/>
      <c r="N222" s="281"/>
      <c r="O222" s="304"/>
      <c r="P222" s="414">
        <v>46105</v>
      </c>
      <c r="Q222" s="306"/>
      <c r="R222" s="289" t="str">
        <f t="shared" si="4"/>
        <v/>
      </c>
      <c r="S222" s="241"/>
      <c r="AA222" s="281">
        <v>954</v>
      </c>
    </row>
    <row r="223" spans="1:27" ht="18" customHeight="1">
      <c r="A223" s="298">
        <v>39021</v>
      </c>
      <c r="B223" s="299">
        <v>72722</v>
      </c>
      <c r="C223" s="241" t="s">
        <v>41</v>
      </c>
      <c r="D223" s="298">
        <v>2</v>
      </c>
      <c r="E223" s="300" t="s">
        <v>583</v>
      </c>
      <c r="F223" s="298"/>
      <c r="G223" s="388" t="s">
        <v>565</v>
      </c>
      <c r="H223" s="302">
        <v>45908</v>
      </c>
      <c r="I223" s="281">
        <v>10</v>
      </c>
      <c r="J223" s="241" t="s">
        <v>584</v>
      </c>
      <c r="K223" s="284">
        <v>1964</v>
      </c>
      <c r="L223" s="281" t="s">
        <v>593</v>
      </c>
      <c r="M223" s="303"/>
      <c r="N223" s="281"/>
      <c r="O223" s="304"/>
      <c r="P223" s="414">
        <v>46106</v>
      </c>
      <c r="Q223" s="306"/>
      <c r="R223" s="289" t="str">
        <f t="shared" si="4"/>
        <v/>
      </c>
      <c r="S223" s="241"/>
      <c r="AA223" s="281">
        <v>956</v>
      </c>
    </row>
    <row r="224" spans="1:27" ht="18" customHeight="1">
      <c r="A224" s="298">
        <v>39021</v>
      </c>
      <c r="B224" s="299">
        <v>72723</v>
      </c>
      <c r="C224" s="241" t="s">
        <v>41</v>
      </c>
      <c r="D224" s="298">
        <v>1</v>
      </c>
      <c r="E224" s="300" t="s">
        <v>585</v>
      </c>
      <c r="F224" s="298"/>
      <c r="G224" s="388" t="s">
        <v>565</v>
      </c>
      <c r="H224" s="302">
        <v>45908</v>
      </c>
      <c r="I224" s="281">
        <v>11</v>
      </c>
      <c r="J224" s="241" t="s">
        <v>586</v>
      </c>
      <c r="K224" s="284">
        <v>4397</v>
      </c>
      <c r="L224" s="281" t="s">
        <v>593</v>
      </c>
      <c r="M224" s="303"/>
      <c r="N224" s="281"/>
      <c r="O224" s="304"/>
      <c r="P224" s="414">
        <v>46107</v>
      </c>
      <c r="Q224" s="306"/>
      <c r="R224" s="289" t="str">
        <f t="shared" si="4"/>
        <v/>
      </c>
      <c r="S224" s="241"/>
      <c r="AA224" s="281">
        <v>957</v>
      </c>
    </row>
    <row r="225" spans="1:27" ht="18" customHeight="1">
      <c r="A225" s="298">
        <v>39021</v>
      </c>
      <c r="B225" s="299">
        <v>72724</v>
      </c>
      <c r="C225" s="241" t="s">
        <v>41</v>
      </c>
      <c r="D225" s="298">
        <v>1</v>
      </c>
      <c r="E225" s="300" t="s">
        <v>587</v>
      </c>
      <c r="F225" s="298"/>
      <c r="G225" s="388" t="s">
        <v>565</v>
      </c>
      <c r="H225" s="302">
        <v>45908</v>
      </c>
      <c r="I225" s="281">
        <v>12</v>
      </c>
      <c r="J225" s="241" t="s">
        <v>588</v>
      </c>
      <c r="K225" s="284">
        <v>6305</v>
      </c>
      <c r="L225" s="281" t="s">
        <v>593</v>
      </c>
      <c r="M225" s="303"/>
      <c r="N225" s="281"/>
      <c r="O225" s="304"/>
      <c r="P225" s="414">
        <v>46108</v>
      </c>
      <c r="Q225" s="306"/>
      <c r="R225" s="289" t="str">
        <f t="shared" si="4"/>
        <v/>
      </c>
      <c r="S225" s="241"/>
      <c r="AA225" s="281">
        <v>958</v>
      </c>
    </row>
    <row r="226" spans="1:27" ht="18" customHeight="1">
      <c r="A226" s="298">
        <v>39021</v>
      </c>
      <c r="B226" s="299">
        <v>72725</v>
      </c>
      <c r="C226" s="241" t="s">
        <v>41</v>
      </c>
      <c r="D226" s="298">
        <v>2</v>
      </c>
      <c r="E226" s="300" t="s">
        <v>589</v>
      </c>
      <c r="F226" s="298"/>
      <c r="G226" s="388" t="s">
        <v>565</v>
      </c>
      <c r="H226" s="302">
        <v>45908</v>
      </c>
      <c r="I226" s="281">
        <v>13</v>
      </c>
      <c r="J226" s="241" t="s">
        <v>590</v>
      </c>
      <c r="K226" s="284">
        <v>2867</v>
      </c>
      <c r="L226" s="281" t="s">
        <v>593</v>
      </c>
      <c r="M226" s="303"/>
      <c r="N226" s="281"/>
      <c r="O226" s="304"/>
      <c r="P226" s="414">
        <v>46109</v>
      </c>
      <c r="Q226" s="306"/>
      <c r="R226" s="289" t="str">
        <f t="shared" si="4"/>
        <v/>
      </c>
      <c r="S226" s="241"/>
      <c r="AA226" s="281">
        <v>959</v>
      </c>
    </row>
    <row r="227" spans="1:27" ht="18" customHeight="1">
      <c r="A227" s="298">
        <v>39021</v>
      </c>
      <c r="B227" s="299">
        <v>72726</v>
      </c>
      <c r="C227" s="241" t="s">
        <v>41</v>
      </c>
      <c r="D227" s="298">
        <v>2</v>
      </c>
      <c r="E227" s="300" t="s">
        <v>591</v>
      </c>
      <c r="F227" s="298"/>
      <c r="G227" s="388" t="s">
        <v>565</v>
      </c>
      <c r="H227" s="302">
        <v>45908</v>
      </c>
      <c r="I227" s="281">
        <v>14</v>
      </c>
      <c r="J227" s="241" t="s">
        <v>592</v>
      </c>
      <c r="K227" s="284">
        <v>2867</v>
      </c>
      <c r="L227" s="281" t="s">
        <v>593</v>
      </c>
      <c r="M227" s="303"/>
      <c r="N227" s="281"/>
      <c r="O227" s="304"/>
      <c r="P227" s="414">
        <v>46110</v>
      </c>
      <c r="Q227" s="306"/>
      <c r="R227" s="289" t="str">
        <f t="shared" si="4"/>
        <v/>
      </c>
      <c r="S227" s="241"/>
      <c r="AA227" s="281">
        <v>960</v>
      </c>
    </row>
    <row r="228" spans="1:27" ht="18" customHeight="1">
      <c r="A228" s="392">
        <v>39021</v>
      </c>
      <c r="B228" s="366">
        <v>73061</v>
      </c>
      <c r="C228" s="393" t="s">
        <v>41</v>
      </c>
      <c r="D228" s="392">
        <v>2</v>
      </c>
      <c r="E228" s="367" t="s">
        <v>569</v>
      </c>
      <c r="F228" s="392"/>
      <c r="G228" s="394" t="s">
        <v>565</v>
      </c>
      <c r="H228" s="395">
        <v>46048</v>
      </c>
      <c r="I228" s="415" t="s">
        <v>765</v>
      </c>
      <c r="J228" s="416" t="s">
        <v>570</v>
      </c>
      <c r="K228" s="397">
        <v>3278</v>
      </c>
      <c r="L228" s="417" t="s">
        <v>772</v>
      </c>
      <c r="M228" s="303"/>
      <c r="N228" s="281"/>
      <c r="O228" s="304"/>
      <c r="P228" s="418">
        <v>46220</v>
      </c>
      <c r="Q228" s="306"/>
      <c r="R228" s="289"/>
      <c r="S228" s="241"/>
      <c r="AA228" s="281">
        <v>962</v>
      </c>
    </row>
    <row r="229" spans="1:27" ht="18" customHeight="1">
      <c r="A229" s="392">
        <v>39021</v>
      </c>
      <c r="B229" s="366">
        <v>73062</v>
      </c>
      <c r="C229" s="393" t="s">
        <v>41</v>
      </c>
      <c r="D229" s="392">
        <v>1</v>
      </c>
      <c r="E229" s="367" t="s">
        <v>585</v>
      </c>
      <c r="F229" s="392"/>
      <c r="G229" s="394" t="s">
        <v>565</v>
      </c>
      <c r="H229" s="395">
        <v>46048</v>
      </c>
      <c r="I229" s="415" t="s">
        <v>773</v>
      </c>
      <c r="J229" s="393" t="s">
        <v>586</v>
      </c>
      <c r="K229" s="397">
        <v>4397</v>
      </c>
      <c r="L229" s="417" t="s">
        <v>772</v>
      </c>
      <c r="M229" s="303"/>
      <c r="N229" s="281"/>
      <c r="O229" s="304"/>
      <c r="P229" s="418">
        <v>46220</v>
      </c>
      <c r="Q229" s="306"/>
      <c r="R229" s="289"/>
      <c r="S229" s="241"/>
      <c r="AA229" s="281">
        <v>964</v>
      </c>
    </row>
    <row r="230" spans="1:27" ht="18" customHeight="1">
      <c r="A230" s="298"/>
      <c r="B230" s="299"/>
      <c r="C230" s="241"/>
      <c r="D230" s="298"/>
      <c r="E230" s="300"/>
      <c r="F230" s="298"/>
      <c r="G230" s="241"/>
      <c r="H230" s="302"/>
      <c r="J230" s="241"/>
      <c r="M230" s="303"/>
      <c r="N230" s="281"/>
      <c r="O230" s="304"/>
      <c r="P230" s="305"/>
      <c r="Q230" s="306"/>
      <c r="R230" s="289" t="str">
        <f t="shared" si="4"/>
        <v/>
      </c>
      <c r="S230" s="241"/>
      <c r="AA230" s="281">
        <v>965</v>
      </c>
    </row>
    <row r="231" spans="1:27" ht="18" customHeight="1">
      <c r="A231" s="298">
        <v>39023</v>
      </c>
      <c r="B231" s="299">
        <v>72728</v>
      </c>
      <c r="C231" s="241" t="s">
        <v>41</v>
      </c>
      <c r="D231" s="298">
        <v>1</v>
      </c>
      <c r="E231" s="300" t="s">
        <v>596</v>
      </c>
      <c r="F231" s="298"/>
      <c r="G231" s="241" t="s">
        <v>594</v>
      </c>
      <c r="H231" s="302">
        <v>45922</v>
      </c>
      <c r="I231" s="281">
        <v>1</v>
      </c>
      <c r="J231" s="241" t="s">
        <v>629</v>
      </c>
      <c r="K231" s="284">
        <v>297681</v>
      </c>
      <c r="L231" s="281" t="s">
        <v>639</v>
      </c>
      <c r="M231" s="303"/>
      <c r="N231" s="281"/>
      <c r="O231" s="304"/>
      <c r="P231" s="390">
        <v>45712</v>
      </c>
      <c r="Q231" s="306"/>
      <c r="R231" s="289" t="str">
        <f t="shared" si="4"/>
        <v/>
      </c>
      <c r="S231" s="241"/>
      <c r="AA231" s="281">
        <v>966</v>
      </c>
    </row>
    <row r="232" spans="1:27" ht="18" customHeight="1">
      <c r="A232" s="298">
        <v>39023</v>
      </c>
      <c r="B232" s="299">
        <v>72729</v>
      </c>
      <c r="C232" s="241" t="s">
        <v>41</v>
      </c>
      <c r="D232" s="298" t="s">
        <v>595</v>
      </c>
      <c r="E232" s="300" t="s">
        <v>596</v>
      </c>
      <c r="F232" s="298"/>
      <c r="G232" s="241" t="s">
        <v>594</v>
      </c>
      <c r="H232" s="302">
        <v>45922</v>
      </c>
      <c r="I232" s="281" t="s">
        <v>774</v>
      </c>
      <c r="J232" s="241" t="s">
        <v>630</v>
      </c>
      <c r="K232" s="284">
        <v>317378</v>
      </c>
      <c r="L232" s="281" t="s">
        <v>639</v>
      </c>
      <c r="M232" s="303"/>
      <c r="N232" s="281"/>
      <c r="O232" s="304"/>
      <c r="P232" s="390">
        <v>45712</v>
      </c>
      <c r="Q232" s="306"/>
      <c r="R232" s="289" t="str">
        <f t="shared" si="4"/>
        <v/>
      </c>
      <c r="S232" s="241"/>
      <c r="AA232" s="281">
        <v>977</v>
      </c>
    </row>
    <row r="233" spans="1:27" ht="18" customHeight="1">
      <c r="A233" s="298">
        <v>39023</v>
      </c>
      <c r="B233" s="299">
        <v>72730</v>
      </c>
      <c r="C233" s="241" t="s">
        <v>41</v>
      </c>
      <c r="D233" s="298">
        <v>2</v>
      </c>
      <c r="E233" s="300" t="s">
        <v>597</v>
      </c>
      <c r="F233" s="298"/>
      <c r="G233" s="241" t="s">
        <v>594</v>
      </c>
      <c r="H233" s="302">
        <v>45922</v>
      </c>
      <c r="I233" s="281">
        <v>3</v>
      </c>
      <c r="J233" s="241" t="s">
        <v>598</v>
      </c>
      <c r="K233" s="284">
        <v>274203</v>
      </c>
      <c r="L233" s="281" t="s">
        <v>639</v>
      </c>
      <c r="M233" s="303"/>
      <c r="N233" s="281"/>
      <c r="O233" s="304"/>
      <c r="P233" s="390">
        <v>45712</v>
      </c>
      <c r="Q233" s="306"/>
      <c r="R233" s="289" t="str">
        <f t="shared" si="4"/>
        <v/>
      </c>
      <c r="S233" s="241"/>
      <c r="AA233" s="281">
        <v>967</v>
      </c>
    </row>
    <row r="234" spans="1:27" ht="18" customHeight="1">
      <c r="A234" s="298">
        <v>39023</v>
      </c>
      <c r="B234" s="299">
        <v>72731</v>
      </c>
      <c r="C234" s="241" t="s">
        <v>41</v>
      </c>
      <c r="D234" s="298">
        <v>1</v>
      </c>
      <c r="E234" s="300" t="s">
        <v>600</v>
      </c>
      <c r="F234" s="298"/>
      <c r="G234" s="241" t="s">
        <v>594</v>
      </c>
      <c r="H234" s="302">
        <v>45922</v>
      </c>
      <c r="I234" s="281">
        <v>4</v>
      </c>
      <c r="J234" s="241" t="s">
        <v>602</v>
      </c>
      <c r="K234" s="284">
        <v>207317</v>
      </c>
      <c r="L234" s="281" t="s">
        <v>639</v>
      </c>
      <c r="M234" s="303"/>
      <c r="N234" s="281"/>
      <c r="O234" s="304"/>
      <c r="P234" s="390">
        <v>45712</v>
      </c>
      <c r="Q234" s="306"/>
      <c r="R234" s="289" t="str">
        <f t="shared" si="4"/>
        <v/>
      </c>
      <c r="S234" s="241"/>
      <c r="AA234" s="281">
        <v>968</v>
      </c>
    </row>
    <row r="235" spans="1:27" ht="18" customHeight="1">
      <c r="A235" s="298">
        <v>39023</v>
      </c>
      <c r="B235" s="299">
        <v>72732</v>
      </c>
      <c r="C235" s="241" t="s">
        <v>41</v>
      </c>
      <c r="D235" s="298">
        <v>1</v>
      </c>
      <c r="E235" s="300" t="s">
        <v>599</v>
      </c>
      <c r="F235" s="298"/>
      <c r="G235" s="241" t="s">
        <v>594</v>
      </c>
      <c r="H235" s="302">
        <v>45922</v>
      </c>
      <c r="I235" s="281">
        <v>5</v>
      </c>
      <c r="J235" s="241" t="s">
        <v>601</v>
      </c>
      <c r="K235" s="284">
        <v>339127</v>
      </c>
      <c r="L235" s="281" t="s">
        <v>639</v>
      </c>
      <c r="M235" s="303"/>
      <c r="N235" s="281"/>
      <c r="O235" s="304"/>
      <c r="P235" s="390">
        <v>45712</v>
      </c>
      <c r="Q235" s="306"/>
      <c r="R235" s="289" t="str">
        <f t="shared" si="4"/>
        <v/>
      </c>
      <c r="S235" s="241"/>
      <c r="AA235" s="281">
        <v>969</v>
      </c>
    </row>
    <row r="236" spans="1:27" ht="18" customHeight="1">
      <c r="A236" s="298">
        <v>39023</v>
      </c>
      <c r="B236" s="299">
        <v>72733</v>
      </c>
      <c r="C236" s="241" t="s">
        <v>41</v>
      </c>
      <c r="D236" s="298">
        <v>1</v>
      </c>
      <c r="E236" s="300" t="s">
        <v>603</v>
      </c>
      <c r="F236" s="298"/>
      <c r="G236" s="241" t="s">
        <v>594</v>
      </c>
      <c r="H236" s="302">
        <v>45922</v>
      </c>
      <c r="I236" s="281">
        <v>6</v>
      </c>
      <c r="J236" s="241" t="s">
        <v>604</v>
      </c>
      <c r="K236" s="284">
        <v>812</v>
      </c>
      <c r="L236" s="281" t="s">
        <v>639</v>
      </c>
      <c r="M236" s="303"/>
      <c r="N236" s="281"/>
      <c r="O236" s="304"/>
      <c r="P236" s="390">
        <v>45712</v>
      </c>
      <c r="Q236" s="306"/>
      <c r="R236" s="289" t="str">
        <f t="shared" si="4"/>
        <v/>
      </c>
      <c r="S236" s="241"/>
      <c r="AA236" s="281">
        <v>970</v>
      </c>
    </row>
    <row r="237" spans="1:27" ht="18" customHeight="1">
      <c r="A237" s="298">
        <v>39023</v>
      </c>
      <c r="B237" s="299">
        <v>72734</v>
      </c>
      <c r="C237" s="241" t="s">
        <v>41</v>
      </c>
      <c r="D237" s="298">
        <v>1</v>
      </c>
      <c r="E237" s="300" t="s">
        <v>605</v>
      </c>
      <c r="F237" s="298"/>
      <c r="G237" s="241" t="s">
        <v>594</v>
      </c>
      <c r="H237" s="302">
        <v>45922</v>
      </c>
      <c r="I237" s="281">
        <v>7</v>
      </c>
      <c r="J237" s="241" t="s">
        <v>606</v>
      </c>
      <c r="K237" s="284">
        <v>790</v>
      </c>
      <c r="L237" s="281" t="s">
        <v>639</v>
      </c>
      <c r="M237" s="303"/>
      <c r="N237" s="281"/>
      <c r="O237" s="304"/>
      <c r="P237" s="390">
        <v>45712</v>
      </c>
      <c r="Q237" s="306"/>
      <c r="R237" s="289" t="str">
        <f t="shared" si="4"/>
        <v/>
      </c>
      <c r="S237" s="241"/>
      <c r="AA237" s="281">
        <v>971</v>
      </c>
    </row>
    <row r="238" spans="1:27" ht="18" customHeight="1">
      <c r="A238" s="298">
        <v>39023</v>
      </c>
      <c r="B238" s="299">
        <v>72735</v>
      </c>
      <c r="C238" s="241" t="s">
        <v>41</v>
      </c>
      <c r="D238" s="298">
        <v>1</v>
      </c>
      <c r="E238" s="300" t="s">
        <v>607</v>
      </c>
      <c r="F238" s="298"/>
      <c r="G238" s="241" t="s">
        <v>594</v>
      </c>
      <c r="H238" s="302">
        <v>45922</v>
      </c>
      <c r="I238" s="281">
        <v>8</v>
      </c>
      <c r="J238" s="241" t="s">
        <v>608</v>
      </c>
      <c r="K238" s="284">
        <v>798</v>
      </c>
      <c r="L238" s="281" t="s">
        <v>639</v>
      </c>
      <c r="M238" s="303"/>
      <c r="N238" s="281"/>
      <c r="O238" s="304"/>
      <c r="P238" s="390">
        <v>45712</v>
      </c>
      <c r="Q238" s="306"/>
      <c r="R238" s="289" t="str">
        <f t="shared" si="4"/>
        <v/>
      </c>
      <c r="S238" s="241"/>
      <c r="AA238" s="281">
        <v>972</v>
      </c>
    </row>
    <row r="239" spans="1:27" ht="18" customHeight="1">
      <c r="A239" s="298">
        <v>39023</v>
      </c>
      <c r="B239" s="299">
        <v>72736</v>
      </c>
      <c r="C239" s="241" t="s">
        <v>41</v>
      </c>
      <c r="D239" s="298">
        <v>1</v>
      </c>
      <c r="E239" s="300" t="s">
        <v>609</v>
      </c>
      <c r="F239" s="298"/>
      <c r="G239" s="241" t="s">
        <v>594</v>
      </c>
      <c r="H239" s="302">
        <v>45922</v>
      </c>
      <c r="I239" s="281">
        <v>9</v>
      </c>
      <c r="J239" s="241" t="s">
        <v>610</v>
      </c>
      <c r="K239" s="284">
        <v>802</v>
      </c>
      <c r="L239" s="281" t="s">
        <v>639</v>
      </c>
      <c r="M239" s="303"/>
      <c r="N239" s="281"/>
      <c r="O239" s="304"/>
      <c r="P239" s="390">
        <v>45712</v>
      </c>
      <c r="Q239" s="306"/>
      <c r="R239" s="289" t="str">
        <f t="shared" si="4"/>
        <v/>
      </c>
      <c r="S239" s="241"/>
      <c r="AA239" s="281">
        <v>973</v>
      </c>
    </row>
    <row r="240" spans="1:27" ht="18" customHeight="1">
      <c r="A240" s="298"/>
      <c r="B240" s="299"/>
      <c r="C240" s="241"/>
      <c r="D240" s="298"/>
      <c r="E240" s="300"/>
      <c r="F240" s="298"/>
      <c r="G240" s="241"/>
      <c r="H240" s="302"/>
      <c r="J240" s="241"/>
      <c r="M240" s="303"/>
      <c r="N240" s="281"/>
      <c r="O240" s="304"/>
      <c r="P240" s="305"/>
      <c r="Q240" s="306"/>
      <c r="R240" s="289" t="str">
        <f t="shared" si="4"/>
        <v/>
      </c>
      <c r="S240" s="241"/>
      <c r="AA240" s="281">
        <v>978</v>
      </c>
    </row>
    <row r="241" spans="1:27" ht="18" customHeight="1">
      <c r="A241" s="298">
        <v>39040</v>
      </c>
      <c r="B241" s="299">
        <v>72753</v>
      </c>
      <c r="C241" s="241" t="s">
        <v>62</v>
      </c>
      <c r="D241" s="298">
        <v>1</v>
      </c>
      <c r="E241" s="300" t="s">
        <v>612</v>
      </c>
      <c r="F241" s="298"/>
      <c r="G241" s="388" t="s">
        <v>401</v>
      </c>
      <c r="H241" s="302">
        <v>45911</v>
      </c>
      <c r="I241" s="281">
        <v>1</v>
      </c>
      <c r="J241" s="241" t="s">
        <v>613</v>
      </c>
      <c r="K241" s="284">
        <v>139436</v>
      </c>
      <c r="L241" s="281" t="s">
        <v>614</v>
      </c>
      <c r="M241" s="303"/>
      <c r="N241" s="281"/>
      <c r="O241" s="304"/>
      <c r="P241" s="305">
        <v>46031</v>
      </c>
      <c r="Q241" s="306"/>
      <c r="R241" s="289" t="str">
        <f t="shared" si="4"/>
        <v/>
      </c>
      <c r="S241" s="241"/>
      <c r="AA241" s="281">
        <v>979</v>
      </c>
    </row>
    <row r="242" spans="1:27" ht="18" customHeight="1">
      <c r="A242" s="298"/>
      <c r="B242" s="299"/>
      <c r="C242" s="241"/>
      <c r="D242" s="298"/>
      <c r="E242" s="300"/>
      <c r="F242" s="298"/>
      <c r="G242" s="241"/>
      <c r="H242" s="302"/>
      <c r="J242" s="241"/>
      <c r="M242" s="303"/>
      <c r="N242" s="281"/>
      <c r="O242" s="304"/>
      <c r="P242" s="305"/>
      <c r="Q242" s="306"/>
      <c r="R242" s="289" t="str">
        <f t="shared" si="4"/>
        <v/>
      </c>
      <c r="S242" s="241"/>
      <c r="AA242" s="281">
        <v>981</v>
      </c>
    </row>
    <row r="243" spans="1:27" ht="18" customHeight="1">
      <c r="A243" s="298">
        <v>39058</v>
      </c>
      <c r="B243" s="299">
        <v>72775</v>
      </c>
      <c r="C243" s="241" t="s">
        <v>41</v>
      </c>
      <c r="D243" s="298">
        <v>6</v>
      </c>
      <c r="E243" s="300" t="s">
        <v>616</v>
      </c>
      <c r="F243" s="298"/>
      <c r="G243" s="241" t="s">
        <v>303</v>
      </c>
      <c r="H243" s="302">
        <v>45918</v>
      </c>
      <c r="I243" s="281">
        <v>1</v>
      </c>
      <c r="J243" s="241" t="s">
        <v>617</v>
      </c>
      <c r="K243" s="284">
        <v>8424</v>
      </c>
      <c r="L243" s="350" t="s">
        <v>693</v>
      </c>
      <c r="M243" s="419"/>
      <c r="N243" s="281"/>
      <c r="O243" s="304"/>
      <c r="P243" s="305">
        <v>46220</v>
      </c>
      <c r="Q243" s="306"/>
      <c r="R243" s="289" t="str">
        <f t="shared" si="4"/>
        <v/>
      </c>
      <c r="S243" s="241"/>
      <c r="AA243" s="281">
        <v>982</v>
      </c>
    </row>
    <row r="244" spans="1:27" ht="18" customHeight="1">
      <c r="A244" s="298">
        <v>39058</v>
      </c>
      <c r="B244" s="299">
        <v>72776</v>
      </c>
      <c r="C244" s="241" t="s">
        <v>41</v>
      </c>
      <c r="D244" s="298">
        <v>2</v>
      </c>
      <c r="E244" s="300" t="s">
        <v>618</v>
      </c>
      <c r="F244" s="298">
        <v>2</v>
      </c>
      <c r="G244" s="241" t="s">
        <v>303</v>
      </c>
      <c r="H244" s="302">
        <v>45918</v>
      </c>
      <c r="I244" s="281">
        <v>2</v>
      </c>
      <c r="J244" s="241" t="s">
        <v>619</v>
      </c>
      <c r="K244" s="284">
        <v>6219</v>
      </c>
      <c r="L244" s="350" t="s">
        <v>693</v>
      </c>
      <c r="M244" s="419"/>
      <c r="N244" s="281"/>
      <c r="O244" s="304"/>
      <c r="P244" s="305">
        <v>46220</v>
      </c>
      <c r="Q244" s="306"/>
      <c r="R244" s="289" t="str">
        <f t="shared" si="4"/>
        <v/>
      </c>
      <c r="S244" s="241"/>
      <c r="AA244" s="281">
        <v>983</v>
      </c>
    </row>
    <row r="245" spans="1:27" ht="18" customHeight="1">
      <c r="A245" s="298">
        <v>39058</v>
      </c>
      <c r="B245" s="299">
        <v>72777</v>
      </c>
      <c r="C245" s="241" t="s">
        <v>41</v>
      </c>
      <c r="D245" s="298">
        <v>4</v>
      </c>
      <c r="E245" s="300" t="s">
        <v>620</v>
      </c>
      <c r="F245" s="298"/>
      <c r="G245" s="241" t="s">
        <v>303</v>
      </c>
      <c r="H245" s="302">
        <v>45918</v>
      </c>
      <c r="I245" s="281">
        <v>3</v>
      </c>
      <c r="J245" s="241" t="s">
        <v>621</v>
      </c>
      <c r="K245" s="284">
        <v>5194</v>
      </c>
      <c r="L245" s="350" t="s">
        <v>693</v>
      </c>
      <c r="M245" s="419"/>
      <c r="N245" s="281"/>
      <c r="O245" s="304"/>
      <c r="P245" s="305">
        <v>46220</v>
      </c>
      <c r="Q245" s="306"/>
      <c r="R245" s="289" t="str">
        <f t="shared" si="4"/>
        <v/>
      </c>
      <c r="S245" s="241"/>
      <c r="AA245" s="281">
        <v>984</v>
      </c>
    </row>
    <row r="246" spans="1:27" ht="18" customHeight="1">
      <c r="A246" s="298">
        <v>39058</v>
      </c>
      <c r="B246" s="299">
        <v>72778</v>
      </c>
      <c r="C246" s="241" t="s">
        <v>41</v>
      </c>
      <c r="D246" s="298">
        <v>6</v>
      </c>
      <c r="E246" s="300" t="s">
        <v>622</v>
      </c>
      <c r="F246" s="298"/>
      <c r="G246" s="241" t="s">
        <v>303</v>
      </c>
      <c r="H246" s="302">
        <v>45918</v>
      </c>
      <c r="I246" s="281">
        <v>4</v>
      </c>
      <c r="J246" s="241" t="s">
        <v>623</v>
      </c>
      <c r="K246" s="284">
        <v>25949</v>
      </c>
      <c r="L246" s="350" t="s">
        <v>693</v>
      </c>
      <c r="M246" s="419"/>
      <c r="N246" s="281"/>
      <c r="O246" s="304"/>
      <c r="P246" s="305">
        <v>46220</v>
      </c>
      <c r="Q246" s="306"/>
      <c r="R246" s="289" t="str">
        <f t="shared" si="4"/>
        <v/>
      </c>
      <c r="S246" s="241"/>
      <c r="AA246" s="281">
        <v>985</v>
      </c>
    </row>
    <row r="247" spans="1:27" ht="18" customHeight="1">
      <c r="A247" s="298">
        <v>39058</v>
      </c>
      <c r="B247" s="299">
        <v>72779</v>
      </c>
      <c r="C247" s="241" t="s">
        <v>41</v>
      </c>
      <c r="D247" s="298">
        <v>5</v>
      </c>
      <c r="E247" s="300" t="s">
        <v>624</v>
      </c>
      <c r="F247" s="298"/>
      <c r="G247" s="241" t="s">
        <v>303</v>
      </c>
      <c r="H247" s="302">
        <v>45918</v>
      </c>
      <c r="I247" s="281">
        <v>5</v>
      </c>
      <c r="J247" s="241" t="s">
        <v>625</v>
      </c>
      <c r="K247" s="284">
        <v>97326</v>
      </c>
      <c r="L247" s="350" t="s">
        <v>693</v>
      </c>
      <c r="M247" s="419"/>
      <c r="N247" s="281"/>
      <c r="O247" s="304"/>
      <c r="P247" s="305">
        <v>46220</v>
      </c>
      <c r="Q247" s="306"/>
      <c r="R247" s="289" t="str">
        <f t="shared" ref="R247:R310" si="5">IF(SUM(Q247)&gt;0,SUM(Q247-P247),"")</f>
        <v/>
      </c>
      <c r="S247" s="241"/>
      <c r="AA247" s="281">
        <v>986</v>
      </c>
    </row>
    <row r="248" spans="1:27" ht="18" customHeight="1">
      <c r="A248" s="298">
        <v>39058</v>
      </c>
      <c r="B248" s="299">
        <v>72780</v>
      </c>
      <c r="C248" s="241" t="s">
        <v>41</v>
      </c>
      <c r="D248" s="298">
        <v>5</v>
      </c>
      <c r="E248" s="300" t="s">
        <v>626</v>
      </c>
      <c r="F248" s="298"/>
      <c r="G248" s="241" t="s">
        <v>303</v>
      </c>
      <c r="H248" s="302">
        <v>45918</v>
      </c>
      <c r="I248" s="281">
        <v>6</v>
      </c>
      <c r="J248" s="241" t="s">
        <v>627</v>
      </c>
      <c r="K248" s="284">
        <v>22143</v>
      </c>
      <c r="L248" s="350" t="s">
        <v>693</v>
      </c>
      <c r="M248" s="419"/>
      <c r="N248" s="281"/>
      <c r="O248" s="304"/>
      <c r="P248" s="305">
        <v>46262</v>
      </c>
      <c r="Q248" s="306"/>
      <c r="R248" s="289" t="str">
        <f t="shared" si="5"/>
        <v/>
      </c>
      <c r="S248" s="241"/>
      <c r="AA248" s="281">
        <v>987</v>
      </c>
    </row>
    <row r="249" spans="1:27" ht="18" customHeight="1">
      <c r="A249" s="298"/>
      <c r="B249" s="299"/>
      <c r="C249" s="241"/>
      <c r="D249" s="298"/>
      <c r="E249" s="300"/>
      <c r="F249" s="298"/>
      <c r="G249" s="241"/>
      <c r="H249" s="302"/>
      <c r="J249" s="241"/>
      <c r="M249" s="303"/>
      <c r="N249" s="281"/>
      <c r="O249" s="304"/>
      <c r="P249" s="305"/>
      <c r="Q249" s="306"/>
      <c r="R249" s="289" t="str">
        <f t="shared" si="5"/>
        <v/>
      </c>
      <c r="S249" s="241"/>
      <c r="AA249" s="281">
        <v>988</v>
      </c>
    </row>
    <row r="250" spans="1:27" ht="18" customHeight="1">
      <c r="A250" s="298">
        <v>39063</v>
      </c>
      <c r="B250" s="299">
        <v>72786</v>
      </c>
      <c r="C250" s="241" t="s">
        <v>214</v>
      </c>
      <c r="D250" s="298">
        <v>2</v>
      </c>
      <c r="E250" s="300">
        <v>700544758</v>
      </c>
      <c r="F250" s="298" t="s">
        <v>615</v>
      </c>
      <c r="G250" s="241" t="s">
        <v>631</v>
      </c>
      <c r="H250" s="302">
        <v>45925</v>
      </c>
      <c r="I250" s="281" t="s">
        <v>635</v>
      </c>
      <c r="J250" s="241" t="s">
        <v>632</v>
      </c>
      <c r="K250" s="284">
        <v>1488</v>
      </c>
      <c r="L250" s="281" t="s">
        <v>633</v>
      </c>
      <c r="M250" s="303"/>
      <c r="N250" s="281"/>
      <c r="O250" s="304"/>
      <c r="P250" s="305">
        <v>46113</v>
      </c>
      <c r="Q250" s="306"/>
      <c r="R250" s="289" t="str">
        <f t="shared" si="5"/>
        <v/>
      </c>
      <c r="S250" s="241"/>
      <c r="AA250" s="281">
        <v>989</v>
      </c>
    </row>
    <row r="251" spans="1:27" ht="18" customHeight="1">
      <c r="A251" s="298">
        <v>39063</v>
      </c>
      <c r="B251" s="299">
        <v>72786</v>
      </c>
      <c r="C251" s="241" t="s">
        <v>214</v>
      </c>
      <c r="D251" s="298">
        <v>2</v>
      </c>
      <c r="E251" s="300">
        <v>700544758</v>
      </c>
      <c r="F251" s="298" t="s">
        <v>615</v>
      </c>
      <c r="G251" s="241" t="s">
        <v>631</v>
      </c>
      <c r="H251" s="302">
        <v>45926</v>
      </c>
      <c r="I251" s="281" t="s">
        <v>636</v>
      </c>
      <c r="J251" s="241" t="s">
        <v>632</v>
      </c>
      <c r="K251" s="284">
        <v>1488</v>
      </c>
      <c r="L251" s="281" t="s">
        <v>634</v>
      </c>
      <c r="M251" s="303"/>
      <c r="N251" s="281"/>
      <c r="O251" s="304"/>
      <c r="P251" s="305">
        <v>46143</v>
      </c>
      <c r="Q251" s="306"/>
      <c r="R251" s="289" t="str">
        <f t="shared" si="5"/>
        <v/>
      </c>
      <c r="S251" s="241"/>
      <c r="AA251" s="281">
        <v>990</v>
      </c>
    </row>
    <row r="252" spans="1:27" ht="18" customHeight="1">
      <c r="A252" s="298">
        <v>39063</v>
      </c>
      <c r="B252" s="299">
        <v>72786</v>
      </c>
      <c r="C252" s="241" t="s">
        <v>214</v>
      </c>
      <c r="D252" s="298">
        <v>2</v>
      </c>
      <c r="E252" s="300">
        <v>700544758</v>
      </c>
      <c r="F252" s="298" t="s">
        <v>615</v>
      </c>
      <c r="G252" s="241" t="s">
        <v>631</v>
      </c>
      <c r="H252" s="302">
        <v>45927</v>
      </c>
      <c r="I252" s="281" t="s">
        <v>638</v>
      </c>
      <c r="J252" s="241" t="s">
        <v>632</v>
      </c>
      <c r="K252" s="284">
        <v>1488</v>
      </c>
      <c r="L252" s="281" t="s">
        <v>637</v>
      </c>
      <c r="M252" s="303"/>
      <c r="N252" s="281"/>
      <c r="O252" s="304"/>
      <c r="P252" s="305">
        <v>46266</v>
      </c>
      <c r="Q252" s="306"/>
      <c r="R252" s="289" t="str">
        <f t="shared" si="5"/>
        <v/>
      </c>
      <c r="S252" s="241"/>
      <c r="AA252" s="281">
        <v>991</v>
      </c>
    </row>
    <row r="253" spans="1:27" ht="18" customHeight="1">
      <c r="A253" s="298"/>
      <c r="B253" s="299"/>
      <c r="C253" s="241"/>
      <c r="D253" s="298"/>
      <c r="E253" s="300"/>
      <c r="F253" s="298"/>
      <c r="G253" s="241"/>
      <c r="H253" s="302"/>
      <c r="J253" s="241"/>
      <c r="M253" s="303"/>
      <c r="N253" s="281"/>
      <c r="O253" s="304"/>
      <c r="P253" s="305"/>
      <c r="Q253" s="306"/>
      <c r="R253" s="289" t="str">
        <f t="shared" si="5"/>
        <v/>
      </c>
      <c r="S253" s="241"/>
      <c r="AA253" s="281">
        <v>992</v>
      </c>
    </row>
    <row r="254" spans="1:27" ht="18" customHeight="1">
      <c r="A254" s="298">
        <v>39073</v>
      </c>
      <c r="B254" s="299">
        <v>72811</v>
      </c>
      <c r="C254" s="241" t="s">
        <v>41</v>
      </c>
      <c r="D254" s="298">
        <v>6</v>
      </c>
      <c r="E254" s="300" t="s">
        <v>640</v>
      </c>
      <c r="F254" s="298">
        <v>0</v>
      </c>
      <c r="G254" s="388" t="s">
        <v>303</v>
      </c>
      <c r="H254" s="302">
        <v>45929</v>
      </c>
      <c r="I254" s="281">
        <v>1</v>
      </c>
      <c r="J254" s="241" t="s">
        <v>641</v>
      </c>
      <c r="K254" s="284">
        <v>1280</v>
      </c>
      <c r="L254" s="281" t="s">
        <v>642</v>
      </c>
      <c r="M254" s="303"/>
      <c r="N254" s="281"/>
      <c r="O254" s="304"/>
      <c r="P254" s="305">
        <v>46076</v>
      </c>
      <c r="Q254" s="306"/>
      <c r="R254" s="289" t="str">
        <f t="shared" si="5"/>
        <v/>
      </c>
      <c r="S254" s="241"/>
      <c r="AA254" s="281">
        <v>993</v>
      </c>
    </row>
    <row r="255" spans="1:27" ht="18" customHeight="1">
      <c r="A255" s="298">
        <v>39073</v>
      </c>
      <c r="B255" s="299">
        <v>72812</v>
      </c>
      <c r="C255" s="241" t="s">
        <v>41</v>
      </c>
      <c r="D255" s="298">
        <v>4</v>
      </c>
      <c r="E255" s="300" t="s">
        <v>643</v>
      </c>
      <c r="F255" s="298"/>
      <c r="G255" s="388" t="s">
        <v>303</v>
      </c>
      <c r="H255" s="302">
        <v>45929</v>
      </c>
      <c r="I255" s="281">
        <v>2</v>
      </c>
      <c r="J255" s="241" t="s">
        <v>644</v>
      </c>
      <c r="K255" s="284">
        <v>1435</v>
      </c>
      <c r="L255" s="281" t="s">
        <v>642</v>
      </c>
      <c r="M255" s="303"/>
      <c r="N255" s="281"/>
      <c r="O255" s="304"/>
      <c r="P255" s="305">
        <v>46076</v>
      </c>
      <c r="Q255" s="306"/>
      <c r="R255" s="289" t="str">
        <f t="shared" si="5"/>
        <v/>
      </c>
      <c r="S255" s="241"/>
      <c r="AA255" s="281">
        <v>994</v>
      </c>
    </row>
    <row r="256" spans="1:27" ht="18" customHeight="1">
      <c r="A256" s="298">
        <v>39073</v>
      </c>
      <c r="B256" s="299">
        <v>72813</v>
      </c>
      <c r="C256" s="241" t="s">
        <v>41</v>
      </c>
      <c r="D256" s="298">
        <v>7</v>
      </c>
      <c r="E256" s="300" t="s">
        <v>645</v>
      </c>
      <c r="F256" s="298"/>
      <c r="G256" s="388" t="s">
        <v>303</v>
      </c>
      <c r="H256" s="302">
        <v>45929</v>
      </c>
      <c r="I256" s="281">
        <v>3</v>
      </c>
      <c r="J256" s="241" t="s">
        <v>646</v>
      </c>
      <c r="K256" s="284">
        <v>2314</v>
      </c>
      <c r="L256" s="281" t="s">
        <v>642</v>
      </c>
      <c r="M256" s="303"/>
      <c r="N256" s="281"/>
      <c r="O256" s="304"/>
      <c r="P256" s="305">
        <v>46076</v>
      </c>
      <c r="Q256" s="306"/>
      <c r="R256" s="289" t="str">
        <f t="shared" si="5"/>
        <v/>
      </c>
      <c r="S256" s="241"/>
      <c r="AA256" s="281">
        <v>995</v>
      </c>
    </row>
    <row r="257" spans="1:27" ht="18" customHeight="1">
      <c r="A257" s="298">
        <v>39073</v>
      </c>
      <c r="B257" s="299">
        <v>72814</v>
      </c>
      <c r="C257" s="241" t="s">
        <v>41</v>
      </c>
      <c r="D257" s="298">
        <v>2</v>
      </c>
      <c r="E257" s="300" t="s">
        <v>647</v>
      </c>
      <c r="F257" s="298"/>
      <c r="G257" s="388" t="s">
        <v>303</v>
      </c>
      <c r="H257" s="302">
        <v>45929</v>
      </c>
      <c r="I257" s="281">
        <v>4</v>
      </c>
      <c r="J257" s="241" t="s">
        <v>648</v>
      </c>
      <c r="K257" s="284">
        <v>10568</v>
      </c>
      <c r="L257" s="281" t="s">
        <v>642</v>
      </c>
      <c r="M257" s="303"/>
      <c r="N257" s="281"/>
      <c r="O257" s="304"/>
      <c r="P257" s="305">
        <v>46076</v>
      </c>
      <c r="Q257" s="306"/>
      <c r="R257" s="289" t="str">
        <f t="shared" si="5"/>
        <v/>
      </c>
      <c r="S257" s="241"/>
      <c r="AA257" s="281">
        <v>996</v>
      </c>
    </row>
    <row r="258" spans="1:27" ht="18" customHeight="1">
      <c r="A258" s="298">
        <v>39073</v>
      </c>
      <c r="B258" s="299">
        <v>72815</v>
      </c>
      <c r="C258" s="241" t="s">
        <v>41</v>
      </c>
      <c r="D258" s="298">
        <v>2</v>
      </c>
      <c r="E258" s="300" t="s">
        <v>649</v>
      </c>
      <c r="F258" s="298"/>
      <c r="G258" s="388" t="s">
        <v>303</v>
      </c>
      <c r="H258" s="302">
        <v>45929</v>
      </c>
      <c r="I258" s="281">
        <v>5</v>
      </c>
      <c r="J258" s="241" t="s">
        <v>650</v>
      </c>
      <c r="K258" s="284">
        <v>21257</v>
      </c>
      <c r="L258" s="281" t="s">
        <v>642</v>
      </c>
      <c r="M258" s="303"/>
      <c r="N258" s="281"/>
      <c r="O258" s="304"/>
      <c r="P258" s="305">
        <v>46076</v>
      </c>
      <c r="Q258" s="306"/>
      <c r="R258" s="289" t="str">
        <f t="shared" si="5"/>
        <v/>
      </c>
      <c r="S258" s="241"/>
      <c r="AA258" s="281">
        <v>997</v>
      </c>
    </row>
    <row r="259" spans="1:27" ht="18" customHeight="1">
      <c r="A259" s="298">
        <v>39073</v>
      </c>
      <c r="B259" s="299">
        <v>72816</v>
      </c>
      <c r="C259" s="241" t="s">
        <v>41</v>
      </c>
      <c r="D259" s="298">
        <v>3</v>
      </c>
      <c r="E259" s="300" t="s">
        <v>651</v>
      </c>
      <c r="F259" s="298"/>
      <c r="G259" s="388" t="s">
        <v>303</v>
      </c>
      <c r="H259" s="302">
        <v>45929</v>
      </c>
      <c r="I259" s="281">
        <v>6</v>
      </c>
      <c r="J259" s="241" t="s">
        <v>652</v>
      </c>
      <c r="K259" s="284">
        <v>38367</v>
      </c>
      <c r="L259" s="281" t="s">
        <v>642</v>
      </c>
      <c r="M259" s="303"/>
      <c r="N259" s="281"/>
      <c r="O259" s="304"/>
      <c r="P259" s="305">
        <v>46076</v>
      </c>
      <c r="Q259" s="306"/>
      <c r="R259" s="289" t="str">
        <f t="shared" si="5"/>
        <v/>
      </c>
      <c r="S259" s="241"/>
      <c r="AA259" s="281">
        <v>998</v>
      </c>
    </row>
    <row r="260" spans="1:27" ht="18" customHeight="1">
      <c r="A260" s="298">
        <v>39073</v>
      </c>
      <c r="B260" s="299">
        <v>72817</v>
      </c>
      <c r="C260" s="241" t="s">
        <v>41</v>
      </c>
      <c r="D260" s="298">
        <v>2</v>
      </c>
      <c r="E260" s="300" t="s">
        <v>653</v>
      </c>
      <c r="F260" s="298"/>
      <c r="G260" s="388" t="s">
        <v>303</v>
      </c>
      <c r="H260" s="302">
        <v>45930</v>
      </c>
      <c r="I260" s="281">
        <v>13</v>
      </c>
      <c r="J260" s="241" t="s">
        <v>654</v>
      </c>
      <c r="K260" s="284">
        <v>765</v>
      </c>
      <c r="L260" s="281" t="s">
        <v>642</v>
      </c>
      <c r="M260" s="303"/>
      <c r="N260" s="281"/>
      <c r="O260" s="304"/>
      <c r="P260" s="305">
        <v>46076</v>
      </c>
      <c r="Q260" s="306"/>
      <c r="R260" s="289" t="str">
        <f t="shared" si="5"/>
        <v/>
      </c>
      <c r="S260" s="241"/>
      <c r="AA260" s="281">
        <v>999</v>
      </c>
    </row>
    <row r="261" spans="1:27" ht="18" customHeight="1">
      <c r="A261" s="298"/>
      <c r="B261" s="299"/>
      <c r="C261" s="241"/>
      <c r="D261" s="298"/>
      <c r="E261" s="300"/>
      <c r="F261" s="298"/>
      <c r="G261" s="241"/>
      <c r="H261" s="302"/>
      <c r="J261" s="241"/>
      <c r="M261" s="303"/>
      <c r="N261" s="281"/>
      <c r="O261" s="304"/>
      <c r="P261" s="305"/>
      <c r="Q261" s="306"/>
      <c r="R261" s="289" t="str">
        <f t="shared" si="5"/>
        <v/>
      </c>
      <c r="S261" s="241"/>
      <c r="AA261" s="281">
        <v>1000</v>
      </c>
    </row>
    <row r="262" spans="1:27" ht="18" customHeight="1">
      <c r="A262" s="298">
        <v>39074</v>
      </c>
      <c r="B262" s="299">
        <v>72818</v>
      </c>
      <c r="C262" s="241" t="s">
        <v>41</v>
      </c>
      <c r="D262" s="298">
        <v>1</v>
      </c>
      <c r="E262" s="300" t="s">
        <v>661</v>
      </c>
      <c r="F262" s="298"/>
      <c r="G262" s="388" t="s">
        <v>303</v>
      </c>
      <c r="H262" s="302">
        <v>45929</v>
      </c>
      <c r="I262" s="281">
        <v>1</v>
      </c>
      <c r="J262" s="241" t="s">
        <v>655</v>
      </c>
      <c r="K262" s="284">
        <v>29696</v>
      </c>
      <c r="L262" s="281" t="s">
        <v>656</v>
      </c>
      <c r="M262" s="303"/>
      <c r="N262" s="281"/>
      <c r="O262" s="304"/>
      <c r="P262" s="305">
        <v>46080</v>
      </c>
      <c r="Q262" s="306"/>
      <c r="R262" s="289" t="str">
        <f t="shared" si="5"/>
        <v/>
      </c>
      <c r="S262" s="241"/>
      <c r="AA262" s="281">
        <v>1001</v>
      </c>
    </row>
    <row r="263" spans="1:27" ht="18" customHeight="1">
      <c r="A263" s="298">
        <v>39074</v>
      </c>
      <c r="B263" s="299">
        <v>72819</v>
      </c>
      <c r="C263" s="241" t="s">
        <v>41</v>
      </c>
      <c r="D263" s="298">
        <v>8</v>
      </c>
      <c r="E263" s="300" t="s">
        <v>657</v>
      </c>
      <c r="F263" s="298"/>
      <c r="G263" s="388" t="s">
        <v>303</v>
      </c>
      <c r="H263" s="302">
        <v>45929</v>
      </c>
      <c r="I263" s="281">
        <v>2</v>
      </c>
      <c r="J263" s="241" t="s">
        <v>658</v>
      </c>
      <c r="K263" s="284">
        <v>9649</v>
      </c>
      <c r="L263" s="281" t="s">
        <v>656</v>
      </c>
      <c r="M263" s="303"/>
      <c r="N263" s="281"/>
      <c r="O263" s="304"/>
      <c r="P263" s="305">
        <v>46080</v>
      </c>
      <c r="Q263" s="306"/>
      <c r="R263" s="289" t="str">
        <f t="shared" si="5"/>
        <v/>
      </c>
      <c r="S263" s="241"/>
      <c r="AA263" s="281">
        <v>1002</v>
      </c>
    </row>
    <row r="264" spans="1:27" ht="18" customHeight="1">
      <c r="A264" s="298">
        <v>39074</v>
      </c>
      <c r="B264" s="299">
        <v>72820</v>
      </c>
      <c r="C264" s="241" t="s">
        <v>41</v>
      </c>
      <c r="D264" s="298">
        <v>3</v>
      </c>
      <c r="E264" s="300" t="s">
        <v>659</v>
      </c>
      <c r="F264" s="298"/>
      <c r="G264" s="388" t="s">
        <v>303</v>
      </c>
      <c r="H264" s="302">
        <v>45929</v>
      </c>
      <c r="I264" s="281">
        <v>3</v>
      </c>
      <c r="J264" s="241" t="s">
        <v>660</v>
      </c>
      <c r="K264" s="284">
        <v>25262</v>
      </c>
      <c r="L264" s="281" t="s">
        <v>656</v>
      </c>
      <c r="M264" s="303"/>
      <c r="N264" s="281"/>
      <c r="O264" s="304"/>
      <c r="P264" s="305">
        <v>46080</v>
      </c>
      <c r="Q264" s="306"/>
      <c r="R264" s="289" t="str">
        <f t="shared" si="5"/>
        <v/>
      </c>
      <c r="S264" s="241"/>
      <c r="AA264" s="281">
        <v>1003</v>
      </c>
    </row>
    <row r="265" spans="1:27" ht="18" customHeight="1">
      <c r="A265" s="309">
        <v>39074</v>
      </c>
      <c r="B265" s="310">
        <v>72967</v>
      </c>
      <c r="C265" s="311" t="s">
        <v>41</v>
      </c>
      <c r="D265" s="309">
        <v>1</v>
      </c>
      <c r="E265" s="312" t="s">
        <v>661</v>
      </c>
      <c r="F265" s="309"/>
      <c r="G265" s="420" t="s">
        <v>275</v>
      </c>
      <c r="H265" s="313">
        <v>45995</v>
      </c>
      <c r="I265" s="421" t="s">
        <v>775</v>
      </c>
      <c r="J265" s="311" t="s">
        <v>655</v>
      </c>
      <c r="K265" s="315">
        <v>29696</v>
      </c>
      <c r="L265" s="316" t="s">
        <v>776</v>
      </c>
      <c r="M265" s="317"/>
      <c r="N265" s="314"/>
      <c r="O265" s="318"/>
      <c r="P265" s="319">
        <v>46134</v>
      </c>
      <c r="Q265" s="306"/>
      <c r="R265" s="289" t="str">
        <f t="shared" si="5"/>
        <v/>
      </c>
      <c r="S265" s="241"/>
      <c r="AA265" s="281">
        <v>1004</v>
      </c>
    </row>
    <row r="266" spans="1:27" ht="18" customHeight="1">
      <c r="A266" s="298"/>
      <c r="B266" s="299"/>
      <c r="C266" s="241"/>
      <c r="D266" s="298"/>
      <c r="E266" s="300"/>
      <c r="F266" s="298"/>
      <c r="G266" s="241"/>
      <c r="H266" s="302"/>
      <c r="J266" s="241"/>
      <c r="M266" s="303"/>
      <c r="N266" s="281"/>
      <c r="O266" s="304"/>
      <c r="P266" s="305"/>
      <c r="Q266" s="306"/>
      <c r="R266" s="289" t="str">
        <f t="shared" si="5"/>
        <v/>
      </c>
      <c r="S266" s="241"/>
      <c r="AA266" s="281">
        <v>1005</v>
      </c>
    </row>
    <row r="267" spans="1:27" ht="18" customHeight="1">
      <c r="A267" s="298">
        <v>39078</v>
      </c>
      <c r="B267" s="299">
        <v>72831</v>
      </c>
      <c r="C267" s="241" t="s">
        <v>33</v>
      </c>
      <c r="D267" s="298">
        <v>1</v>
      </c>
      <c r="E267" s="300">
        <v>40316</v>
      </c>
      <c r="F267" s="298"/>
      <c r="G267" s="241" t="s">
        <v>258</v>
      </c>
      <c r="H267" s="302">
        <v>45930</v>
      </c>
      <c r="I267" s="281">
        <v>1</v>
      </c>
      <c r="J267" s="241" t="s">
        <v>663</v>
      </c>
      <c r="K267" s="284">
        <v>592</v>
      </c>
      <c r="L267" s="281" t="s">
        <v>664</v>
      </c>
      <c r="M267" s="303">
        <v>44927</v>
      </c>
      <c r="N267" s="281">
        <v>1</v>
      </c>
      <c r="O267" s="304">
        <v>53191</v>
      </c>
      <c r="P267" s="305">
        <v>45972</v>
      </c>
      <c r="Q267" s="306">
        <v>46043</v>
      </c>
      <c r="R267" s="289">
        <f t="shared" si="5"/>
        <v>71</v>
      </c>
      <c r="S267" s="241"/>
      <c r="AA267" s="281">
        <v>1007</v>
      </c>
    </row>
    <row r="268" spans="1:27" ht="18" customHeight="1">
      <c r="A268" s="298">
        <v>39078</v>
      </c>
      <c r="B268" s="299">
        <v>72832</v>
      </c>
      <c r="C268" s="241" t="s">
        <v>33</v>
      </c>
      <c r="D268" s="298">
        <v>1</v>
      </c>
      <c r="E268" s="300">
        <v>40318</v>
      </c>
      <c r="F268" s="298"/>
      <c r="G268" s="241" t="s">
        <v>258</v>
      </c>
      <c r="H268" s="302">
        <v>45930</v>
      </c>
      <c r="I268" s="281">
        <v>2</v>
      </c>
      <c r="J268" s="241" t="s">
        <v>665</v>
      </c>
      <c r="K268" s="284">
        <v>2220</v>
      </c>
      <c r="L268" s="281" t="s">
        <v>664</v>
      </c>
      <c r="M268" s="303">
        <v>44927</v>
      </c>
      <c r="N268" s="281">
        <v>1</v>
      </c>
      <c r="O268" s="304">
        <v>53191</v>
      </c>
      <c r="P268" s="305">
        <v>45972</v>
      </c>
      <c r="Q268" s="306">
        <v>46043</v>
      </c>
      <c r="R268" s="289">
        <f t="shared" si="5"/>
        <v>71</v>
      </c>
      <c r="S268" s="241"/>
      <c r="AA268" s="281">
        <v>1008</v>
      </c>
    </row>
    <row r="269" spans="1:27" ht="18" customHeight="1">
      <c r="A269" s="298">
        <v>39078</v>
      </c>
      <c r="B269" s="299">
        <v>72833</v>
      </c>
      <c r="C269" s="241" t="s">
        <v>33</v>
      </c>
      <c r="D269" s="298">
        <v>1</v>
      </c>
      <c r="E269" s="300">
        <v>40319</v>
      </c>
      <c r="F269" s="298"/>
      <c r="G269" s="241" t="s">
        <v>258</v>
      </c>
      <c r="H269" s="302">
        <v>45930</v>
      </c>
      <c r="I269" s="281">
        <v>3</v>
      </c>
      <c r="J269" s="241" t="s">
        <v>666</v>
      </c>
      <c r="K269" s="284">
        <v>1954</v>
      </c>
      <c r="L269" s="281" t="s">
        <v>664</v>
      </c>
      <c r="M269" s="303">
        <v>44927</v>
      </c>
      <c r="N269" s="281">
        <v>1</v>
      </c>
      <c r="O269" s="304">
        <v>53191</v>
      </c>
      <c r="P269" s="305">
        <v>45972</v>
      </c>
      <c r="Q269" s="306">
        <v>46043</v>
      </c>
      <c r="R269" s="289">
        <f t="shared" si="5"/>
        <v>71</v>
      </c>
      <c r="S269" s="241"/>
      <c r="AA269" s="281">
        <v>1009</v>
      </c>
    </row>
    <row r="270" spans="1:27" ht="18" customHeight="1">
      <c r="A270" s="298">
        <v>39078</v>
      </c>
      <c r="B270" s="299">
        <v>72834</v>
      </c>
      <c r="C270" s="241" t="s">
        <v>33</v>
      </c>
      <c r="D270" s="298">
        <v>1</v>
      </c>
      <c r="E270" s="300">
        <v>40320</v>
      </c>
      <c r="F270" s="298"/>
      <c r="G270" s="241" t="s">
        <v>258</v>
      </c>
      <c r="H270" s="302">
        <v>45930</v>
      </c>
      <c r="I270" s="281">
        <v>4</v>
      </c>
      <c r="J270" s="241" t="s">
        <v>667</v>
      </c>
      <c r="K270" s="284">
        <v>890</v>
      </c>
      <c r="L270" s="281" t="s">
        <v>664</v>
      </c>
      <c r="M270" s="303">
        <v>44927</v>
      </c>
      <c r="N270" s="281">
        <v>1</v>
      </c>
      <c r="O270" s="304">
        <v>53191</v>
      </c>
      <c r="P270" s="305">
        <v>45972</v>
      </c>
      <c r="Q270" s="306">
        <v>46043</v>
      </c>
      <c r="R270" s="289">
        <f t="shared" si="5"/>
        <v>71</v>
      </c>
      <c r="S270" s="241"/>
      <c r="AA270" s="281">
        <v>1093</v>
      </c>
    </row>
    <row r="271" spans="1:27" ht="18" customHeight="1">
      <c r="A271" s="298">
        <v>39078</v>
      </c>
      <c r="B271" s="299">
        <v>72835</v>
      </c>
      <c r="C271" s="241" t="s">
        <v>33</v>
      </c>
      <c r="D271" s="298">
        <v>1</v>
      </c>
      <c r="E271" s="300">
        <v>40329</v>
      </c>
      <c r="F271" s="298"/>
      <c r="G271" s="241" t="s">
        <v>258</v>
      </c>
      <c r="H271" s="302">
        <v>45930</v>
      </c>
      <c r="I271" s="281">
        <v>5</v>
      </c>
      <c r="J271" s="241" t="s">
        <v>668</v>
      </c>
      <c r="K271" s="284">
        <v>765</v>
      </c>
      <c r="L271" s="281" t="s">
        <v>664</v>
      </c>
      <c r="M271" s="303">
        <v>44927</v>
      </c>
      <c r="N271" s="281">
        <v>1</v>
      </c>
      <c r="O271" s="304">
        <v>53191</v>
      </c>
      <c r="P271" s="305">
        <v>45972</v>
      </c>
      <c r="Q271" s="306">
        <v>46043</v>
      </c>
      <c r="R271" s="289">
        <f t="shared" si="5"/>
        <v>71</v>
      </c>
      <c r="S271" s="241"/>
      <c r="AA271" s="281">
        <v>1011</v>
      </c>
    </row>
    <row r="272" spans="1:27" ht="18" customHeight="1">
      <c r="A272" s="298"/>
      <c r="B272" s="299"/>
      <c r="C272" s="241"/>
      <c r="D272" s="298"/>
      <c r="E272" s="300"/>
      <c r="F272" s="298"/>
      <c r="G272" s="241"/>
      <c r="H272" s="302"/>
      <c r="J272" s="241"/>
      <c r="M272" s="303"/>
      <c r="N272" s="281"/>
      <c r="O272" s="304"/>
      <c r="P272" s="305"/>
      <c r="Q272" s="306"/>
      <c r="R272" s="289" t="str">
        <f t="shared" si="5"/>
        <v/>
      </c>
      <c r="S272" s="241"/>
      <c r="AA272" s="281">
        <v>1014</v>
      </c>
    </row>
    <row r="273" spans="1:27" ht="18" customHeight="1">
      <c r="A273" s="298">
        <v>39082</v>
      </c>
      <c r="B273" s="299">
        <v>72840</v>
      </c>
      <c r="C273" s="241" t="s">
        <v>41</v>
      </c>
      <c r="D273" s="298">
        <v>5</v>
      </c>
      <c r="E273" s="300" t="s">
        <v>672</v>
      </c>
      <c r="F273" s="298"/>
      <c r="G273" s="422" t="s">
        <v>460</v>
      </c>
      <c r="H273" s="302">
        <v>45933</v>
      </c>
      <c r="I273" s="281">
        <v>1</v>
      </c>
      <c r="J273" s="241" t="s">
        <v>673</v>
      </c>
      <c r="K273" s="284">
        <v>7783</v>
      </c>
      <c r="L273" s="281" t="s">
        <v>690</v>
      </c>
      <c r="M273" s="303"/>
      <c r="N273" s="281"/>
      <c r="O273" s="304"/>
      <c r="P273" s="423">
        <v>46066</v>
      </c>
      <c r="Q273" s="306"/>
      <c r="R273" s="289" t="str">
        <f t="shared" si="5"/>
        <v/>
      </c>
      <c r="S273" s="241"/>
      <c r="AA273" s="281">
        <v>1015</v>
      </c>
    </row>
    <row r="274" spans="1:27" ht="18" customHeight="1">
      <c r="A274" s="298">
        <v>39082</v>
      </c>
      <c r="B274" s="299">
        <v>72841</v>
      </c>
      <c r="C274" s="241" t="s">
        <v>41</v>
      </c>
      <c r="D274" s="298">
        <v>1</v>
      </c>
      <c r="E274" s="300" t="s">
        <v>674</v>
      </c>
      <c r="F274" s="298"/>
      <c r="G274" s="422" t="s">
        <v>460</v>
      </c>
      <c r="H274" s="302">
        <v>45933</v>
      </c>
      <c r="I274" s="281">
        <v>2</v>
      </c>
      <c r="J274" s="241" t="s">
        <v>675</v>
      </c>
      <c r="K274" s="284">
        <v>10783</v>
      </c>
      <c r="L274" s="281" t="s">
        <v>690</v>
      </c>
      <c r="M274" s="303"/>
      <c r="N274" s="281"/>
      <c r="O274" s="304"/>
      <c r="P274" s="305">
        <v>46066</v>
      </c>
      <c r="Q274" s="306"/>
      <c r="R274" s="289" t="str">
        <f t="shared" si="5"/>
        <v/>
      </c>
      <c r="S274" s="241"/>
      <c r="AA274" s="281">
        <v>1016</v>
      </c>
    </row>
    <row r="275" spans="1:27" ht="18" customHeight="1">
      <c r="A275" s="298">
        <v>39082</v>
      </c>
      <c r="B275" s="299">
        <v>72842</v>
      </c>
      <c r="C275" s="241" t="s">
        <v>41</v>
      </c>
      <c r="D275" s="298">
        <v>1</v>
      </c>
      <c r="E275" s="300" t="s">
        <v>676</v>
      </c>
      <c r="F275" s="298"/>
      <c r="G275" s="422" t="s">
        <v>460</v>
      </c>
      <c r="H275" s="302">
        <v>45933</v>
      </c>
      <c r="I275" s="281">
        <v>3</v>
      </c>
      <c r="J275" s="241" t="s">
        <v>677</v>
      </c>
      <c r="K275" s="284">
        <v>15491</v>
      </c>
      <c r="L275" s="281" t="s">
        <v>690</v>
      </c>
      <c r="M275" s="303"/>
      <c r="N275" s="281"/>
      <c r="O275" s="304"/>
      <c r="P275" s="305">
        <v>46066</v>
      </c>
      <c r="Q275" s="306"/>
      <c r="R275" s="289" t="str">
        <f t="shared" si="5"/>
        <v/>
      </c>
      <c r="S275" s="241"/>
      <c r="AA275" s="281">
        <v>1018</v>
      </c>
    </row>
    <row r="276" spans="1:27" ht="18" customHeight="1">
      <c r="A276" s="298">
        <v>39082</v>
      </c>
      <c r="B276" s="299">
        <v>72843</v>
      </c>
      <c r="C276" s="241" t="s">
        <v>41</v>
      </c>
      <c r="D276" s="298">
        <v>1</v>
      </c>
      <c r="E276" s="300" t="s">
        <v>678</v>
      </c>
      <c r="F276" s="298"/>
      <c r="G276" s="422" t="s">
        <v>460</v>
      </c>
      <c r="H276" s="302">
        <v>45933</v>
      </c>
      <c r="I276" s="281">
        <v>4</v>
      </c>
      <c r="J276" s="241" t="s">
        <v>679</v>
      </c>
      <c r="K276" s="284">
        <v>10117</v>
      </c>
      <c r="L276" s="281" t="s">
        <v>690</v>
      </c>
      <c r="M276" s="303"/>
      <c r="N276" s="281"/>
      <c r="O276" s="304"/>
      <c r="P276" s="305">
        <v>46066</v>
      </c>
      <c r="Q276" s="306"/>
      <c r="R276" s="289" t="str">
        <f t="shared" si="5"/>
        <v/>
      </c>
      <c r="S276" s="241"/>
      <c r="AA276" s="281">
        <v>1019</v>
      </c>
    </row>
    <row r="277" spans="1:27" ht="18" customHeight="1">
      <c r="A277" s="298">
        <v>39082</v>
      </c>
      <c r="B277" s="299">
        <v>72844</v>
      </c>
      <c r="C277" s="241" t="s">
        <v>41</v>
      </c>
      <c r="D277" s="298">
        <v>2</v>
      </c>
      <c r="E277" s="300" t="s">
        <v>680</v>
      </c>
      <c r="F277" s="298"/>
      <c r="G277" s="422" t="s">
        <v>460</v>
      </c>
      <c r="H277" s="302">
        <v>45933</v>
      </c>
      <c r="I277" s="281">
        <v>5</v>
      </c>
      <c r="J277" s="241" t="s">
        <v>681</v>
      </c>
      <c r="K277" s="284">
        <v>20286</v>
      </c>
      <c r="L277" s="281" t="s">
        <v>690</v>
      </c>
      <c r="M277" s="303"/>
      <c r="N277" s="281"/>
      <c r="O277" s="304"/>
      <c r="P277" s="305">
        <v>46066</v>
      </c>
      <c r="Q277" s="306"/>
      <c r="R277" s="289" t="str">
        <f t="shared" si="5"/>
        <v/>
      </c>
      <c r="S277" s="241"/>
      <c r="AA277" s="281">
        <v>1023</v>
      </c>
    </row>
    <row r="278" spans="1:27" ht="18" customHeight="1">
      <c r="A278" s="298"/>
      <c r="B278" s="299"/>
      <c r="C278" s="241"/>
      <c r="D278" s="298"/>
      <c r="E278" s="300"/>
      <c r="F278" s="298"/>
      <c r="G278" s="241"/>
      <c r="H278" s="302"/>
      <c r="J278" s="241"/>
      <c r="M278" s="303"/>
      <c r="N278" s="281"/>
      <c r="O278" s="304"/>
      <c r="P278" s="305"/>
      <c r="Q278" s="306"/>
      <c r="R278" s="289" t="str">
        <f t="shared" si="5"/>
        <v/>
      </c>
      <c r="S278" s="241"/>
      <c r="AA278" s="281">
        <v>1028</v>
      </c>
    </row>
    <row r="279" spans="1:27" ht="18" customHeight="1">
      <c r="A279" s="298">
        <v>39084</v>
      </c>
      <c r="B279" s="299">
        <v>72846</v>
      </c>
      <c r="C279" s="241" t="s">
        <v>41</v>
      </c>
      <c r="D279" s="298">
        <v>2</v>
      </c>
      <c r="E279" s="307" t="s">
        <v>684</v>
      </c>
      <c r="F279" s="298">
        <v>1</v>
      </c>
      <c r="G279" s="241" t="s">
        <v>682</v>
      </c>
      <c r="H279" s="302">
        <v>45933</v>
      </c>
      <c r="I279" s="281">
        <v>1</v>
      </c>
      <c r="J279" s="241" t="s">
        <v>683</v>
      </c>
      <c r="K279" s="284">
        <v>20528</v>
      </c>
      <c r="L279" s="281" t="s">
        <v>689</v>
      </c>
      <c r="M279" s="303"/>
      <c r="N279" s="281"/>
      <c r="O279" s="304"/>
      <c r="P279" s="305">
        <v>46032</v>
      </c>
      <c r="Q279" s="306"/>
      <c r="R279" s="289" t="str">
        <f t="shared" si="5"/>
        <v/>
      </c>
      <c r="S279" s="241"/>
      <c r="AA279" s="281">
        <v>1029</v>
      </c>
    </row>
    <row r="280" spans="1:27" ht="18" customHeight="1">
      <c r="A280" s="298">
        <v>39084</v>
      </c>
      <c r="B280" s="299">
        <v>72846</v>
      </c>
      <c r="C280" s="241" t="s">
        <v>41</v>
      </c>
      <c r="D280" s="298">
        <v>2</v>
      </c>
      <c r="E280" s="307" t="s">
        <v>684</v>
      </c>
      <c r="F280" s="298">
        <v>1</v>
      </c>
      <c r="G280" s="241" t="s">
        <v>682</v>
      </c>
      <c r="H280" s="302">
        <v>45933</v>
      </c>
      <c r="I280" s="281">
        <v>1</v>
      </c>
      <c r="J280" s="241" t="s">
        <v>683</v>
      </c>
      <c r="K280" s="284">
        <v>20528</v>
      </c>
      <c r="L280" s="281" t="s">
        <v>689</v>
      </c>
      <c r="M280" s="303"/>
      <c r="N280" s="281"/>
      <c r="O280" s="304"/>
      <c r="P280" s="305">
        <v>46044</v>
      </c>
      <c r="Q280" s="306"/>
      <c r="R280" s="289" t="str">
        <f t="shared" si="5"/>
        <v/>
      </c>
      <c r="S280" s="241"/>
      <c r="AA280" s="281">
        <v>1030</v>
      </c>
    </row>
    <row r="281" spans="1:27" ht="18" customHeight="1">
      <c r="A281" s="298">
        <v>39084</v>
      </c>
      <c r="B281" s="299">
        <v>72846</v>
      </c>
      <c r="C281" s="241" t="s">
        <v>41</v>
      </c>
      <c r="D281" s="298">
        <v>3</v>
      </c>
      <c r="E281" s="307" t="s">
        <v>684</v>
      </c>
      <c r="F281" s="298">
        <v>1</v>
      </c>
      <c r="G281" s="241" t="s">
        <v>682</v>
      </c>
      <c r="H281" s="302">
        <v>45933</v>
      </c>
      <c r="I281" s="281">
        <v>1</v>
      </c>
      <c r="J281" s="241" t="s">
        <v>683</v>
      </c>
      <c r="K281" s="284" t="s">
        <v>17</v>
      </c>
      <c r="L281" s="281" t="s">
        <v>689</v>
      </c>
      <c r="M281" s="303"/>
      <c r="N281" s="281"/>
      <c r="O281" s="304"/>
      <c r="P281" s="305">
        <v>46058</v>
      </c>
      <c r="Q281" s="306"/>
      <c r="R281" s="289" t="str">
        <f t="shared" si="5"/>
        <v/>
      </c>
      <c r="S281" s="241"/>
      <c r="AA281" s="281">
        <v>1033</v>
      </c>
    </row>
    <row r="282" spans="1:27" ht="18" customHeight="1">
      <c r="A282" s="298"/>
      <c r="B282" s="299"/>
      <c r="C282" s="241"/>
      <c r="D282" s="298"/>
      <c r="E282" s="307"/>
      <c r="F282" s="298"/>
      <c r="G282" s="241"/>
      <c r="H282" s="302"/>
      <c r="J282" s="241"/>
      <c r="M282" s="303"/>
      <c r="N282" s="281"/>
      <c r="O282" s="304"/>
      <c r="P282" s="305"/>
      <c r="Q282" s="306"/>
      <c r="R282" s="289" t="str">
        <f t="shared" si="5"/>
        <v/>
      </c>
      <c r="S282" s="241"/>
      <c r="AA282" s="281">
        <v>1047</v>
      </c>
    </row>
    <row r="283" spans="1:27" ht="18" customHeight="1">
      <c r="A283" s="298">
        <v>39087</v>
      </c>
      <c r="B283" s="299">
        <v>72850</v>
      </c>
      <c r="C283" s="241" t="s">
        <v>41</v>
      </c>
      <c r="D283" s="298">
        <v>2</v>
      </c>
      <c r="E283" s="300" t="s">
        <v>686</v>
      </c>
      <c r="F283" s="298"/>
      <c r="G283" s="241" t="s">
        <v>244</v>
      </c>
      <c r="H283" s="302">
        <v>45934</v>
      </c>
      <c r="I283" s="281">
        <v>1</v>
      </c>
      <c r="J283" s="241" t="s">
        <v>687</v>
      </c>
      <c r="K283" s="284">
        <v>43995.5</v>
      </c>
      <c r="L283" s="281" t="s">
        <v>688</v>
      </c>
      <c r="M283" s="303"/>
      <c r="N283" s="281"/>
      <c r="O283" s="304"/>
      <c r="P283" s="305">
        <v>46006</v>
      </c>
      <c r="Q283" s="306"/>
      <c r="R283" s="289" t="str">
        <f t="shared" si="5"/>
        <v/>
      </c>
      <c r="S283" s="241"/>
      <c r="AA283" s="281">
        <v>1048</v>
      </c>
    </row>
    <row r="284" spans="1:27" ht="18" customHeight="1">
      <c r="A284" s="298"/>
      <c r="B284" s="299"/>
      <c r="C284" s="241"/>
      <c r="D284" s="298"/>
      <c r="E284" s="300"/>
      <c r="F284" s="298"/>
      <c r="G284" s="241"/>
      <c r="H284" s="302"/>
      <c r="J284" s="241"/>
      <c r="M284" s="303"/>
      <c r="N284" s="281"/>
      <c r="O284" s="304"/>
      <c r="P284" s="305"/>
      <c r="Q284" s="306"/>
      <c r="R284" s="289" t="str">
        <f t="shared" si="5"/>
        <v/>
      </c>
      <c r="S284" s="241"/>
      <c r="AA284" s="281">
        <v>1049</v>
      </c>
    </row>
    <row r="285" spans="1:27" ht="18" customHeight="1">
      <c r="A285" s="298">
        <v>39090</v>
      </c>
      <c r="B285" s="299">
        <v>72853</v>
      </c>
      <c r="C285" s="241" t="s">
        <v>62</v>
      </c>
      <c r="D285" s="298">
        <v>4</v>
      </c>
      <c r="E285" s="300" t="s">
        <v>695</v>
      </c>
      <c r="F285" s="303" t="s">
        <v>249</v>
      </c>
      <c r="G285" s="301" t="s">
        <v>401</v>
      </c>
      <c r="H285" s="302">
        <v>45934</v>
      </c>
      <c r="I285" s="281">
        <v>1</v>
      </c>
      <c r="J285" s="241" t="s">
        <v>696</v>
      </c>
      <c r="K285" s="284">
        <v>3285</v>
      </c>
      <c r="L285" s="281" t="s">
        <v>697</v>
      </c>
      <c r="M285" s="303">
        <v>44931</v>
      </c>
      <c r="N285" s="281">
        <v>4</v>
      </c>
      <c r="O285" s="304"/>
      <c r="P285" s="305">
        <v>45968</v>
      </c>
      <c r="Q285" s="306">
        <v>46045</v>
      </c>
      <c r="R285" s="289">
        <f t="shared" si="5"/>
        <v>77</v>
      </c>
      <c r="S285" s="241"/>
      <c r="AA285" s="281">
        <v>1050</v>
      </c>
    </row>
    <row r="286" spans="1:27" ht="18" customHeight="1">
      <c r="A286" s="298"/>
      <c r="B286" s="299"/>
      <c r="C286" s="241"/>
      <c r="D286" s="298"/>
      <c r="E286" s="300"/>
      <c r="F286" s="298"/>
      <c r="G286" s="241"/>
      <c r="H286" s="302"/>
      <c r="J286" s="241"/>
      <c r="M286" s="303"/>
      <c r="N286" s="281"/>
      <c r="O286" s="304"/>
      <c r="P286" s="305"/>
      <c r="Q286" s="306"/>
      <c r="R286" s="289" t="str">
        <f t="shared" si="5"/>
        <v/>
      </c>
      <c r="S286" s="241"/>
      <c r="AA286" s="281">
        <v>1051</v>
      </c>
    </row>
    <row r="287" spans="1:27" ht="18" customHeight="1">
      <c r="A287" s="303" t="s">
        <v>307</v>
      </c>
      <c r="B287" s="299">
        <v>72855</v>
      </c>
      <c r="C287" s="241" t="s">
        <v>438</v>
      </c>
      <c r="D287" s="298">
        <v>3</v>
      </c>
      <c r="E287" s="300" t="s">
        <v>698</v>
      </c>
      <c r="F287" s="298"/>
      <c r="G287" s="241" t="s">
        <v>699</v>
      </c>
      <c r="H287" s="302">
        <v>45937</v>
      </c>
      <c r="J287" s="241" t="s">
        <v>700</v>
      </c>
      <c r="M287" s="303"/>
      <c r="N287" s="281"/>
      <c r="O287" s="304"/>
      <c r="P287" s="305">
        <v>45937</v>
      </c>
      <c r="Q287" s="306"/>
      <c r="R287" s="289" t="str">
        <f t="shared" si="5"/>
        <v/>
      </c>
      <c r="S287" s="241"/>
      <c r="AA287" s="281">
        <v>1052</v>
      </c>
    </row>
    <row r="288" spans="1:27" ht="18" customHeight="1">
      <c r="A288" s="298"/>
      <c r="B288" s="299"/>
      <c r="C288" s="241"/>
      <c r="D288" s="298"/>
      <c r="E288" s="300"/>
      <c r="F288" s="298"/>
      <c r="G288" s="241"/>
      <c r="H288" s="302"/>
      <c r="J288" s="241"/>
      <c r="M288" s="303"/>
      <c r="N288" s="281"/>
      <c r="O288" s="304"/>
      <c r="P288" s="305"/>
      <c r="Q288" s="306"/>
      <c r="R288" s="289" t="str">
        <f t="shared" si="5"/>
        <v/>
      </c>
      <c r="S288" s="241"/>
      <c r="AA288" s="281">
        <v>1053</v>
      </c>
    </row>
    <row r="289" spans="1:27" ht="18" customHeight="1">
      <c r="A289" s="298">
        <v>39093</v>
      </c>
      <c r="B289" s="299">
        <v>72857</v>
      </c>
      <c r="C289" s="241" t="s">
        <v>62</v>
      </c>
      <c r="D289" s="298">
        <v>1</v>
      </c>
      <c r="E289" s="300" t="s">
        <v>701</v>
      </c>
      <c r="F289" s="298"/>
      <c r="G289" s="241" t="s">
        <v>694</v>
      </c>
      <c r="H289" s="302">
        <v>45939</v>
      </c>
      <c r="I289" s="281">
        <v>1</v>
      </c>
      <c r="J289" s="241" t="s">
        <v>702</v>
      </c>
      <c r="K289" s="284">
        <v>15741</v>
      </c>
      <c r="L289" s="281" t="s">
        <v>703</v>
      </c>
      <c r="M289" s="303"/>
      <c r="N289" s="281"/>
      <c r="O289" s="304"/>
      <c r="P289" s="305">
        <v>46031</v>
      </c>
      <c r="Q289" s="306"/>
      <c r="R289" s="289" t="str">
        <f t="shared" si="5"/>
        <v/>
      </c>
      <c r="S289" s="241"/>
      <c r="AA289" s="281">
        <v>1061</v>
      </c>
    </row>
    <row r="290" spans="1:27" ht="18" customHeight="1">
      <c r="A290" s="298"/>
      <c r="B290" s="299"/>
      <c r="C290" s="241"/>
      <c r="D290" s="298"/>
      <c r="E290" s="300"/>
      <c r="F290" s="298"/>
      <c r="G290" s="241"/>
      <c r="H290" s="302"/>
      <c r="J290" s="241"/>
      <c r="M290" s="303"/>
      <c r="N290" s="281"/>
      <c r="O290" s="304"/>
      <c r="P290" s="305"/>
      <c r="Q290" s="306"/>
      <c r="R290" s="289" t="str">
        <f t="shared" si="5"/>
        <v/>
      </c>
      <c r="S290" s="241"/>
      <c r="AA290" s="281">
        <v>1062</v>
      </c>
    </row>
    <row r="291" spans="1:27" ht="18" customHeight="1">
      <c r="A291" s="298">
        <v>39096</v>
      </c>
      <c r="B291" s="299">
        <v>72860</v>
      </c>
      <c r="C291" s="241" t="s">
        <v>62</v>
      </c>
      <c r="D291" s="298">
        <v>1</v>
      </c>
      <c r="E291" s="300" t="s">
        <v>704</v>
      </c>
      <c r="F291" s="303" t="s">
        <v>777</v>
      </c>
      <c r="G291" s="241" t="s">
        <v>401</v>
      </c>
      <c r="H291" s="302">
        <v>45939</v>
      </c>
      <c r="I291" s="281">
        <v>1</v>
      </c>
      <c r="J291" s="241" t="s">
        <v>705</v>
      </c>
      <c r="K291" s="284">
        <v>5319</v>
      </c>
      <c r="L291" s="281" t="s">
        <v>778</v>
      </c>
      <c r="M291" s="303"/>
      <c r="N291" s="281"/>
      <c r="O291" s="304"/>
      <c r="P291" s="305">
        <v>46031</v>
      </c>
      <c r="Q291" s="306"/>
      <c r="R291" s="289" t="str">
        <f t="shared" si="5"/>
        <v/>
      </c>
      <c r="S291" s="241"/>
      <c r="AA291" s="281">
        <v>1063</v>
      </c>
    </row>
    <row r="292" spans="1:27" ht="18" customHeight="1">
      <c r="A292" s="298"/>
      <c r="B292" s="299"/>
      <c r="C292" s="241"/>
      <c r="D292" s="298"/>
      <c r="E292" s="300"/>
      <c r="F292" s="298"/>
      <c r="G292" s="241"/>
      <c r="H292" s="302"/>
      <c r="J292" s="241"/>
      <c r="M292" s="303"/>
      <c r="N292" s="281"/>
      <c r="O292" s="304"/>
      <c r="P292" s="305"/>
      <c r="Q292" s="306"/>
      <c r="R292" s="289" t="str">
        <f t="shared" si="5"/>
        <v/>
      </c>
      <c r="S292" s="241"/>
      <c r="AA292" s="281">
        <v>1065</v>
      </c>
    </row>
    <row r="293" spans="1:27" ht="18" customHeight="1">
      <c r="A293" s="298">
        <v>39107</v>
      </c>
      <c r="B293" s="299">
        <v>72879</v>
      </c>
      <c r="C293" s="241" t="s">
        <v>0</v>
      </c>
      <c r="D293" s="298">
        <v>1</v>
      </c>
      <c r="E293" s="300" t="s">
        <v>710</v>
      </c>
      <c r="F293" s="298"/>
      <c r="G293" s="241" t="s">
        <v>711</v>
      </c>
      <c r="H293" s="302">
        <v>45951</v>
      </c>
      <c r="I293" s="281">
        <v>1</v>
      </c>
      <c r="J293" s="241" t="s">
        <v>712</v>
      </c>
      <c r="M293" s="303"/>
      <c r="N293" s="281"/>
      <c r="O293" s="304"/>
      <c r="P293" s="305"/>
      <c r="Q293" s="306"/>
      <c r="R293" s="289" t="str">
        <f t="shared" si="5"/>
        <v/>
      </c>
      <c r="S293" s="241"/>
      <c r="AA293" s="281">
        <v>1066</v>
      </c>
    </row>
    <row r="294" spans="1:27" ht="18" customHeight="1">
      <c r="A294" s="298"/>
      <c r="B294" s="299"/>
      <c r="C294" s="241"/>
      <c r="D294" s="298"/>
      <c r="E294" s="300"/>
      <c r="F294" s="298"/>
      <c r="G294" s="241"/>
      <c r="H294" s="302"/>
      <c r="J294" s="241"/>
      <c r="M294" s="303"/>
      <c r="N294" s="281"/>
      <c r="O294" s="304"/>
      <c r="P294" s="305"/>
      <c r="Q294" s="306"/>
      <c r="R294" s="289" t="str">
        <f t="shared" si="5"/>
        <v/>
      </c>
      <c r="S294" s="241"/>
      <c r="AA294" s="281">
        <v>1067</v>
      </c>
    </row>
    <row r="295" spans="1:27" ht="18" customHeight="1">
      <c r="A295" s="298">
        <v>39113</v>
      </c>
      <c r="B295" s="299">
        <v>72885</v>
      </c>
      <c r="C295" s="241" t="s">
        <v>62</v>
      </c>
      <c r="D295" s="298">
        <v>6</v>
      </c>
      <c r="E295" s="300" t="s">
        <v>713</v>
      </c>
      <c r="F295" s="298"/>
      <c r="G295" s="388" t="s">
        <v>401</v>
      </c>
      <c r="H295" s="302">
        <v>45953</v>
      </c>
      <c r="I295" s="281">
        <v>1</v>
      </c>
      <c r="J295" s="241" t="s">
        <v>714</v>
      </c>
      <c r="K295" s="284">
        <v>314</v>
      </c>
      <c r="L295" s="281" t="s">
        <v>715</v>
      </c>
      <c r="M295" s="303">
        <v>44930</v>
      </c>
      <c r="N295" s="281">
        <v>6</v>
      </c>
      <c r="O295" s="304"/>
      <c r="P295" s="305">
        <v>46052</v>
      </c>
      <c r="Q295" s="306">
        <v>46045</v>
      </c>
      <c r="R295" s="289">
        <f t="shared" si="5"/>
        <v>-7</v>
      </c>
      <c r="S295" s="241"/>
      <c r="AA295" s="281">
        <v>1068</v>
      </c>
    </row>
    <row r="296" spans="1:27" ht="18" customHeight="1">
      <c r="A296" s="298"/>
      <c r="B296" s="299"/>
      <c r="C296" s="241"/>
      <c r="D296" s="298"/>
      <c r="E296" s="300"/>
      <c r="F296" s="298"/>
      <c r="G296" s="241"/>
      <c r="H296" s="302"/>
      <c r="J296" s="241"/>
      <c r="M296" s="303"/>
      <c r="N296" s="281"/>
      <c r="O296" s="304"/>
      <c r="P296" s="305"/>
      <c r="Q296" s="306"/>
      <c r="R296" s="289" t="str">
        <f t="shared" si="5"/>
        <v/>
      </c>
      <c r="S296" s="241"/>
      <c r="AA296" s="281">
        <v>1094</v>
      </c>
    </row>
    <row r="297" spans="1:27" ht="18" customHeight="1">
      <c r="A297" s="298">
        <v>39115</v>
      </c>
      <c r="B297" s="299">
        <v>72887</v>
      </c>
      <c r="C297" s="241" t="s">
        <v>62</v>
      </c>
      <c r="D297" s="298">
        <v>3</v>
      </c>
      <c r="E297" s="300" t="s">
        <v>716</v>
      </c>
      <c r="F297" s="298"/>
      <c r="G297" s="388" t="s">
        <v>401</v>
      </c>
      <c r="H297" s="302">
        <v>45953</v>
      </c>
      <c r="I297" s="281">
        <v>1</v>
      </c>
      <c r="J297" s="241" t="s">
        <v>717</v>
      </c>
      <c r="K297" s="284">
        <v>2182</v>
      </c>
      <c r="L297" s="281" t="s">
        <v>718</v>
      </c>
      <c r="M297" s="303"/>
      <c r="N297" s="281"/>
      <c r="O297" s="304"/>
      <c r="P297" s="305">
        <v>46052</v>
      </c>
      <c r="Q297" s="306"/>
      <c r="R297" s="289" t="str">
        <f t="shared" si="5"/>
        <v/>
      </c>
      <c r="S297" s="241"/>
      <c r="AA297" s="281">
        <v>1095</v>
      </c>
    </row>
    <row r="298" spans="1:27" ht="18" customHeight="1">
      <c r="A298" s="298"/>
      <c r="B298" s="299"/>
      <c r="C298" s="241"/>
      <c r="D298" s="298"/>
      <c r="E298" s="300"/>
      <c r="F298" s="298"/>
      <c r="G298" s="241"/>
      <c r="H298" s="302"/>
      <c r="J298" s="241"/>
      <c r="M298" s="303"/>
      <c r="N298" s="281"/>
      <c r="O298" s="304"/>
      <c r="P298" s="305"/>
      <c r="Q298" s="306"/>
      <c r="R298" s="289" t="str">
        <f t="shared" si="5"/>
        <v/>
      </c>
      <c r="S298" s="241"/>
      <c r="AA298" s="281">
        <v>1096</v>
      </c>
    </row>
    <row r="299" spans="1:27" ht="18" customHeight="1">
      <c r="A299" s="298">
        <v>39116</v>
      </c>
      <c r="B299" s="299">
        <v>72888</v>
      </c>
      <c r="C299" s="241" t="s">
        <v>62</v>
      </c>
      <c r="D299" s="298">
        <v>3</v>
      </c>
      <c r="E299" s="300" t="s">
        <v>719</v>
      </c>
      <c r="F299" s="298" t="s">
        <v>17</v>
      </c>
      <c r="G299" s="388" t="s">
        <v>401</v>
      </c>
      <c r="H299" s="302">
        <v>45953</v>
      </c>
      <c r="I299" s="281">
        <v>1</v>
      </c>
      <c r="J299" s="241" t="s">
        <v>720</v>
      </c>
      <c r="K299" s="284">
        <v>2840</v>
      </c>
      <c r="L299" s="281" t="s">
        <v>721</v>
      </c>
      <c r="M299" s="303"/>
      <c r="N299" s="281"/>
      <c r="O299" s="304"/>
      <c r="P299" s="305">
        <v>46052</v>
      </c>
      <c r="Q299" s="306"/>
      <c r="R299" s="289" t="str">
        <f t="shared" si="5"/>
        <v/>
      </c>
      <c r="S299" s="241"/>
      <c r="AA299" s="281">
        <v>1097</v>
      </c>
    </row>
    <row r="300" spans="1:27" ht="18" customHeight="1">
      <c r="A300" s="298"/>
      <c r="B300" s="299"/>
      <c r="C300" s="241"/>
      <c r="D300" s="298"/>
      <c r="E300" s="300"/>
      <c r="F300" s="298"/>
      <c r="G300" s="241"/>
      <c r="H300" s="302"/>
      <c r="J300" s="241"/>
      <c r="M300" s="303"/>
      <c r="N300" s="281"/>
      <c r="O300" s="304"/>
      <c r="P300" s="305"/>
      <c r="Q300" s="306"/>
      <c r="R300" s="289" t="str">
        <f t="shared" si="5"/>
        <v/>
      </c>
      <c r="S300" s="241"/>
      <c r="AA300" s="281">
        <v>1098</v>
      </c>
    </row>
    <row r="301" spans="1:27" ht="18" customHeight="1">
      <c r="A301" s="298">
        <v>39118</v>
      </c>
      <c r="B301" s="299">
        <v>72890</v>
      </c>
      <c r="C301" s="241" t="s">
        <v>62</v>
      </c>
      <c r="D301" s="298">
        <v>3</v>
      </c>
      <c r="E301" s="300" t="s">
        <v>722</v>
      </c>
      <c r="F301" s="298"/>
      <c r="G301" s="388" t="s">
        <v>401</v>
      </c>
      <c r="H301" s="302">
        <v>45953</v>
      </c>
      <c r="I301" s="281">
        <v>1</v>
      </c>
      <c r="J301" s="241" t="s">
        <v>723</v>
      </c>
      <c r="K301" s="284">
        <v>1662</v>
      </c>
      <c r="L301" s="281" t="s">
        <v>724</v>
      </c>
      <c r="M301" s="303"/>
      <c r="N301" s="281"/>
      <c r="O301" s="304"/>
      <c r="P301" s="305">
        <v>46052</v>
      </c>
      <c r="Q301" s="306"/>
      <c r="R301" s="289" t="str">
        <f t="shared" si="5"/>
        <v/>
      </c>
      <c r="S301" s="241"/>
      <c r="AA301" s="281">
        <v>1099</v>
      </c>
    </row>
    <row r="302" spans="1:27" ht="18" customHeight="1">
      <c r="A302" s="298"/>
      <c r="B302" s="299"/>
      <c r="C302" s="241"/>
      <c r="D302" s="298"/>
      <c r="E302" s="300"/>
      <c r="F302" s="298"/>
      <c r="G302" s="241"/>
      <c r="H302" s="302"/>
      <c r="J302" s="241"/>
      <c r="M302" s="303"/>
      <c r="N302" s="281"/>
      <c r="O302" s="304"/>
      <c r="P302" s="305"/>
      <c r="Q302" s="306"/>
      <c r="R302" s="289" t="str">
        <f t="shared" si="5"/>
        <v/>
      </c>
      <c r="S302" s="241"/>
      <c r="AA302" s="281">
        <v>1100</v>
      </c>
    </row>
    <row r="303" spans="1:27" ht="18" customHeight="1">
      <c r="A303" s="298">
        <v>39120</v>
      </c>
      <c r="B303" s="299">
        <v>72892</v>
      </c>
      <c r="C303" s="241" t="s">
        <v>62</v>
      </c>
      <c r="D303" s="298">
        <v>3</v>
      </c>
      <c r="E303" s="300" t="s">
        <v>725</v>
      </c>
      <c r="F303" s="298"/>
      <c r="G303" s="388" t="s">
        <v>401</v>
      </c>
      <c r="H303" s="302">
        <v>45953</v>
      </c>
      <c r="I303" s="281">
        <v>1</v>
      </c>
      <c r="J303" s="241" t="s">
        <v>726</v>
      </c>
      <c r="K303" s="284">
        <v>1328</v>
      </c>
      <c r="L303" s="281" t="s">
        <v>727</v>
      </c>
      <c r="M303" s="303"/>
      <c r="N303" s="281"/>
      <c r="O303" s="304"/>
      <c r="P303" s="305">
        <v>46052</v>
      </c>
      <c r="Q303" s="306"/>
      <c r="R303" s="289" t="str">
        <f t="shared" si="5"/>
        <v/>
      </c>
      <c r="S303" s="241"/>
      <c r="AA303" s="281">
        <v>1101</v>
      </c>
    </row>
    <row r="304" spans="1:27" ht="18" customHeight="1">
      <c r="A304" s="298"/>
      <c r="B304" s="299"/>
      <c r="C304" s="241"/>
      <c r="D304" s="298"/>
      <c r="E304" s="300"/>
      <c r="F304" s="298"/>
      <c r="G304" s="241"/>
      <c r="H304" s="302"/>
      <c r="J304" s="241"/>
      <c r="M304" s="303"/>
      <c r="N304" s="281"/>
      <c r="O304" s="304"/>
      <c r="P304" s="305"/>
      <c r="Q304" s="306"/>
      <c r="R304" s="289" t="str">
        <f t="shared" si="5"/>
        <v/>
      </c>
      <c r="S304" s="241"/>
      <c r="AA304" s="281">
        <v>1102</v>
      </c>
    </row>
    <row r="305" spans="1:27" ht="18" customHeight="1">
      <c r="A305" s="298">
        <v>39121</v>
      </c>
      <c r="B305" s="299">
        <v>72893</v>
      </c>
      <c r="C305" s="241" t="s">
        <v>62</v>
      </c>
      <c r="D305" s="298">
        <v>3</v>
      </c>
      <c r="E305" s="300" t="s">
        <v>728</v>
      </c>
      <c r="F305" s="298"/>
      <c r="G305" s="388" t="s">
        <v>401</v>
      </c>
      <c r="H305" s="302">
        <v>45953</v>
      </c>
      <c r="I305" s="281">
        <v>1</v>
      </c>
      <c r="J305" s="241" t="s">
        <v>729</v>
      </c>
      <c r="K305" s="284">
        <v>2280</v>
      </c>
      <c r="L305" s="281" t="s">
        <v>730</v>
      </c>
      <c r="M305" s="303"/>
      <c r="N305" s="281"/>
      <c r="O305" s="304"/>
      <c r="P305" s="305">
        <v>46052</v>
      </c>
      <c r="Q305" s="306"/>
      <c r="R305" s="289" t="str">
        <f t="shared" si="5"/>
        <v/>
      </c>
      <c r="S305" s="241"/>
      <c r="AA305" s="281">
        <v>1103</v>
      </c>
    </row>
    <row r="306" spans="1:27" ht="18" customHeight="1">
      <c r="A306" s="298"/>
      <c r="B306" s="299"/>
      <c r="C306" s="241"/>
      <c r="D306" s="298"/>
      <c r="E306" s="300"/>
      <c r="F306" s="298"/>
      <c r="G306" s="241"/>
      <c r="H306" s="302"/>
      <c r="J306" s="241"/>
      <c r="M306" s="303"/>
      <c r="N306" s="281"/>
      <c r="O306" s="304"/>
      <c r="P306" s="305"/>
      <c r="Q306" s="306"/>
      <c r="R306" s="289" t="str">
        <f t="shared" si="5"/>
        <v/>
      </c>
      <c r="S306" s="241"/>
      <c r="AA306" s="281">
        <v>1104</v>
      </c>
    </row>
    <row r="307" spans="1:27" ht="18" customHeight="1">
      <c r="A307" s="298">
        <v>39122</v>
      </c>
      <c r="B307" s="299">
        <v>72894</v>
      </c>
      <c r="C307" s="241" t="s">
        <v>0</v>
      </c>
      <c r="D307" s="298">
        <v>1</v>
      </c>
      <c r="E307" s="300" t="s">
        <v>731</v>
      </c>
      <c r="F307" s="298"/>
      <c r="G307" s="241" t="s">
        <v>243</v>
      </c>
      <c r="H307" s="302">
        <v>45953</v>
      </c>
      <c r="I307" s="281">
        <v>1</v>
      </c>
      <c r="J307" s="241" t="s">
        <v>779</v>
      </c>
      <c r="K307" s="284">
        <v>2950</v>
      </c>
      <c r="L307" s="281" t="s">
        <v>780</v>
      </c>
      <c r="M307" s="303"/>
      <c r="N307" s="281"/>
      <c r="O307" s="304"/>
      <c r="P307" s="305">
        <v>46007</v>
      </c>
      <c r="Q307" s="306"/>
      <c r="R307" s="289" t="str">
        <f t="shared" si="5"/>
        <v/>
      </c>
      <c r="S307" s="241"/>
      <c r="AA307" s="281">
        <v>1105</v>
      </c>
    </row>
    <row r="308" spans="1:27" ht="18" customHeight="1">
      <c r="A308" s="298">
        <v>39122</v>
      </c>
      <c r="B308" s="299">
        <v>72911</v>
      </c>
      <c r="C308" s="241" t="s">
        <v>0</v>
      </c>
      <c r="D308" s="298">
        <v>1</v>
      </c>
      <c r="E308" s="300">
        <v>72894</v>
      </c>
      <c r="F308" s="298"/>
      <c r="G308" s="241" t="s">
        <v>391</v>
      </c>
      <c r="H308" s="302">
        <v>45972</v>
      </c>
      <c r="I308" s="281">
        <v>2</v>
      </c>
      <c r="J308" s="241" t="s">
        <v>781</v>
      </c>
      <c r="K308" s="284">
        <v>3232</v>
      </c>
      <c r="L308" s="281" t="s">
        <v>780</v>
      </c>
      <c r="M308" s="303"/>
      <c r="N308" s="281"/>
      <c r="O308" s="304"/>
      <c r="P308" s="305">
        <v>46007</v>
      </c>
      <c r="Q308" s="306"/>
      <c r="R308" s="289" t="str">
        <f t="shared" si="5"/>
        <v/>
      </c>
      <c r="S308" s="241"/>
      <c r="AA308" s="281">
        <v>1106</v>
      </c>
    </row>
    <row r="309" spans="1:27" ht="18" customHeight="1">
      <c r="A309" s="298"/>
      <c r="B309" s="299"/>
      <c r="C309" s="241"/>
      <c r="D309" s="298"/>
      <c r="E309" s="300"/>
      <c r="F309" s="298"/>
      <c r="G309" s="241"/>
      <c r="H309" s="302"/>
      <c r="J309" s="241"/>
      <c r="M309" s="303"/>
      <c r="N309" s="281"/>
      <c r="O309" s="304"/>
      <c r="P309" s="305"/>
      <c r="Q309" s="306"/>
      <c r="R309" s="289" t="str">
        <f t="shared" si="5"/>
        <v/>
      </c>
      <c r="S309" s="241"/>
      <c r="AA309" s="281">
        <v>1107</v>
      </c>
    </row>
    <row r="310" spans="1:27" ht="18" customHeight="1">
      <c r="A310" s="298">
        <v>39123</v>
      </c>
      <c r="B310" s="299">
        <v>72895</v>
      </c>
      <c r="C310" s="241" t="s">
        <v>62</v>
      </c>
      <c r="D310" s="298">
        <v>3</v>
      </c>
      <c r="E310" s="300" t="s">
        <v>732</v>
      </c>
      <c r="F310" s="298"/>
      <c r="G310" s="388" t="s">
        <v>401</v>
      </c>
      <c r="H310" s="302">
        <v>45953</v>
      </c>
      <c r="I310" s="281">
        <v>1</v>
      </c>
      <c r="J310" s="241" t="s">
        <v>733</v>
      </c>
      <c r="K310" s="284">
        <v>4400</v>
      </c>
      <c r="L310" s="281" t="s">
        <v>734</v>
      </c>
      <c r="M310" s="303"/>
      <c r="N310" s="281"/>
      <c r="O310" s="304"/>
      <c r="P310" s="305">
        <v>46052</v>
      </c>
      <c r="Q310" s="306"/>
      <c r="R310" s="289" t="str">
        <f t="shared" si="5"/>
        <v/>
      </c>
      <c r="S310" s="241"/>
      <c r="AA310" s="281">
        <v>1108</v>
      </c>
    </row>
    <row r="311" spans="1:27" ht="18" customHeight="1">
      <c r="A311" s="298"/>
      <c r="B311" s="299"/>
      <c r="C311" s="241"/>
      <c r="D311" s="298"/>
      <c r="E311" s="300"/>
      <c r="F311" s="298"/>
      <c r="G311" s="241"/>
      <c r="H311" s="302"/>
      <c r="J311" s="241"/>
      <c r="M311" s="303"/>
      <c r="N311" s="281"/>
      <c r="O311" s="304"/>
      <c r="P311" s="305"/>
      <c r="Q311" s="306"/>
      <c r="R311" s="289" t="str">
        <f t="shared" ref="R311:R374" si="6">IF(SUM(Q311)&gt;0,SUM(Q311-P311),"")</f>
        <v/>
      </c>
      <c r="S311" s="241"/>
      <c r="AA311" s="281">
        <v>1109</v>
      </c>
    </row>
    <row r="312" spans="1:27" ht="18" customHeight="1">
      <c r="A312" s="298">
        <v>39124</v>
      </c>
      <c r="B312" s="299">
        <v>72896</v>
      </c>
      <c r="C312" s="241" t="s">
        <v>62</v>
      </c>
      <c r="D312" s="298">
        <v>6</v>
      </c>
      <c r="E312" s="300" t="s">
        <v>735</v>
      </c>
      <c r="F312" s="298"/>
      <c r="G312" s="388" t="s">
        <v>401</v>
      </c>
      <c r="H312" s="302">
        <v>45953</v>
      </c>
      <c r="I312" s="281">
        <v>1</v>
      </c>
      <c r="J312" s="241" t="s">
        <v>738</v>
      </c>
      <c r="K312" s="284">
        <v>3376</v>
      </c>
      <c r="L312" s="281" t="s">
        <v>736</v>
      </c>
      <c r="M312" s="303"/>
      <c r="N312" s="281"/>
      <c r="O312" s="304"/>
      <c r="P312" s="305">
        <v>46052</v>
      </c>
      <c r="Q312" s="306"/>
      <c r="R312" s="289" t="str">
        <f t="shared" si="6"/>
        <v/>
      </c>
      <c r="S312" s="241"/>
      <c r="AA312" s="281">
        <v>1110</v>
      </c>
    </row>
    <row r="313" spans="1:27" ht="18" customHeight="1">
      <c r="A313" s="298"/>
      <c r="B313" s="299"/>
      <c r="C313" s="241"/>
      <c r="D313" s="298"/>
      <c r="E313" s="300"/>
      <c r="F313" s="298"/>
      <c r="G313" s="241"/>
      <c r="H313" s="302"/>
      <c r="J313" s="241"/>
      <c r="M313" s="303"/>
      <c r="N313" s="281"/>
      <c r="O313" s="304"/>
      <c r="P313" s="305"/>
      <c r="Q313" s="306"/>
      <c r="R313" s="289" t="str">
        <f t="shared" si="6"/>
        <v/>
      </c>
      <c r="S313" s="241"/>
      <c r="AA313" s="281">
        <v>1111</v>
      </c>
    </row>
    <row r="314" spans="1:27" ht="18" customHeight="1">
      <c r="A314" s="298">
        <v>39125</v>
      </c>
      <c r="B314" s="299">
        <v>72897</v>
      </c>
      <c r="C314" s="241" t="s">
        <v>62</v>
      </c>
      <c r="D314" s="298">
        <v>1</v>
      </c>
      <c r="E314" s="300" t="s">
        <v>737</v>
      </c>
      <c r="F314" s="298"/>
      <c r="G314" s="388" t="s">
        <v>401</v>
      </c>
      <c r="H314" s="302">
        <v>45953</v>
      </c>
      <c r="I314" s="281">
        <v>1</v>
      </c>
      <c r="J314" s="241" t="s">
        <v>739</v>
      </c>
      <c r="K314" s="284">
        <v>13752</v>
      </c>
      <c r="L314" s="281" t="s">
        <v>740</v>
      </c>
      <c r="M314" s="303"/>
      <c r="N314" s="281"/>
      <c r="O314" s="304"/>
      <c r="P314" s="305">
        <v>46001</v>
      </c>
      <c r="Q314" s="306"/>
      <c r="R314" s="289" t="str">
        <f t="shared" si="6"/>
        <v/>
      </c>
      <c r="S314" s="241"/>
      <c r="AA314" s="281">
        <v>1112</v>
      </c>
    </row>
    <row r="315" spans="1:27" ht="18" customHeight="1">
      <c r="A315" s="298"/>
      <c r="B315" s="299"/>
      <c r="C315" s="241"/>
      <c r="D315" s="298"/>
      <c r="E315" s="300"/>
      <c r="F315" s="298"/>
      <c r="G315" s="241"/>
      <c r="H315" s="302"/>
      <c r="J315" s="241"/>
      <c r="M315" s="303"/>
      <c r="N315" s="281"/>
      <c r="O315" s="304"/>
      <c r="P315" s="305"/>
      <c r="Q315" s="306"/>
      <c r="R315" s="289" t="str">
        <f t="shared" si="6"/>
        <v/>
      </c>
      <c r="S315" s="241"/>
      <c r="AA315" s="281">
        <v>1113</v>
      </c>
    </row>
    <row r="316" spans="1:27" ht="18" customHeight="1">
      <c r="A316" s="298">
        <v>39126</v>
      </c>
      <c r="B316" s="299">
        <v>72898</v>
      </c>
      <c r="C316" s="241" t="s">
        <v>31</v>
      </c>
      <c r="D316" s="298">
        <v>1</v>
      </c>
      <c r="E316" s="300">
        <v>658495</v>
      </c>
      <c r="F316" s="298" t="s">
        <v>276</v>
      </c>
      <c r="G316" s="241" t="s">
        <v>741</v>
      </c>
      <c r="H316" s="302">
        <v>45954</v>
      </c>
      <c r="I316" s="281">
        <v>1</v>
      </c>
      <c r="J316" s="241" t="s">
        <v>742</v>
      </c>
      <c r="K316" s="284">
        <v>2824</v>
      </c>
      <c r="L316" s="281">
        <v>211256067</v>
      </c>
      <c r="M316" s="303"/>
      <c r="N316" s="281"/>
      <c r="O316" s="304"/>
      <c r="P316" s="390">
        <v>46054</v>
      </c>
      <c r="Q316" s="306"/>
      <c r="R316" s="289" t="str">
        <f t="shared" si="6"/>
        <v/>
      </c>
      <c r="S316" s="241"/>
      <c r="AA316" s="281">
        <v>1114</v>
      </c>
    </row>
    <row r="317" spans="1:27" ht="18" customHeight="1">
      <c r="A317" s="298"/>
      <c r="B317" s="299"/>
      <c r="C317" s="241"/>
      <c r="D317" s="298"/>
      <c r="E317" s="300"/>
      <c r="F317" s="298"/>
      <c r="G317" s="241"/>
      <c r="H317" s="302"/>
      <c r="J317" s="241"/>
      <c r="M317" s="303"/>
      <c r="N317" s="281"/>
      <c r="O317" s="304"/>
      <c r="P317" s="305"/>
      <c r="Q317" s="306"/>
      <c r="R317" s="289" t="str">
        <f t="shared" si="6"/>
        <v/>
      </c>
      <c r="S317" s="241"/>
      <c r="AA317" s="281">
        <v>1115</v>
      </c>
    </row>
    <row r="318" spans="1:27" ht="18" customHeight="1">
      <c r="A318" s="298">
        <v>39128</v>
      </c>
      <c r="B318" s="299">
        <v>72901</v>
      </c>
      <c r="C318" s="241" t="s">
        <v>41</v>
      </c>
      <c r="D318" s="298">
        <v>32</v>
      </c>
      <c r="E318" s="307" t="s">
        <v>744</v>
      </c>
      <c r="F318" s="298">
        <v>3</v>
      </c>
      <c r="G318" s="241" t="s">
        <v>682</v>
      </c>
      <c r="H318" s="302">
        <v>45957</v>
      </c>
      <c r="I318" s="281">
        <v>1</v>
      </c>
      <c r="J318" s="241" t="s">
        <v>745</v>
      </c>
      <c r="K318" s="284">
        <v>7316</v>
      </c>
      <c r="L318" s="281" t="s">
        <v>782</v>
      </c>
      <c r="M318" s="303"/>
      <c r="N318" s="281"/>
      <c r="O318" s="304"/>
      <c r="P318" s="305">
        <v>46111</v>
      </c>
      <c r="Q318" s="306"/>
      <c r="R318" s="289" t="str">
        <f t="shared" si="6"/>
        <v/>
      </c>
      <c r="S318" s="241"/>
      <c r="AA318" s="281">
        <v>1116</v>
      </c>
    </row>
    <row r="319" spans="1:27" ht="18" customHeight="1">
      <c r="A319" s="298"/>
      <c r="B319" s="299"/>
      <c r="C319" s="241"/>
      <c r="D319" s="298"/>
      <c r="E319" s="300"/>
      <c r="F319" s="298"/>
      <c r="G319" s="241"/>
      <c r="H319" s="302"/>
      <c r="J319" s="241"/>
      <c r="M319" s="303"/>
      <c r="N319" s="281"/>
      <c r="O319" s="304"/>
      <c r="P319" s="305"/>
      <c r="Q319" s="306"/>
      <c r="R319" s="289" t="str">
        <f t="shared" si="6"/>
        <v/>
      </c>
      <c r="S319" s="241"/>
      <c r="AA319" s="281">
        <v>1117</v>
      </c>
    </row>
    <row r="320" spans="1:27" ht="18" customHeight="1">
      <c r="A320" s="298">
        <v>39129</v>
      </c>
      <c r="B320" s="299">
        <v>72902</v>
      </c>
      <c r="C320" s="241" t="s">
        <v>164</v>
      </c>
      <c r="D320" s="298">
        <v>1</v>
      </c>
      <c r="E320" s="300" t="s">
        <v>746</v>
      </c>
      <c r="F320" s="298"/>
      <c r="G320" s="241" t="s">
        <v>382</v>
      </c>
      <c r="H320" s="302">
        <v>45957</v>
      </c>
      <c r="I320" s="281">
        <v>10</v>
      </c>
      <c r="J320" s="241" t="s">
        <v>747</v>
      </c>
      <c r="K320" s="284">
        <v>1645</v>
      </c>
      <c r="L320" s="281">
        <v>7000553084</v>
      </c>
      <c r="M320" s="303"/>
      <c r="N320" s="281"/>
      <c r="O320" s="304"/>
      <c r="P320" s="305">
        <v>46112</v>
      </c>
      <c r="Q320" s="306"/>
      <c r="R320" s="289" t="str">
        <f t="shared" si="6"/>
        <v/>
      </c>
      <c r="S320" s="241"/>
      <c r="AA320" s="281">
        <v>1118</v>
      </c>
    </row>
    <row r="321" spans="1:27" ht="18" customHeight="1">
      <c r="A321" s="298"/>
      <c r="B321" s="299"/>
      <c r="C321" s="241"/>
      <c r="D321" s="298"/>
      <c r="E321" s="300"/>
      <c r="F321" s="298"/>
      <c r="G321" s="241"/>
      <c r="H321" s="302"/>
      <c r="J321" s="241"/>
      <c r="M321" s="303"/>
      <c r="N321" s="281"/>
      <c r="O321" s="304"/>
      <c r="P321" s="305"/>
      <c r="Q321" s="306"/>
      <c r="R321" s="289" t="str">
        <f t="shared" si="6"/>
        <v/>
      </c>
      <c r="S321" s="241"/>
      <c r="AA321" s="281">
        <v>1119</v>
      </c>
    </row>
    <row r="322" spans="1:27" ht="18" customHeight="1">
      <c r="A322" s="298">
        <v>39132</v>
      </c>
      <c r="B322" s="299">
        <v>72906</v>
      </c>
      <c r="C322" s="241" t="s">
        <v>41</v>
      </c>
      <c r="D322" s="298">
        <v>3</v>
      </c>
      <c r="E322" s="300" t="s">
        <v>763</v>
      </c>
      <c r="F322" s="298">
        <v>0</v>
      </c>
      <c r="G322" s="241" t="s">
        <v>275</v>
      </c>
      <c r="H322" s="302">
        <v>45960</v>
      </c>
      <c r="I322" s="281">
        <v>1</v>
      </c>
      <c r="J322" s="241" t="s">
        <v>764</v>
      </c>
      <c r="K322" s="284">
        <v>29698</v>
      </c>
      <c r="L322" s="350" t="s">
        <v>783</v>
      </c>
      <c r="M322" s="303"/>
      <c r="N322" s="281"/>
      <c r="O322" s="304"/>
      <c r="P322" s="424">
        <v>46080</v>
      </c>
      <c r="Q322" s="306"/>
      <c r="R322" s="289" t="str">
        <f t="shared" si="6"/>
        <v/>
      </c>
      <c r="S322" s="241"/>
      <c r="AA322" s="281">
        <v>1120</v>
      </c>
    </row>
    <row r="323" spans="1:27" ht="18" customHeight="1">
      <c r="A323" s="298"/>
      <c r="B323" s="299"/>
      <c r="C323" s="241"/>
      <c r="D323" s="298"/>
      <c r="E323" s="300"/>
      <c r="F323" s="298"/>
      <c r="G323" s="241"/>
      <c r="H323" s="302"/>
      <c r="J323" s="241"/>
      <c r="M323" s="303"/>
      <c r="N323" s="281"/>
      <c r="O323" s="304"/>
      <c r="P323" s="305"/>
      <c r="Q323" s="306"/>
      <c r="R323" s="289" t="str">
        <f t="shared" si="6"/>
        <v/>
      </c>
      <c r="S323" s="241"/>
      <c r="AA323" s="281">
        <v>1121</v>
      </c>
    </row>
    <row r="324" spans="1:27" ht="18" customHeight="1">
      <c r="A324" s="298">
        <v>39137</v>
      </c>
      <c r="B324" s="299">
        <v>72912</v>
      </c>
      <c r="C324" s="241" t="s">
        <v>224</v>
      </c>
      <c r="D324" s="298">
        <v>2</v>
      </c>
      <c r="E324" s="300" t="s">
        <v>784</v>
      </c>
      <c r="F324" s="298"/>
      <c r="G324" s="241" t="s">
        <v>785</v>
      </c>
      <c r="H324" s="302">
        <v>45972</v>
      </c>
      <c r="I324" s="281">
        <v>1</v>
      </c>
      <c r="J324" s="241" t="s">
        <v>786</v>
      </c>
      <c r="K324" s="284">
        <v>180</v>
      </c>
      <c r="L324" s="281" t="s">
        <v>787</v>
      </c>
      <c r="M324" s="303"/>
      <c r="N324" s="281"/>
      <c r="O324" s="304"/>
      <c r="P324" s="305">
        <v>45979</v>
      </c>
      <c r="Q324" s="306"/>
      <c r="R324" s="289" t="str">
        <f t="shared" si="6"/>
        <v/>
      </c>
      <c r="S324" s="241"/>
      <c r="AA324" s="281">
        <v>1122</v>
      </c>
    </row>
    <row r="325" spans="1:27" ht="18" customHeight="1">
      <c r="A325" s="298">
        <v>39137</v>
      </c>
      <c r="B325" s="299">
        <v>72913</v>
      </c>
      <c r="C325" s="241" t="s">
        <v>224</v>
      </c>
      <c r="D325" s="298">
        <v>2</v>
      </c>
      <c r="E325" s="300" t="s">
        <v>788</v>
      </c>
      <c r="F325" s="298"/>
      <c r="G325" s="241" t="s">
        <v>785</v>
      </c>
      <c r="H325" s="302">
        <v>45972</v>
      </c>
      <c r="I325" s="281">
        <v>2</v>
      </c>
      <c r="J325" s="241" t="s">
        <v>789</v>
      </c>
      <c r="K325" s="284">
        <v>5680</v>
      </c>
      <c r="L325" s="281" t="s">
        <v>787</v>
      </c>
      <c r="M325" s="303"/>
      <c r="N325" s="281"/>
      <c r="O325" s="304"/>
      <c r="P325" s="305">
        <v>46000</v>
      </c>
      <c r="Q325" s="306"/>
      <c r="R325" s="289" t="str">
        <f t="shared" si="6"/>
        <v/>
      </c>
      <c r="S325" s="241"/>
      <c r="AA325" s="281">
        <v>1123</v>
      </c>
    </row>
    <row r="326" spans="1:27" ht="18" customHeight="1">
      <c r="A326" s="298"/>
      <c r="B326" s="299"/>
      <c r="C326" s="241"/>
      <c r="D326" s="298"/>
      <c r="E326" s="300"/>
      <c r="F326" s="298"/>
      <c r="G326" s="241"/>
      <c r="H326" s="302"/>
      <c r="J326" s="241"/>
      <c r="M326" s="303"/>
      <c r="N326" s="281"/>
      <c r="O326" s="304"/>
      <c r="P326" s="305"/>
      <c r="Q326" s="306"/>
      <c r="R326" s="289" t="str">
        <f t="shared" si="6"/>
        <v/>
      </c>
      <c r="S326" s="241"/>
      <c r="AA326" s="281">
        <v>1124</v>
      </c>
    </row>
    <row r="327" spans="1:27" ht="18" customHeight="1">
      <c r="A327" s="298">
        <v>39140</v>
      </c>
      <c r="B327" s="402">
        <v>72916</v>
      </c>
      <c r="C327" s="241" t="s">
        <v>4</v>
      </c>
      <c r="D327" s="298">
        <v>2</v>
      </c>
      <c r="E327" s="300" t="s">
        <v>790</v>
      </c>
      <c r="F327" s="298"/>
      <c r="G327" s="241" t="s">
        <v>791</v>
      </c>
      <c r="H327" s="302">
        <v>45974</v>
      </c>
      <c r="I327" s="281">
        <v>10</v>
      </c>
      <c r="J327" s="241" t="s">
        <v>792</v>
      </c>
      <c r="K327" s="284">
        <v>316</v>
      </c>
      <c r="L327" s="281">
        <v>280105902</v>
      </c>
      <c r="M327" s="303"/>
      <c r="N327" s="281"/>
      <c r="O327" s="304"/>
      <c r="P327" s="305">
        <v>46002</v>
      </c>
      <c r="Q327" s="306"/>
      <c r="R327" s="289" t="str">
        <f t="shared" si="6"/>
        <v/>
      </c>
      <c r="S327" s="241"/>
      <c r="AA327" s="281">
        <v>1125</v>
      </c>
    </row>
    <row r="328" spans="1:27" ht="18" customHeight="1">
      <c r="A328" s="298">
        <v>39140</v>
      </c>
      <c r="B328" s="299">
        <v>72917</v>
      </c>
      <c r="C328" s="241" t="s">
        <v>4</v>
      </c>
      <c r="D328" s="298">
        <v>2</v>
      </c>
      <c r="E328" s="300" t="s">
        <v>793</v>
      </c>
      <c r="F328" s="298"/>
      <c r="G328" s="241" t="s">
        <v>791</v>
      </c>
      <c r="H328" s="302">
        <v>45974</v>
      </c>
      <c r="I328" s="281">
        <v>20</v>
      </c>
      <c r="J328" s="241" t="s">
        <v>794</v>
      </c>
      <c r="K328" s="284">
        <v>1412</v>
      </c>
      <c r="L328" s="281">
        <v>280105902</v>
      </c>
      <c r="M328" s="303"/>
      <c r="N328" s="281"/>
      <c r="O328" s="304"/>
      <c r="P328" s="305">
        <v>46002</v>
      </c>
      <c r="Q328" s="306"/>
      <c r="R328" s="289" t="str">
        <f t="shared" si="6"/>
        <v/>
      </c>
      <c r="S328" s="241"/>
      <c r="AA328" s="281">
        <v>1126</v>
      </c>
    </row>
    <row r="329" spans="1:27" ht="18" customHeight="1">
      <c r="A329" s="298">
        <v>39140</v>
      </c>
      <c r="B329" s="299">
        <v>72918</v>
      </c>
      <c r="C329" s="241" t="s">
        <v>4</v>
      </c>
      <c r="D329" s="298">
        <v>2</v>
      </c>
      <c r="E329" s="300" t="s">
        <v>795</v>
      </c>
      <c r="F329" s="298"/>
      <c r="G329" s="241" t="s">
        <v>791</v>
      </c>
      <c r="H329" s="302">
        <v>45974</v>
      </c>
      <c r="I329" s="281">
        <v>30</v>
      </c>
      <c r="J329" s="241" t="s">
        <v>796</v>
      </c>
      <c r="K329" s="284">
        <v>1412</v>
      </c>
      <c r="L329" s="281">
        <v>280105902</v>
      </c>
      <c r="M329" s="303"/>
      <c r="N329" s="281"/>
      <c r="O329" s="304"/>
      <c r="P329" s="305">
        <v>46002</v>
      </c>
      <c r="Q329" s="306"/>
      <c r="R329" s="289" t="str">
        <f t="shared" si="6"/>
        <v/>
      </c>
      <c r="S329" s="241"/>
      <c r="AA329" s="281">
        <v>1127</v>
      </c>
    </row>
    <row r="330" spans="1:27" ht="18" customHeight="1">
      <c r="A330" s="298">
        <v>39140</v>
      </c>
      <c r="B330" s="299">
        <v>72919</v>
      </c>
      <c r="C330" s="241" t="s">
        <v>4</v>
      </c>
      <c r="D330" s="298">
        <v>2</v>
      </c>
      <c r="E330" s="300" t="s">
        <v>797</v>
      </c>
      <c r="F330" s="298"/>
      <c r="G330" s="241" t="s">
        <v>791</v>
      </c>
      <c r="H330" s="302">
        <v>45974</v>
      </c>
      <c r="I330" s="281">
        <v>40</v>
      </c>
      <c r="J330" s="241" t="s">
        <v>798</v>
      </c>
      <c r="K330" s="284">
        <v>369</v>
      </c>
      <c r="L330" s="281">
        <v>280105902</v>
      </c>
      <c r="M330" s="303"/>
      <c r="N330" s="281"/>
      <c r="O330" s="304"/>
      <c r="P330" s="305">
        <v>46002</v>
      </c>
      <c r="Q330" s="306"/>
      <c r="R330" s="289" t="str">
        <f t="shared" si="6"/>
        <v/>
      </c>
      <c r="S330" s="241"/>
      <c r="AA330" s="281">
        <v>1128</v>
      </c>
    </row>
    <row r="331" spans="1:27" ht="18" customHeight="1">
      <c r="A331" s="298">
        <v>39140</v>
      </c>
      <c r="B331" s="299">
        <v>72920</v>
      </c>
      <c r="C331" s="241" t="s">
        <v>4</v>
      </c>
      <c r="D331" s="298">
        <v>2</v>
      </c>
      <c r="E331" s="300" t="s">
        <v>799</v>
      </c>
      <c r="F331" s="298"/>
      <c r="G331" s="241" t="s">
        <v>791</v>
      </c>
      <c r="H331" s="302">
        <v>45974</v>
      </c>
      <c r="I331" s="281">
        <v>50</v>
      </c>
      <c r="J331" s="241" t="s">
        <v>800</v>
      </c>
      <c r="K331" s="284">
        <v>372</v>
      </c>
      <c r="L331" s="281">
        <v>280105902</v>
      </c>
      <c r="M331" s="303"/>
      <c r="N331" s="281"/>
      <c r="O331" s="304"/>
      <c r="P331" s="305">
        <v>46002</v>
      </c>
      <c r="Q331" s="306"/>
      <c r="R331" s="289" t="str">
        <f t="shared" si="6"/>
        <v/>
      </c>
      <c r="S331" s="241"/>
      <c r="AA331" s="281">
        <v>1129</v>
      </c>
    </row>
    <row r="332" spans="1:27" ht="18" customHeight="1">
      <c r="A332" s="298">
        <v>39140</v>
      </c>
      <c r="B332" s="299">
        <v>72921</v>
      </c>
      <c r="C332" s="241" t="s">
        <v>4</v>
      </c>
      <c r="D332" s="298">
        <v>2</v>
      </c>
      <c r="E332" s="300" t="s">
        <v>801</v>
      </c>
      <c r="F332" s="298"/>
      <c r="G332" s="241" t="s">
        <v>791</v>
      </c>
      <c r="H332" s="302">
        <v>45974</v>
      </c>
      <c r="I332" s="281">
        <v>60</v>
      </c>
      <c r="J332" s="241" t="s">
        <v>802</v>
      </c>
      <c r="K332" s="284">
        <v>814</v>
      </c>
      <c r="L332" s="281">
        <v>280105902</v>
      </c>
      <c r="M332" s="303"/>
      <c r="N332" s="281"/>
      <c r="O332" s="304"/>
      <c r="P332" s="305">
        <v>46002</v>
      </c>
      <c r="Q332" s="306"/>
      <c r="R332" s="289" t="str">
        <f t="shared" si="6"/>
        <v/>
      </c>
      <c r="S332" s="241"/>
      <c r="AA332" s="281">
        <v>1130</v>
      </c>
    </row>
    <row r="333" spans="1:27" ht="18" customHeight="1">
      <c r="A333" s="298"/>
      <c r="B333" s="299"/>
      <c r="C333" s="241"/>
      <c r="D333" s="298"/>
      <c r="E333" s="300"/>
      <c r="F333" s="298"/>
      <c r="G333" s="241"/>
      <c r="H333" s="302"/>
      <c r="J333" s="241"/>
      <c r="M333" s="303"/>
      <c r="N333" s="281"/>
      <c r="O333" s="304"/>
      <c r="P333" s="305"/>
      <c r="Q333" s="306"/>
      <c r="R333" s="289" t="str">
        <f t="shared" si="6"/>
        <v/>
      </c>
      <c r="S333" s="241"/>
      <c r="AA333" s="281">
        <v>1131</v>
      </c>
    </row>
    <row r="334" spans="1:27" ht="18" customHeight="1">
      <c r="A334" s="298">
        <v>39141</v>
      </c>
      <c r="B334" s="299">
        <v>72922</v>
      </c>
      <c r="C334" s="241" t="s">
        <v>41</v>
      </c>
      <c r="D334" s="298">
        <v>2</v>
      </c>
      <c r="E334" s="300" t="s">
        <v>803</v>
      </c>
      <c r="F334" s="298"/>
      <c r="G334" s="241" t="s">
        <v>244</v>
      </c>
      <c r="H334" s="302">
        <v>45974</v>
      </c>
      <c r="I334" s="281">
        <v>1</v>
      </c>
      <c r="J334" s="241" t="s">
        <v>804</v>
      </c>
      <c r="K334" s="284">
        <v>498</v>
      </c>
      <c r="L334" s="281" t="s">
        <v>805</v>
      </c>
      <c r="M334" s="303"/>
      <c r="N334" s="281"/>
      <c r="O334" s="304"/>
      <c r="P334" s="305">
        <v>45995</v>
      </c>
      <c r="Q334" s="306"/>
      <c r="R334" s="289" t="str">
        <f t="shared" si="6"/>
        <v/>
      </c>
      <c r="S334" s="241"/>
      <c r="AA334" s="281">
        <v>1131</v>
      </c>
    </row>
    <row r="335" spans="1:27" ht="18" customHeight="1">
      <c r="A335" s="298">
        <v>39141</v>
      </c>
      <c r="B335" s="299">
        <v>72923</v>
      </c>
      <c r="C335" s="241" t="s">
        <v>41</v>
      </c>
      <c r="D335" s="298">
        <v>1</v>
      </c>
      <c r="E335" s="300" t="s">
        <v>806</v>
      </c>
      <c r="F335" s="298"/>
      <c r="G335" s="241" t="s">
        <v>244</v>
      </c>
      <c r="H335" s="302">
        <v>45974</v>
      </c>
      <c r="I335" s="281">
        <v>2</v>
      </c>
      <c r="J335" s="241" t="s">
        <v>807</v>
      </c>
      <c r="K335" s="284">
        <v>707</v>
      </c>
      <c r="L335" s="281" t="s">
        <v>805</v>
      </c>
      <c r="M335" s="303"/>
      <c r="N335" s="281"/>
      <c r="O335" s="304"/>
      <c r="P335" s="390">
        <v>46038</v>
      </c>
      <c r="Q335" s="306"/>
      <c r="R335" s="289" t="str">
        <f t="shared" si="6"/>
        <v/>
      </c>
      <c r="S335" s="241"/>
      <c r="AA335" s="281">
        <v>1132</v>
      </c>
    </row>
    <row r="336" spans="1:27" ht="18" customHeight="1">
      <c r="A336" s="298"/>
      <c r="B336" s="299"/>
      <c r="C336" s="241"/>
      <c r="D336" s="298"/>
      <c r="E336" s="300"/>
      <c r="F336" s="298"/>
      <c r="G336" s="241"/>
      <c r="H336" s="302"/>
      <c r="J336" s="241"/>
      <c r="M336" s="303"/>
      <c r="N336" s="281"/>
      <c r="O336" s="304"/>
      <c r="P336" s="305"/>
      <c r="Q336" s="306"/>
      <c r="R336" s="289" t="str">
        <f t="shared" si="6"/>
        <v/>
      </c>
      <c r="S336" s="241"/>
      <c r="AA336" s="281">
        <v>1133</v>
      </c>
    </row>
    <row r="337" spans="1:27" ht="18" customHeight="1">
      <c r="A337" s="403">
        <v>39142</v>
      </c>
      <c r="B337" s="404">
        <v>72924</v>
      </c>
      <c r="C337" s="405" t="s">
        <v>41</v>
      </c>
      <c r="D337" s="403">
        <v>2</v>
      </c>
      <c r="E337" s="406" t="s">
        <v>526</v>
      </c>
      <c r="F337" s="403"/>
      <c r="G337" s="407" t="s">
        <v>303</v>
      </c>
      <c r="H337" s="408">
        <v>45974</v>
      </c>
      <c r="I337" s="409">
        <v>1</v>
      </c>
      <c r="J337" s="405" t="s">
        <v>527</v>
      </c>
      <c r="K337" s="410">
        <v>17821</v>
      </c>
      <c r="L337" s="409" t="s">
        <v>808</v>
      </c>
      <c r="M337" s="411"/>
      <c r="N337" s="409"/>
      <c r="O337" s="412"/>
      <c r="P337" s="425">
        <v>46244</v>
      </c>
      <c r="Q337" s="306"/>
      <c r="R337" s="289" t="str">
        <f t="shared" si="6"/>
        <v/>
      </c>
      <c r="S337" s="241"/>
      <c r="AA337" s="281">
        <v>1134</v>
      </c>
    </row>
    <row r="338" spans="1:27" ht="18" customHeight="1">
      <c r="A338" s="403">
        <v>39142</v>
      </c>
      <c r="B338" s="404">
        <v>72925</v>
      </c>
      <c r="C338" s="405" t="s">
        <v>41</v>
      </c>
      <c r="D338" s="403">
        <v>2</v>
      </c>
      <c r="E338" s="406" t="s">
        <v>528</v>
      </c>
      <c r="F338" s="403"/>
      <c r="G338" s="407" t="s">
        <v>303</v>
      </c>
      <c r="H338" s="408">
        <v>45974</v>
      </c>
      <c r="I338" s="409">
        <v>2</v>
      </c>
      <c r="J338" s="405" t="s">
        <v>529</v>
      </c>
      <c r="K338" s="410">
        <v>38376</v>
      </c>
      <c r="L338" s="409" t="s">
        <v>808</v>
      </c>
      <c r="M338" s="411"/>
      <c r="N338" s="409"/>
      <c r="O338" s="412"/>
      <c r="P338" s="425">
        <v>46244</v>
      </c>
      <c r="Q338" s="306"/>
      <c r="R338" s="289" t="str">
        <f t="shared" si="6"/>
        <v/>
      </c>
      <c r="S338" s="241"/>
      <c r="AA338" s="281">
        <v>1135</v>
      </c>
    </row>
    <row r="339" spans="1:27" ht="18" customHeight="1">
      <c r="A339" s="403">
        <v>39142</v>
      </c>
      <c r="B339" s="404">
        <v>72926</v>
      </c>
      <c r="C339" s="405" t="s">
        <v>41</v>
      </c>
      <c r="D339" s="403">
        <v>2</v>
      </c>
      <c r="E339" s="406" t="s">
        <v>530</v>
      </c>
      <c r="F339" s="403"/>
      <c r="G339" s="407" t="s">
        <v>303</v>
      </c>
      <c r="H339" s="408">
        <v>45974</v>
      </c>
      <c r="I339" s="409">
        <v>3</v>
      </c>
      <c r="J339" s="405" t="s">
        <v>531</v>
      </c>
      <c r="K339" s="410">
        <v>2911</v>
      </c>
      <c r="L339" s="409" t="s">
        <v>808</v>
      </c>
      <c r="M339" s="411"/>
      <c r="N339" s="409"/>
      <c r="O339" s="412"/>
      <c r="P339" s="425">
        <v>46244</v>
      </c>
      <c r="Q339" s="306"/>
      <c r="R339" s="289" t="str">
        <f t="shared" si="6"/>
        <v/>
      </c>
      <c r="S339" s="241"/>
      <c r="AA339" s="281">
        <v>1136</v>
      </c>
    </row>
    <row r="340" spans="1:27" ht="18" customHeight="1">
      <c r="A340" s="403">
        <v>39142</v>
      </c>
      <c r="B340" s="404">
        <v>72927</v>
      </c>
      <c r="C340" s="405" t="s">
        <v>41</v>
      </c>
      <c r="D340" s="403">
        <v>2</v>
      </c>
      <c r="E340" s="406" t="s">
        <v>532</v>
      </c>
      <c r="F340" s="403"/>
      <c r="G340" s="407" t="s">
        <v>303</v>
      </c>
      <c r="H340" s="408">
        <v>45974</v>
      </c>
      <c r="I340" s="409">
        <v>4</v>
      </c>
      <c r="J340" s="405" t="s">
        <v>533</v>
      </c>
      <c r="K340" s="410">
        <v>4617</v>
      </c>
      <c r="L340" s="409" t="s">
        <v>808</v>
      </c>
      <c r="M340" s="411"/>
      <c r="N340" s="409"/>
      <c r="O340" s="412"/>
      <c r="P340" s="425">
        <v>46244</v>
      </c>
      <c r="Q340" s="306"/>
      <c r="R340" s="289" t="str">
        <f t="shared" si="6"/>
        <v/>
      </c>
      <c r="S340" s="241"/>
      <c r="AA340" s="281">
        <v>1137</v>
      </c>
    </row>
    <row r="341" spans="1:27" ht="18" customHeight="1">
      <c r="A341" s="403">
        <v>39142</v>
      </c>
      <c r="B341" s="404">
        <v>72928</v>
      </c>
      <c r="C341" s="405" t="s">
        <v>41</v>
      </c>
      <c r="D341" s="403">
        <v>6</v>
      </c>
      <c r="E341" s="406" t="s">
        <v>534</v>
      </c>
      <c r="F341" s="403"/>
      <c r="G341" s="407" t="s">
        <v>303</v>
      </c>
      <c r="H341" s="408">
        <v>45974</v>
      </c>
      <c r="I341" s="409">
        <v>5</v>
      </c>
      <c r="J341" s="405" t="s">
        <v>535</v>
      </c>
      <c r="K341" s="410">
        <v>10453</v>
      </c>
      <c r="L341" s="409" t="s">
        <v>808</v>
      </c>
      <c r="M341" s="411"/>
      <c r="N341" s="409"/>
      <c r="O341" s="412"/>
      <c r="P341" s="425">
        <v>46244</v>
      </c>
      <c r="Q341" s="306"/>
      <c r="R341" s="289" t="str">
        <f t="shared" si="6"/>
        <v/>
      </c>
      <c r="S341" s="241"/>
      <c r="AA341" s="281">
        <v>1138</v>
      </c>
    </row>
    <row r="342" spans="1:27" ht="18" customHeight="1">
      <c r="A342" s="403">
        <v>39142</v>
      </c>
      <c r="B342" s="404">
        <v>72929</v>
      </c>
      <c r="C342" s="405" t="s">
        <v>41</v>
      </c>
      <c r="D342" s="403">
        <v>2</v>
      </c>
      <c r="E342" s="406" t="s">
        <v>536</v>
      </c>
      <c r="F342" s="403"/>
      <c r="G342" s="407" t="s">
        <v>303</v>
      </c>
      <c r="H342" s="408">
        <v>45974</v>
      </c>
      <c r="I342" s="409">
        <v>6</v>
      </c>
      <c r="J342" s="405" t="s">
        <v>537</v>
      </c>
      <c r="K342" s="410">
        <v>79970</v>
      </c>
      <c r="L342" s="409" t="s">
        <v>808</v>
      </c>
      <c r="M342" s="411"/>
      <c r="N342" s="409"/>
      <c r="O342" s="412"/>
      <c r="P342" s="425">
        <v>46244</v>
      </c>
      <c r="Q342" s="306"/>
      <c r="R342" s="289" t="str">
        <f t="shared" si="6"/>
        <v/>
      </c>
      <c r="S342" s="241"/>
      <c r="AA342" s="281">
        <v>1139</v>
      </c>
    </row>
    <row r="343" spans="1:27" ht="18" customHeight="1">
      <c r="A343" s="403">
        <v>39142</v>
      </c>
      <c r="B343" s="401">
        <v>72930</v>
      </c>
      <c r="C343" s="405" t="s">
        <v>41</v>
      </c>
      <c r="D343" s="403">
        <v>2</v>
      </c>
      <c r="E343" s="406" t="s">
        <v>538</v>
      </c>
      <c r="F343" s="403"/>
      <c r="G343" s="407" t="s">
        <v>303</v>
      </c>
      <c r="H343" s="408">
        <v>45974</v>
      </c>
      <c r="I343" s="409">
        <v>7</v>
      </c>
      <c r="J343" s="405" t="s">
        <v>539</v>
      </c>
      <c r="K343" s="410">
        <v>50363</v>
      </c>
      <c r="L343" s="409" t="s">
        <v>808</v>
      </c>
      <c r="M343" s="411"/>
      <c r="N343" s="409"/>
      <c r="O343" s="412"/>
      <c r="P343" s="425">
        <v>46244</v>
      </c>
      <c r="Q343" s="306"/>
      <c r="R343" s="289" t="str">
        <f t="shared" si="6"/>
        <v/>
      </c>
      <c r="S343" s="241"/>
      <c r="AA343" s="281">
        <v>1140</v>
      </c>
    </row>
    <row r="344" spans="1:27" ht="18" customHeight="1">
      <c r="A344" s="403">
        <v>39142</v>
      </c>
      <c r="B344" s="404">
        <v>72931</v>
      </c>
      <c r="C344" s="405" t="s">
        <v>41</v>
      </c>
      <c r="D344" s="403">
        <v>1</v>
      </c>
      <c r="E344" s="406" t="s">
        <v>540</v>
      </c>
      <c r="F344" s="403"/>
      <c r="G344" s="407" t="s">
        <v>303</v>
      </c>
      <c r="H344" s="408">
        <v>45974</v>
      </c>
      <c r="I344" s="409">
        <v>8</v>
      </c>
      <c r="J344" s="405" t="s">
        <v>541</v>
      </c>
      <c r="K344" s="410">
        <v>16754</v>
      </c>
      <c r="L344" s="409" t="s">
        <v>808</v>
      </c>
      <c r="M344" s="411"/>
      <c r="N344" s="409"/>
      <c r="O344" s="412"/>
      <c r="P344" s="425">
        <v>46244</v>
      </c>
      <c r="Q344" s="306"/>
      <c r="R344" s="289" t="str">
        <f t="shared" si="6"/>
        <v/>
      </c>
      <c r="S344" s="241"/>
      <c r="AA344" s="281">
        <v>1141</v>
      </c>
    </row>
    <row r="345" spans="1:27" ht="18" customHeight="1">
      <c r="A345" s="403">
        <v>39142</v>
      </c>
      <c r="B345" s="404">
        <v>72932</v>
      </c>
      <c r="C345" s="405" t="s">
        <v>41</v>
      </c>
      <c r="D345" s="403">
        <v>1</v>
      </c>
      <c r="E345" s="406" t="s">
        <v>542</v>
      </c>
      <c r="F345" s="403"/>
      <c r="G345" s="407" t="s">
        <v>303</v>
      </c>
      <c r="H345" s="408">
        <v>45974</v>
      </c>
      <c r="I345" s="409">
        <v>10</v>
      </c>
      <c r="J345" s="405" t="s">
        <v>543</v>
      </c>
      <c r="K345" s="410">
        <v>18455</v>
      </c>
      <c r="L345" s="409" t="s">
        <v>808</v>
      </c>
      <c r="M345" s="411"/>
      <c r="N345" s="409"/>
      <c r="O345" s="412"/>
      <c r="P345" s="425">
        <v>46244</v>
      </c>
      <c r="Q345" s="306"/>
      <c r="R345" s="289" t="str">
        <f t="shared" si="6"/>
        <v/>
      </c>
      <c r="S345" s="241"/>
      <c r="AA345" s="281">
        <v>1142</v>
      </c>
    </row>
    <row r="346" spans="1:27" ht="18" customHeight="1">
      <c r="A346" s="403">
        <v>39142</v>
      </c>
      <c r="B346" s="404">
        <v>72933</v>
      </c>
      <c r="C346" s="405" t="s">
        <v>41</v>
      </c>
      <c r="D346" s="403">
        <v>2</v>
      </c>
      <c r="E346" s="406" t="s">
        <v>544</v>
      </c>
      <c r="F346" s="403"/>
      <c r="G346" s="407" t="s">
        <v>303</v>
      </c>
      <c r="H346" s="408">
        <v>45974</v>
      </c>
      <c r="I346" s="409">
        <v>11</v>
      </c>
      <c r="J346" s="405" t="s">
        <v>545</v>
      </c>
      <c r="K346" s="410">
        <v>775</v>
      </c>
      <c r="L346" s="409" t="s">
        <v>808</v>
      </c>
      <c r="M346" s="411"/>
      <c r="N346" s="409"/>
      <c r="O346" s="412"/>
      <c r="P346" s="425">
        <v>46244</v>
      </c>
      <c r="Q346" s="306"/>
      <c r="R346" s="289" t="str">
        <f t="shared" si="6"/>
        <v/>
      </c>
      <c r="S346" s="241"/>
      <c r="AA346" s="281">
        <v>1143</v>
      </c>
    </row>
    <row r="347" spans="1:27" ht="18" customHeight="1">
      <c r="A347" s="403">
        <v>39142</v>
      </c>
      <c r="B347" s="404">
        <v>72934</v>
      </c>
      <c r="C347" s="405" t="s">
        <v>41</v>
      </c>
      <c r="D347" s="403">
        <v>2</v>
      </c>
      <c r="E347" s="406" t="s">
        <v>546</v>
      </c>
      <c r="F347" s="403"/>
      <c r="G347" s="407" t="s">
        <v>303</v>
      </c>
      <c r="H347" s="408">
        <v>45974</v>
      </c>
      <c r="I347" s="409">
        <v>12</v>
      </c>
      <c r="J347" s="405" t="s">
        <v>547</v>
      </c>
      <c r="K347" s="410">
        <v>6408</v>
      </c>
      <c r="L347" s="409" t="s">
        <v>808</v>
      </c>
      <c r="M347" s="411"/>
      <c r="N347" s="409"/>
      <c r="O347" s="412"/>
      <c r="P347" s="425">
        <v>46244</v>
      </c>
      <c r="Q347" s="306"/>
      <c r="R347" s="289" t="str">
        <f t="shared" si="6"/>
        <v/>
      </c>
      <c r="S347" s="241"/>
      <c r="AA347" s="281">
        <v>1144</v>
      </c>
    </row>
    <row r="348" spans="1:27" ht="18" customHeight="1">
      <c r="A348" s="403">
        <v>39142</v>
      </c>
      <c r="B348" s="404">
        <v>72935</v>
      </c>
      <c r="C348" s="405" t="s">
        <v>41</v>
      </c>
      <c r="D348" s="403">
        <v>2</v>
      </c>
      <c r="E348" s="406" t="s">
        <v>548</v>
      </c>
      <c r="F348" s="403"/>
      <c r="G348" s="407" t="s">
        <v>303</v>
      </c>
      <c r="H348" s="408">
        <v>45974</v>
      </c>
      <c r="I348" s="409">
        <v>13</v>
      </c>
      <c r="J348" s="405" t="s">
        <v>549</v>
      </c>
      <c r="K348" s="410">
        <v>2057</v>
      </c>
      <c r="L348" s="409" t="s">
        <v>808</v>
      </c>
      <c r="M348" s="411"/>
      <c r="N348" s="409"/>
      <c r="O348" s="412"/>
      <c r="P348" s="425">
        <v>46244</v>
      </c>
      <c r="Q348" s="306"/>
      <c r="R348" s="289" t="str">
        <f t="shared" si="6"/>
        <v/>
      </c>
      <c r="S348" s="241"/>
      <c r="AA348" s="281">
        <v>1145</v>
      </c>
    </row>
    <row r="349" spans="1:27" ht="18" customHeight="1">
      <c r="A349" s="403">
        <v>39142</v>
      </c>
      <c r="B349" s="404">
        <v>72936</v>
      </c>
      <c r="C349" s="405" t="s">
        <v>41</v>
      </c>
      <c r="D349" s="403">
        <v>2</v>
      </c>
      <c r="E349" s="406" t="s">
        <v>550</v>
      </c>
      <c r="F349" s="403"/>
      <c r="G349" s="407" t="s">
        <v>303</v>
      </c>
      <c r="H349" s="408">
        <v>45974</v>
      </c>
      <c r="I349" s="409">
        <v>14</v>
      </c>
      <c r="J349" s="405" t="s">
        <v>551</v>
      </c>
      <c r="K349" s="410">
        <v>70664</v>
      </c>
      <c r="L349" s="409" t="s">
        <v>808</v>
      </c>
      <c r="M349" s="411"/>
      <c r="N349" s="409"/>
      <c r="O349" s="412"/>
      <c r="P349" s="425">
        <v>46244</v>
      </c>
      <c r="Q349" s="306"/>
      <c r="R349" s="289" t="str">
        <f t="shared" si="6"/>
        <v/>
      </c>
      <c r="S349" s="241"/>
      <c r="AA349" s="281">
        <v>1146</v>
      </c>
    </row>
    <row r="350" spans="1:27" ht="18" customHeight="1">
      <c r="A350" s="403">
        <v>39142</v>
      </c>
      <c r="B350" s="404">
        <v>72937</v>
      </c>
      <c r="C350" s="405" t="s">
        <v>41</v>
      </c>
      <c r="D350" s="403">
        <v>2</v>
      </c>
      <c r="E350" s="406" t="s">
        <v>552</v>
      </c>
      <c r="F350" s="403"/>
      <c r="G350" s="407" t="s">
        <v>303</v>
      </c>
      <c r="H350" s="408">
        <v>45974</v>
      </c>
      <c r="I350" s="409">
        <v>15</v>
      </c>
      <c r="J350" s="405" t="s">
        <v>553</v>
      </c>
      <c r="K350" s="410">
        <v>6646</v>
      </c>
      <c r="L350" s="409" t="s">
        <v>808</v>
      </c>
      <c r="M350" s="411"/>
      <c r="N350" s="409"/>
      <c r="O350" s="412"/>
      <c r="P350" s="425">
        <v>46244</v>
      </c>
      <c r="Q350" s="306"/>
      <c r="R350" s="289" t="str">
        <f t="shared" si="6"/>
        <v/>
      </c>
      <c r="S350" s="241"/>
      <c r="AA350" s="281">
        <v>1147</v>
      </c>
    </row>
    <row r="351" spans="1:27" ht="18" customHeight="1">
      <c r="A351" s="403">
        <v>39142</v>
      </c>
      <c r="B351" s="404">
        <v>72938</v>
      </c>
      <c r="C351" s="405" t="s">
        <v>41</v>
      </c>
      <c r="D351" s="403">
        <v>2</v>
      </c>
      <c r="E351" s="406" t="s">
        <v>554</v>
      </c>
      <c r="F351" s="403"/>
      <c r="G351" s="407" t="s">
        <v>303</v>
      </c>
      <c r="H351" s="408">
        <v>45974</v>
      </c>
      <c r="I351" s="409">
        <v>16</v>
      </c>
      <c r="J351" s="405" t="s">
        <v>555</v>
      </c>
      <c r="K351" s="410">
        <v>660</v>
      </c>
      <c r="L351" s="409" t="s">
        <v>808</v>
      </c>
      <c r="M351" s="411"/>
      <c r="N351" s="409"/>
      <c r="O351" s="412"/>
      <c r="P351" s="425">
        <v>46244</v>
      </c>
      <c r="Q351" s="306"/>
      <c r="R351" s="289" t="str">
        <f t="shared" si="6"/>
        <v/>
      </c>
      <c r="S351" s="241"/>
      <c r="AA351" s="281">
        <v>1148</v>
      </c>
    </row>
    <row r="352" spans="1:27" ht="18" customHeight="1">
      <c r="A352" s="403">
        <v>39142</v>
      </c>
      <c r="B352" s="404">
        <v>72939</v>
      </c>
      <c r="C352" s="405" t="s">
        <v>41</v>
      </c>
      <c r="D352" s="403">
        <v>2</v>
      </c>
      <c r="E352" s="406" t="s">
        <v>556</v>
      </c>
      <c r="F352" s="403"/>
      <c r="G352" s="407" t="s">
        <v>303</v>
      </c>
      <c r="H352" s="408">
        <v>45974</v>
      </c>
      <c r="I352" s="409">
        <v>17</v>
      </c>
      <c r="J352" s="405" t="s">
        <v>809</v>
      </c>
      <c r="K352" s="410">
        <v>662</v>
      </c>
      <c r="L352" s="409" t="s">
        <v>808</v>
      </c>
      <c r="M352" s="411"/>
      <c r="N352" s="409"/>
      <c r="O352" s="412"/>
      <c r="P352" s="425">
        <v>46244</v>
      </c>
      <c r="Q352" s="306"/>
      <c r="R352" s="289" t="str">
        <f t="shared" si="6"/>
        <v/>
      </c>
      <c r="S352" s="241"/>
      <c r="AA352" s="281">
        <v>1009</v>
      </c>
    </row>
    <row r="353" spans="1:27" ht="18" customHeight="1">
      <c r="A353" s="403">
        <v>39142</v>
      </c>
      <c r="B353" s="404">
        <v>72940</v>
      </c>
      <c r="C353" s="405" t="s">
        <v>41</v>
      </c>
      <c r="D353" s="403">
        <v>2</v>
      </c>
      <c r="E353" s="406" t="s">
        <v>558</v>
      </c>
      <c r="F353" s="403"/>
      <c r="G353" s="407" t="s">
        <v>303</v>
      </c>
      <c r="H353" s="408">
        <v>45974</v>
      </c>
      <c r="I353" s="409">
        <v>18</v>
      </c>
      <c r="J353" s="405" t="s">
        <v>810</v>
      </c>
      <c r="K353" s="410">
        <v>657</v>
      </c>
      <c r="L353" s="409" t="s">
        <v>808</v>
      </c>
      <c r="M353" s="411"/>
      <c r="N353" s="409"/>
      <c r="O353" s="412"/>
      <c r="P353" s="425">
        <v>46244</v>
      </c>
      <c r="Q353" s="306"/>
      <c r="R353" s="289" t="str">
        <f t="shared" si="6"/>
        <v/>
      </c>
      <c r="S353" s="241"/>
      <c r="AA353" s="281">
        <v>1010</v>
      </c>
    </row>
    <row r="354" spans="1:27" ht="18" customHeight="1">
      <c r="A354" s="298"/>
      <c r="B354" s="299"/>
      <c r="C354" s="241"/>
      <c r="D354" s="298"/>
      <c r="E354" s="300"/>
      <c r="F354" s="298"/>
      <c r="G354" s="241"/>
      <c r="H354" s="302"/>
      <c r="J354" s="241"/>
      <c r="M354" s="303"/>
      <c r="N354" s="281"/>
      <c r="O354" s="304"/>
      <c r="P354" s="305"/>
      <c r="Q354" s="306"/>
      <c r="R354" s="289" t="str">
        <f t="shared" si="6"/>
        <v/>
      </c>
      <c r="S354" s="241"/>
    </row>
    <row r="355" spans="1:27" ht="18" customHeight="1">
      <c r="A355" s="298">
        <v>39144</v>
      </c>
      <c r="B355" s="299">
        <v>72942</v>
      </c>
      <c r="C355" s="241" t="s">
        <v>41</v>
      </c>
      <c r="D355" s="298">
        <v>700</v>
      </c>
      <c r="E355" s="300" t="s">
        <v>811</v>
      </c>
      <c r="F355" s="298">
        <v>4</v>
      </c>
      <c r="G355" s="241" t="s">
        <v>709</v>
      </c>
      <c r="H355" s="302">
        <v>45976</v>
      </c>
      <c r="I355" s="281">
        <v>1</v>
      </c>
      <c r="J355" s="241" t="s">
        <v>812</v>
      </c>
      <c r="K355" s="284">
        <v>14.98</v>
      </c>
      <c r="L355" s="389" t="s">
        <v>813</v>
      </c>
      <c r="M355" s="303"/>
      <c r="N355" s="281"/>
      <c r="O355" s="304"/>
      <c r="P355" s="305">
        <v>46066</v>
      </c>
      <c r="Q355" s="306"/>
      <c r="R355" s="289" t="str">
        <f t="shared" si="6"/>
        <v/>
      </c>
      <c r="S355" s="241"/>
      <c r="AA355" s="281">
        <v>1011</v>
      </c>
    </row>
    <row r="356" spans="1:27" ht="18" customHeight="1">
      <c r="A356" s="298">
        <v>39144</v>
      </c>
      <c r="B356" s="299">
        <v>72942</v>
      </c>
      <c r="C356" s="241" t="s">
        <v>41</v>
      </c>
      <c r="D356" s="298" t="s">
        <v>814</v>
      </c>
      <c r="E356" s="300" t="s">
        <v>815</v>
      </c>
      <c r="F356" s="298">
        <v>1</v>
      </c>
      <c r="G356" s="241" t="s">
        <v>816</v>
      </c>
      <c r="H356" s="302">
        <v>45976</v>
      </c>
      <c r="I356" s="281">
        <v>2</v>
      </c>
      <c r="J356" s="241" t="s">
        <v>817</v>
      </c>
      <c r="L356" s="281" t="s">
        <v>312</v>
      </c>
      <c r="M356" s="303"/>
      <c r="N356" s="281"/>
      <c r="O356" s="304"/>
      <c r="P356" s="305">
        <v>46066</v>
      </c>
      <c r="Q356" s="306"/>
      <c r="R356" s="289" t="str">
        <f t="shared" si="6"/>
        <v/>
      </c>
      <c r="S356" s="241"/>
      <c r="AA356" s="281">
        <v>1008</v>
      </c>
    </row>
    <row r="357" spans="1:27" ht="18" customHeight="1">
      <c r="A357" s="298"/>
      <c r="B357" s="299"/>
      <c r="C357" s="241"/>
      <c r="D357" s="298"/>
      <c r="E357" s="300"/>
      <c r="F357" s="298"/>
      <c r="G357" s="241"/>
      <c r="H357" s="302"/>
      <c r="J357" s="241"/>
      <c r="M357" s="303"/>
      <c r="N357" s="281"/>
      <c r="O357" s="304"/>
      <c r="P357" s="305"/>
      <c r="Q357" s="306"/>
      <c r="R357" s="289" t="str">
        <f t="shared" si="6"/>
        <v/>
      </c>
      <c r="S357" s="241"/>
    </row>
    <row r="358" spans="1:27" ht="18" customHeight="1">
      <c r="A358" s="298">
        <v>39145</v>
      </c>
      <c r="B358" s="299">
        <v>72943</v>
      </c>
      <c r="C358" s="241" t="s">
        <v>0</v>
      </c>
      <c r="D358" s="298">
        <v>4</v>
      </c>
      <c r="E358" s="300">
        <v>64035</v>
      </c>
      <c r="F358" s="298">
        <v>2</v>
      </c>
      <c r="G358" s="241" t="s">
        <v>391</v>
      </c>
      <c r="H358" s="302">
        <v>45976</v>
      </c>
      <c r="I358" s="281">
        <v>1</v>
      </c>
      <c r="J358" s="241" t="s">
        <v>818</v>
      </c>
      <c r="K358" s="284">
        <v>1920</v>
      </c>
      <c r="L358" s="399" t="s">
        <v>819</v>
      </c>
      <c r="M358" s="303"/>
      <c r="N358" s="281"/>
      <c r="O358" s="304"/>
      <c r="P358" s="305">
        <v>46007</v>
      </c>
      <c r="Q358" s="306"/>
      <c r="R358" s="289" t="str">
        <f t="shared" si="6"/>
        <v/>
      </c>
      <c r="S358" s="241"/>
      <c r="AA358" s="281">
        <v>1009</v>
      </c>
    </row>
    <row r="359" spans="1:27" ht="18" customHeight="1">
      <c r="A359" s="298"/>
      <c r="B359" s="299"/>
      <c r="C359" s="241"/>
      <c r="D359" s="298"/>
      <c r="E359" s="300"/>
      <c r="F359" s="298"/>
      <c r="G359" s="241"/>
      <c r="H359" s="302"/>
      <c r="J359" s="241"/>
      <c r="M359" s="303"/>
      <c r="N359" s="281"/>
      <c r="O359" s="304"/>
      <c r="P359" s="305"/>
      <c r="Q359" s="306"/>
      <c r="R359" s="289" t="str">
        <f t="shared" si="6"/>
        <v/>
      </c>
      <c r="S359" s="241"/>
    </row>
    <row r="360" spans="1:27" ht="18" customHeight="1">
      <c r="A360" s="298">
        <v>39146</v>
      </c>
      <c r="B360" s="299">
        <v>72944</v>
      </c>
      <c r="C360" s="241" t="s">
        <v>41</v>
      </c>
      <c r="D360" s="298">
        <v>1</v>
      </c>
      <c r="E360" s="300" t="s">
        <v>820</v>
      </c>
      <c r="F360" s="298">
        <v>2</v>
      </c>
      <c r="G360" s="241" t="s">
        <v>228</v>
      </c>
      <c r="H360" s="302">
        <v>45976</v>
      </c>
      <c r="I360" s="426" t="s">
        <v>775</v>
      </c>
      <c r="J360" s="241" t="s">
        <v>821</v>
      </c>
      <c r="K360" s="284">
        <v>18991</v>
      </c>
      <c r="L360" s="389" t="s">
        <v>822</v>
      </c>
      <c r="M360" s="303"/>
      <c r="N360" s="281"/>
      <c r="O360" s="304"/>
      <c r="P360" s="305">
        <v>46052</v>
      </c>
      <c r="Q360" s="306"/>
      <c r="R360" s="289" t="str">
        <f t="shared" si="6"/>
        <v/>
      </c>
      <c r="S360" s="241"/>
      <c r="AA360" s="281">
        <v>1093</v>
      </c>
    </row>
    <row r="361" spans="1:27" ht="18" customHeight="1">
      <c r="A361" s="298"/>
      <c r="B361" s="299"/>
      <c r="C361" s="241"/>
      <c r="D361" s="298"/>
      <c r="E361" s="300"/>
      <c r="F361" s="298"/>
      <c r="G361" s="241"/>
      <c r="H361" s="302"/>
      <c r="J361" s="241"/>
      <c r="M361" s="303"/>
      <c r="N361" s="281"/>
      <c r="O361" s="304"/>
      <c r="P361" s="305"/>
      <c r="Q361" s="306"/>
      <c r="R361" s="289" t="str">
        <f t="shared" si="6"/>
        <v/>
      </c>
      <c r="S361" s="241"/>
    </row>
    <row r="362" spans="1:27" ht="18" customHeight="1">
      <c r="A362" s="298">
        <v>39147</v>
      </c>
      <c r="B362" s="299">
        <v>72945</v>
      </c>
      <c r="C362" s="241" t="s">
        <v>33</v>
      </c>
      <c r="D362" s="427">
        <v>64000</v>
      </c>
      <c r="E362" s="300" t="s">
        <v>45</v>
      </c>
      <c r="F362" s="298"/>
      <c r="G362" s="241" t="s">
        <v>258</v>
      </c>
      <c r="H362" s="302">
        <v>45978</v>
      </c>
      <c r="I362" s="281">
        <v>1</v>
      </c>
      <c r="J362" s="241" t="s">
        <v>823</v>
      </c>
      <c r="K362" s="284">
        <v>3.84</v>
      </c>
      <c r="L362" s="281" t="s">
        <v>824</v>
      </c>
      <c r="M362" s="303"/>
      <c r="N362" s="281"/>
      <c r="O362" s="304"/>
      <c r="P362" s="305">
        <v>46082</v>
      </c>
      <c r="Q362" s="306"/>
      <c r="R362" s="289" t="str">
        <f t="shared" si="6"/>
        <v/>
      </c>
      <c r="S362" s="241"/>
      <c r="AA362" s="281">
        <v>1011</v>
      </c>
    </row>
    <row r="363" spans="1:27" ht="18" customHeight="1">
      <c r="A363" s="298"/>
      <c r="B363" s="299"/>
      <c r="C363" s="241"/>
      <c r="D363" s="298"/>
      <c r="E363" s="300"/>
      <c r="F363" s="298"/>
      <c r="G363" s="241"/>
      <c r="H363" s="302"/>
      <c r="J363" s="241"/>
      <c r="M363" s="303"/>
      <c r="N363" s="281"/>
      <c r="O363" s="304"/>
      <c r="P363" s="305"/>
      <c r="Q363" s="306"/>
      <c r="R363" s="289" t="str">
        <f t="shared" si="6"/>
        <v/>
      </c>
      <c r="S363" s="241"/>
    </row>
    <row r="364" spans="1:27" ht="18" customHeight="1">
      <c r="A364" s="298">
        <v>39150</v>
      </c>
      <c r="B364" s="299">
        <v>72949</v>
      </c>
      <c r="C364" s="241" t="s">
        <v>0</v>
      </c>
      <c r="D364" s="298">
        <v>1</v>
      </c>
      <c r="E364" s="300" t="s">
        <v>669</v>
      </c>
      <c r="F364" s="298"/>
      <c r="G364" s="241" t="s">
        <v>825</v>
      </c>
      <c r="H364" s="302">
        <v>45980</v>
      </c>
      <c r="I364" s="281">
        <v>1</v>
      </c>
      <c r="J364" s="241" t="s">
        <v>670</v>
      </c>
      <c r="K364" s="284">
        <v>1535</v>
      </c>
      <c r="L364" s="281" t="s">
        <v>826</v>
      </c>
      <c r="M364" s="303"/>
      <c r="N364" s="281"/>
      <c r="O364" s="304"/>
      <c r="P364" s="305">
        <v>46013</v>
      </c>
      <c r="Q364" s="306"/>
      <c r="R364" s="289" t="str">
        <f t="shared" si="6"/>
        <v/>
      </c>
      <c r="S364" s="241"/>
      <c r="AA364" s="281">
        <v>1014</v>
      </c>
    </row>
    <row r="365" spans="1:27" ht="18" customHeight="1">
      <c r="A365" s="298"/>
      <c r="B365" s="299"/>
      <c r="C365" s="241"/>
      <c r="D365" s="298"/>
      <c r="E365" s="300"/>
      <c r="F365" s="298"/>
      <c r="G365" s="241"/>
      <c r="H365" s="302"/>
      <c r="J365" s="241"/>
      <c r="M365" s="303"/>
      <c r="N365" s="281"/>
      <c r="O365" s="304"/>
      <c r="P365" s="305"/>
      <c r="Q365" s="306"/>
      <c r="R365" s="289" t="str">
        <f t="shared" si="6"/>
        <v/>
      </c>
      <c r="S365" s="241"/>
    </row>
    <row r="366" spans="1:27" ht="18" customHeight="1">
      <c r="A366" s="298">
        <v>39151</v>
      </c>
      <c r="B366" s="299">
        <v>72950</v>
      </c>
      <c r="C366" s="241" t="s">
        <v>41</v>
      </c>
      <c r="D366" s="298">
        <v>1</v>
      </c>
      <c r="E366" s="300" t="s">
        <v>827</v>
      </c>
      <c r="F366" s="298">
        <v>3</v>
      </c>
      <c r="G366" s="241" t="s">
        <v>709</v>
      </c>
      <c r="H366" s="302">
        <v>45980</v>
      </c>
      <c r="I366" s="281">
        <v>1</v>
      </c>
      <c r="J366" s="241" t="s">
        <v>828</v>
      </c>
      <c r="K366" s="284">
        <v>1787</v>
      </c>
      <c r="L366" s="281" t="s">
        <v>829</v>
      </c>
      <c r="M366" s="303"/>
      <c r="N366" s="281"/>
      <c r="O366" s="304"/>
      <c r="P366" s="305">
        <v>46034</v>
      </c>
      <c r="Q366" s="306"/>
      <c r="R366" s="289" t="str">
        <f t="shared" si="6"/>
        <v/>
      </c>
      <c r="S366" s="241"/>
      <c r="AA366" s="281">
        <v>1015</v>
      </c>
    </row>
    <row r="367" spans="1:27" ht="18" customHeight="1">
      <c r="A367" s="298">
        <v>39151</v>
      </c>
      <c r="B367" s="299">
        <v>72951</v>
      </c>
      <c r="C367" s="241" t="s">
        <v>41</v>
      </c>
      <c r="D367" s="298">
        <v>1</v>
      </c>
      <c r="E367" s="300" t="s">
        <v>830</v>
      </c>
      <c r="F367" s="298">
        <v>3</v>
      </c>
      <c r="G367" s="241" t="s">
        <v>709</v>
      </c>
      <c r="H367" s="302">
        <v>45980</v>
      </c>
      <c r="I367" s="281">
        <v>2</v>
      </c>
      <c r="J367" s="241" t="s">
        <v>831</v>
      </c>
      <c r="K367" s="284">
        <v>1967</v>
      </c>
      <c r="L367" s="281" t="s">
        <v>829</v>
      </c>
      <c r="M367" s="303"/>
      <c r="N367" s="281"/>
      <c r="O367" s="304"/>
      <c r="P367" s="305">
        <v>46034</v>
      </c>
      <c r="Q367" s="306"/>
      <c r="R367" s="289" t="str">
        <f t="shared" si="6"/>
        <v/>
      </c>
      <c r="S367" s="241"/>
      <c r="AA367" s="281">
        <v>1016</v>
      </c>
    </row>
    <row r="368" spans="1:27" ht="18" customHeight="1">
      <c r="A368" s="298"/>
      <c r="B368" s="299"/>
      <c r="C368" s="241"/>
      <c r="D368" s="298"/>
      <c r="E368" s="300"/>
      <c r="F368" s="298"/>
      <c r="G368" s="241"/>
      <c r="H368" s="302"/>
      <c r="J368" s="241"/>
      <c r="M368" s="303"/>
      <c r="N368" s="281"/>
      <c r="O368" s="304"/>
      <c r="P368" s="305"/>
      <c r="Q368" s="306"/>
      <c r="R368" s="289" t="str">
        <f t="shared" si="6"/>
        <v/>
      </c>
      <c r="S368" s="241"/>
    </row>
    <row r="369" spans="1:27" ht="18" customHeight="1">
      <c r="A369" s="298">
        <v>39153</v>
      </c>
      <c r="B369" s="299">
        <v>72954</v>
      </c>
      <c r="C369" s="241" t="s">
        <v>33</v>
      </c>
      <c r="D369" s="298">
        <v>1</v>
      </c>
      <c r="E369" s="300">
        <v>65019</v>
      </c>
      <c r="F369" s="298"/>
      <c r="G369" s="301" t="s">
        <v>188</v>
      </c>
      <c r="H369" s="302">
        <v>45982</v>
      </c>
      <c r="I369" s="281">
        <v>1</v>
      </c>
      <c r="J369" s="241" t="s">
        <v>832</v>
      </c>
      <c r="K369" s="284">
        <v>4454</v>
      </c>
      <c r="L369" s="281" t="s">
        <v>833</v>
      </c>
      <c r="M369" s="303">
        <v>44872</v>
      </c>
      <c r="N369" s="281">
        <v>1</v>
      </c>
      <c r="O369" s="304">
        <v>53190</v>
      </c>
      <c r="P369" s="305">
        <v>45996</v>
      </c>
      <c r="Q369" s="306">
        <v>46001</v>
      </c>
      <c r="R369" s="289">
        <f t="shared" si="6"/>
        <v>5</v>
      </c>
      <c r="S369" s="241"/>
      <c r="AA369" s="281">
        <v>1018</v>
      </c>
    </row>
    <row r="370" spans="1:27" ht="18" customHeight="1">
      <c r="A370" s="298"/>
      <c r="B370" s="299"/>
      <c r="C370" s="241"/>
      <c r="D370" s="298"/>
      <c r="E370" s="300"/>
      <c r="F370" s="298"/>
      <c r="G370" s="241"/>
      <c r="H370" s="302"/>
      <c r="J370" s="241"/>
      <c r="M370" s="303"/>
      <c r="N370" s="281"/>
      <c r="O370" s="304"/>
      <c r="P370" s="305"/>
      <c r="Q370" s="306"/>
      <c r="R370" s="289" t="str">
        <f t="shared" si="6"/>
        <v/>
      </c>
      <c r="S370" s="241"/>
    </row>
    <row r="371" spans="1:27" ht="18" customHeight="1">
      <c r="A371" s="298">
        <v>39154</v>
      </c>
      <c r="B371" s="299">
        <v>72955</v>
      </c>
      <c r="C371" s="241" t="s">
        <v>0</v>
      </c>
      <c r="D371" s="298">
        <v>2</v>
      </c>
      <c r="E371" s="300" t="s">
        <v>628</v>
      </c>
      <c r="F371" s="298" t="s">
        <v>276</v>
      </c>
      <c r="G371" s="241" t="s">
        <v>391</v>
      </c>
      <c r="H371" s="302">
        <v>45986</v>
      </c>
      <c r="I371" s="281">
        <v>1</v>
      </c>
      <c r="J371" s="241" t="s">
        <v>834</v>
      </c>
      <c r="K371" s="284">
        <v>2290</v>
      </c>
      <c r="L371" s="281" t="s">
        <v>835</v>
      </c>
      <c r="M371" s="303"/>
      <c r="N371" s="281"/>
      <c r="O371" s="304"/>
      <c r="P371" s="305">
        <v>46014</v>
      </c>
      <c r="Q371" s="306"/>
      <c r="R371" s="289" t="str">
        <f t="shared" si="6"/>
        <v/>
      </c>
      <c r="S371" s="241"/>
      <c r="AA371" s="281">
        <v>1019</v>
      </c>
    </row>
    <row r="372" spans="1:27" ht="18" customHeight="1">
      <c r="A372" s="298"/>
      <c r="B372" s="299"/>
      <c r="C372" s="241"/>
      <c r="D372" s="298"/>
      <c r="E372" s="300"/>
      <c r="F372" s="298"/>
      <c r="G372" s="241"/>
      <c r="H372" s="302"/>
      <c r="J372" s="241"/>
      <c r="M372" s="303"/>
      <c r="N372" s="281"/>
      <c r="O372" s="304"/>
      <c r="P372" s="305"/>
      <c r="Q372" s="306"/>
      <c r="R372" s="289" t="str">
        <f t="shared" si="6"/>
        <v/>
      </c>
      <c r="S372" s="241"/>
    </row>
    <row r="373" spans="1:27" ht="18" customHeight="1">
      <c r="A373" s="298">
        <v>39157</v>
      </c>
      <c r="B373" s="401">
        <v>72959</v>
      </c>
      <c r="C373" s="241" t="s">
        <v>41</v>
      </c>
      <c r="D373" s="298">
        <v>4</v>
      </c>
      <c r="E373" s="300" t="s">
        <v>836</v>
      </c>
      <c r="F373" s="298">
        <v>0</v>
      </c>
      <c r="G373" s="388" t="s">
        <v>364</v>
      </c>
      <c r="H373" s="302">
        <v>45992</v>
      </c>
      <c r="I373" s="281">
        <v>1</v>
      </c>
      <c r="J373" s="241" t="s">
        <v>837</v>
      </c>
      <c r="K373" s="284">
        <v>733</v>
      </c>
      <c r="L373" s="281" t="s">
        <v>838</v>
      </c>
      <c r="M373" s="303"/>
      <c r="N373" s="281"/>
      <c r="O373" s="304"/>
      <c r="P373" s="428">
        <v>46027</v>
      </c>
      <c r="Q373" s="306"/>
      <c r="R373" s="289" t="str">
        <f t="shared" si="6"/>
        <v/>
      </c>
      <c r="S373" s="241"/>
      <c r="AA373" s="281">
        <v>1023</v>
      </c>
    </row>
    <row r="374" spans="1:27" ht="18" customHeight="1">
      <c r="A374" s="298"/>
      <c r="B374" s="299"/>
      <c r="C374" s="241"/>
      <c r="D374" s="298"/>
      <c r="E374" s="300"/>
      <c r="F374" s="298"/>
      <c r="G374" s="241"/>
      <c r="H374" s="302"/>
      <c r="J374" s="241"/>
      <c r="M374" s="303"/>
      <c r="N374" s="281"/>
      <c r="O374" s="304"/>
      <c r="P374" s="305"/>
      <c r="Q374" s="306"/>
      <c r="R374" s="289" t="str">
        <f t="shared" si="6"/>
        <v/>
      </c>
      <c r="S374" s="241"/>
    </row>
    <row r="375" spans="1:27" ht="18" customHeight="1">
      <c r="A375" s="298">
        <v>39161</v>
      </c>
      <c r="B375" s="299">
        <v>72964</v>
      </c>
      <c r="C375" s="241" t="s">
        <v>4</v>
      </c>
      <c r="D375" s="298">
        <v>1</v>
      </c>
      <c r="E375" s="300" t="s">
        <v>839</v>
      </c>
      <c r="F375" s="298">
        <v>0</v>
      </c>
      <c r="G375" s="241" t="s">
        <v>840</v>
      </c>
      <c r="H375" s="302">
        <v>45995</v>
      </c>
      <c r="I375" s="281">
        <v>10</v>
      </c>
      <c r="J375" s="241" t="s">
        <v>841</v>
      </c>
      <c r="K375" s="284">
        <v>900</v>
      </c>
      <c r="L375" s="281">
        <v>280106227</v>
      </c>
      <c r="M375" s="303"/>
      <c r="N375" s="281">
        <v>1</v>
      </c>
      <c r="O375" s="304">
        <v>53142</v>
      </c>
      <c r="P375" s="390" t="s">
        <v>842</v>
      </c>
      <c r="Q375" s="306"/>
      <c r="R375" s="289" t="str">
        <f t="shared" ref="R375" si="7">IF(SUM(Q375)&gt;0,SUM(Q375-P375),"")</f>
        <v/>
      </c>
      <c r="S375" s="241"/>
      <c r="AA375" s="281">
        <v>1028</v>
      </c>
    </row>
    <row r="376" spans="1:27" ht="18" customHeight="1">
      <c r="A376" s="298"/>
      <c r="B376" s="299"/>
      <c r="C376" s="241"/>
      <c r="D376" s="298"/>
      <c r="E376" s="300"/>
      <c r="F376" s="298"/>
      <c r="G376" s="241"/>
      <c r="H376" s="302"/>
      <c r="J376" s="241"/>
      <c r="M376" s="303"/>
      <c r="N376" s="281"/>
      <c r="O376" s="304"/>
      <c r="P376" s="390"/>
      <c r="Q376" s="306"/>
      <c r="R376" s="289"/>
      <c r="S376" s="241"/>
    </row>
    <row r="377" spans="1:27" ht="18" customHeight="1">
      <c r="A377" s="298">
        <v>39162</v>
      </c>
      <c r="B377" s="299">
        <v>72965</v>
      </c>
      <c r="C377" s="241" t="s">
        <v>47</v>
      </c>
      <c r="D377" s="298" t="s">
        <v>843</v>
      </c>
      <c r="E377" s="300" t="s">
        <v>844</v>
      </c>
      <c r="F377" s="298"/>
      <c r="G377" s="241" t="s">
        <v>845</v>
      </c>
      <c r="H377" s="302">
        <v>45995</v>
      </c>
      <c r="I377" s="281">
        <v>1</v>
      </c>
      <c r="J377" s="241" t="s">
        <v>846</v>
      </c>
      <c r="K377" s="284">
        <v>2750</v>
      </c>
      <c r="L377" s="281" t="s">
        <v>847</v>
      </c>
      <c r="M377" s="303"/>
      <c r="N377" s="281"/>
      <c r="O377" s="304"/>
      <c r="P377" s="305">
        <v>46059</v>
      </c>
      <c r="Q377" s="306"/>
      <c r="R377" s="289" t="str">
        <f t="shared" ref="R377:R439" si="8">IF(SUM(Q377)&gt;0,SUM(Q377-P377),"")</f>
        <v/>
      </c>
      <c r="S377" s="241"/>
      <c r="AA377" s="281">
        <v>1029</v>
      </c>
    </row>
    <row r="378" spans="1:27" ht="18" customHeight="1">
      <c r="A378" s="298"/>
      <c r="B378" s="299"/>
      <c r="C378" s="241"/>
      <c r="D378" s="298"/>
      <c r="E378" s="300"/>
      <c r="F378" s="298"/>
      <c r="G378" s="241"/>
      <c r="H378" s="302"/>
      <c r="J378" s="241"/>
      <c r="M378" s="303"/>
      <c r="N378" s="281"/>
      <c r="O378" s="304"/>
      <c r="P378" s="305"/>
      <c r="Q378" s="306"/>
      <c r="R378" s="289" t="str">
        <f t="shared" si="8"/>
        <v/>
      </c>
      <c r="S378" s="241"/>
    </row>
    <row r="379" spans="1:27" ht="18" customHeight="1">
      <c r="A379" s="298">
        <v>39163</v>
      </c>
      <c r="B379" s="299">
        <v>72966</v>
      </c>
      <c r="C379" s="241" t="s">
        <v>41</v>
      </c>
      <c r="D379" s="298">
        <v>3</v>
      </c>
      <c r="E379" s="300" t="s">
        <v>848</v>
      </c>
      <c r="F379" s="298">
        <v>0</v>
      </c>
      <c r="G379" s="301" t="s">
        <v>849</v>
      </c>
      <c r="H379" s="302">
        <v>45995</v>
      </c>
      <c r="I379" s="281">
        <v>1</v>
      </c>
      <c r="J379" s="241" t="s">
        <v>850</v>
      </c>
      <c r="K379" s="284">
        <v>1847</v>
      </c>
      <c r="L379" s="281" t="s">
        <v>851</v>
      </c>
      <c r="M379" s="303"/>
      <c r="N379" s="281"/>
      <c r="O379" s="304"/>
      <c r="P379" s="305">
        <v>46062</v>
      </c>
      <c r="Q379" s="306"/>
      <c r="R379" s="289" t="str">
        <f t="shared" si="8"/>
        <v/>
      </c>
      <c r="S379" s="241"/>
      <c r="AA379" s="281">
        <v>1030</v>
      </c>
    </row>
    <row r="380" spans="1:27" ht="18" customHeight="1">
      <c r="A380" s="298"/>
      <c r="B380" s="299"/>
      <c r="C380" s="241"/>
      <c r="D380" s="298"/>
      <c r="E380" s="300"/>
      <c r="F380" s="298"/>
      <c r="G380" s="241"/>
      <c r="H380" s="302"/>
      <c r="J380" s="241"/>
      <c r="M380" s="303"/>
      <c r="N380" s="281"/>
      <c r="O380" s="304"/>
      <c r="P380" s="305"/>
      <c r="Q380" s="306"/>
      <c r="R380" s="289" t="str">
        <f t="shared" si="8"/>
        <v/>
      </c>
      <c r="S380" s="241"/>
    </row>
    <row r="381" spans="1:27" ht="18" customHeight="1">
      <c r="A381" s="298">
        <v>39165</v>
      </c>
      <c r="B381" s="299">
        <v>72969</v>
      </c>
      <c r="C381" s="241" t="s">
        <v>33</v>
      </c>
      <c r="D381" s="298">
        <v>1</v>
      </c>
      <c r="E381" s="300" t="s">
        <v>852</v>
      </c>
      <c r="F381" s="298"/>
      <c r="G381" s="241" t="s">
        <v>258</v>
      </c>
      <c r="H381" s="302">
        <v>45999</v>
      </c>
      <c r="I381" s="281">
        <v>1</v>
      </c>
      <c r="J381" s="241" t="s">
        <v>853</v>
      </c>
      <c r="K381" s="284">
        <v>5623</v>
      </c>
      <c r="L381" s="281" t="s">
        <v>854</v>
      </c>
      <c r="M381" s="303"/>
      <c r="N381" s="281"/>
      <c r="O381" s="304"/>
      <c r="P381" s="305">
        <v>46044</v>
      </c>
      <c r="Q381" s="306"/>
      <c r="R381" s="289" t="str">
        <f t="shared" si="8"/>
        <v/>
      </c>
      <c r="S381" s="241"/>
      <c r="AA381" s="281">
        <v>1033</v>
      </c>
    </row>
    <row r="382" spans="1:27" ht="18" customHeight="1">
      <c r="A382" s="298"/>
      <c r="B382" s="299"/>
      <c r="C382" s="241"/>
      <c r="D382" s="298"/>
      <c r="E382" s="300"/>
      <c r="F382" s="298"/>
      <c r="G382" s="241"/>
      <c r="H382" s="302"/>
      <c r="J382" s="241"/>
      <c r="M382" s="303"/>
      <c r="N382" s="281"/>
      <c r="O382" s="304"/>
      <c r="P382" s="305"/>
      <c r="Q382" s="306"/>
      <c r="R382" s="289" t="str">
        <f t="shared" si="8"/>
        <v/>
      </c>
      <c r="S382" s="241"/>
    </row>
    <row r="383" spans="1:27" ht="18" customHeight="1">
      <c r="A383" s="298">
        <v>39168</v>
      </c>
      <c r="B383" s="299">
        <v>72983</v>
      </c>
      <c r="C383" s="241" t="s">
        <v>251</v>
      </c>
      <c r="D383" s="298">
        <v>2</v>
      </c>
      <c r="E383" s="300" t="s">
        <v>855</v>
      </c>
      <c r="F383" s="298"/>
      <c r="G383" s="241" t="s">
        <v>856</v>
      </c>
      <c r="H383" s="302">
        <v>46003</v>
      </c>
      <c r="I383" s="281">
        <v>1</v>
      </c>
      <c r="J383" s="241" t="s">
        <v>857</v>
      </c>
      <c r="K383" s="284">
        <v>14670</v>
      </c>
      <c r="L383" s="281" t="s">
        <v>858</v>
      </c>
      <c r="M383" s="303"/>
      <c r="N383" s="281"/>
      <c r="O383" s="304"/>
      <c r="P383" s="305">
        <v>46060</v>
      </c>
      <c r="Q383" s="306"/>
      <c r="R383" s="289" t="str">
        <f t="shared" si="8"/>
        <v/>
      </c>
      <c r="S383" s="241"/>
      <c r="AA383" s="281">
        <v>1047</v>
      </c>
    </row>
    <row r="384" spans="1:27" ht="18" customHeight="1">
      <c r="A384" s="298"/>
      <c r="B384" s="299"/>
      <c r="C384" s="241"/>
      <c r="D384" s="298"/>
      <c r="E384" s="300"/>
      <c r="F384" s="298"/>
      <c r="G384" s="241"/>
      <c r="H384" s="302"/>
      <c r="J384" s="241"/>
      <c r="M384" s="303"/>
      <c r="N384" s="281"/>
      <c r="O384" s="304"/>
      <c r="P384" s="305"/>
      <c r="Q384" s="306"/>
      <c r="R384" s="289" t="str">
        <f t="shared" si="8"/>
        <v/>
      </c>
      <c r="S384" s="241"/>
    </row>
    <row r="385" spans="1:27" ht="18" customHeight="1">
      <c r="A385" s="298">
        <v>39169</v>
      </c>
      <c r="B385" s="299">
        <v>72984</v>
      </c>
      <c r="C385" s="241" t="s">
        <v>214</v>
      </c>
      <c r="D385" s="298">
        <v>1</v>
      </c>
      <c r="E385" s="300" t="s">
        <v>859</v>
      </c>
      <c r="F385" s="298" t="s">
        <v>211</v>
      </c>
      <c r="G385" s="241" t="s">
        <v>860</v>
      </c>
      <c r="H385" s="302">
        <v>46006</v>
      </c>
      <c r="I385" s="281">
        <v>1</v>
      </c>
      <c r="J385" s="241" t="s">
        <v>861</v>
      </c>
      <c r="K385" s="284">
        <v>375</v>
      </c>
      <c r="L385" s="281" t="s">
        <v>862</v>
      </c>
      <c r="M385" s="303"/>
      <c r="N385" s="281"/>
      <c r="O385" s="304"/>
      <c r="P385" s="305">
        <v>46079</v>
      </c>
      <c r="Q385" s="306"/>
      <c r="R385" s="289" t="str">
        <f t="shared" si="8"/>
        <v/>
      </c>
      <c r="S385" s="241"/>
      <c r="AA385" s="281">
        <v>1048</v>
      </c>
    </row>
    <row r="386" spans="1:27" ht="18" customHeight="1">
      <c r="A386" s="298">
        <v>39169</v>
      </c>
      <c r="B386" s="299">
        <v>72985</v>
      </c>
      <c r="C386" s="241" t="s">
        <v>214</v>
      </c>
      <c r="D386" s="298">
        <v>2</v>
      </c>
      <c r="E386" s="300" t="s">
        <v>863</v>
      </c>
      <c r="F386" s="298" t="s">
        <v>615</v>
      </c>
      <c r="G386" s="241" t="s">
        <v>860</v>
      </c>
      <c r="H386" s="302">
        <v>46006</v>
      </c>
      <c r="I386" s="281">
        <v>2</v>
      </c>
      <c r="J386" s="241" t="s">
        <v>864</v>
      </c>
      <c r="K386" s="284">
        <v>375</v>
      </c>
      <c r="L386" s="281" t="s">
        <v>862</v>
      </c>
      <c r="M386" s="303"/>
      <c r="N386" s="281"/>
      <c r="O386" s="304"/>
      <c r="P386" s="305">
        <v>46079</v>
      </c>
      <c r="Q386" s="306"/>
      <c r="R386" s="289" t="str">
        <f t="shared" si="8"/>
        <v/>
      </c>
      <c r="S386" s="241"/>
      <c r="AA386" s="281">
        <v>1049</v>
      </c>
    </row>
    <row r="387" spans="1:27" ht="18" customHeight="1">
      <c r="A387" s="298">
        <v>39169</v>
      </c>
      <c r="B387" s="299">
        <v>72986</v>
      </c>
      <c r="C387" s="241" t="s">
        <v>214</v>
      </c>
      <c r="D387" s="298">
        <v>2</v>
      </c>
      <c r="E387" s="300">
        <v>125528611</v>
      </c>
      <c r="F387" s="298" t="s">
        <v>685</v>
      </c>
      <c r="G387" s="241" t="s">
        <v>860</v>
      </c>
      <c r="H387" s="302">
        <v>46006</v>
      </c>
      <c r="I387" s="281">
        <v>3</v>
      </c>
      <c r="J387" s="241" t="s">
        <v>865</v>
      </c>
      <c r="K387" s="284">
        <v>2792</v>
      </c>
      <c r="L387" s="281" t="s">
        <v>862</v>
      </c>
      <c r="M387" s="303"/>
      <c r="N387" s="281"/>
      <c r="O387" s="304"/>
      <c r="P387" s="305">
        <v>46079</v>
      </c>
      <c r="Q387" s="306"/>
      <c r="R387" s="289" t="str">
        <f t="shared" si="8"/>
        <v/>
      </c>
      <c r="S387" s="241"/>
      <c r="AA387" s="281">
        <v>1050</v>
      </c>
    </row>
    <row r="388" spans="1:27" ht="18" customHeight="1">
      <c r="A388" s="298">
        <v>39169</v>
      </c>
      <c r="B388" s="299">
        <v>72987</v>
      </c>
      <c r="C388" s="241" t="s">
        <v>214</v>
      </c>
      <c r="D388" s="298">
        <v>1</v>
      </c>
      <c r="E388" s="300">
        <v>125535735</v>
      </c>
      <c r="F388" s="298" t="s">
        <v>685</v>
      </c>
      <c r="G388" s="241" t="s">
        <v>860</v>
      </c>
      <c r="H388" s="302">
        <v>46006</v>
      </c>
      <c r="I388" s="281">
        <v>4</v>
      </c>
      <c r="J388" s="241" t="s">
        <v>866</v>
      </c>
      <c r="K388" s="284">
        <v>3273</v>
      </c>
      <c r="L388" s="281" t="s">
        <v>862</v>
      </c>
      <c r="M388" s="303"/>
      <c r="N388" s="281"/>
      <c r="O388" s="304"/>
      <c r="P388" s="305">
        <v>46079</v>
      </c>
      <c r="Q388" s="306"/>
      <c r="R388" s="289" t="str">
        <f t="shared" si="8"/>
        <v/>
      </c>
      <c r="S388" s="241"/>
      <c r="AA388" s="281">
        <v>1051</v>
      </c>
    </row>
    <row r="389" spans="1:27" ht="18" customHeight="1">
      <c r="A389" s="298">
        <v>39169</v>
      </c>
      <c r="B389" s="299">
        <v>72988</v>
      </c>
      <c r="C389" s="241" t="s">
        <v>214</v>
      </c>
      <c r="D389" s="298">
        <v>2</v>
      </c>
      <c r="E389" s="300">
        <v>125535737</v>
      </c>
      <c r="F389" s="298" t="s">
        <v>685</v>
      </c>
      <c r="G389" s="241" t="s">
        <v>860</v>
      </c>
      <c r="H389" s="302">
        <v>46006</v>
      </c>
      <c r="I389" s="281">
        <v>5</v>
      </c>
      <c r="J389" s="241" t="s">
        <v>867</v>
      </c>
      <c r="K389" s="284">
        <v>3534</v>
      </c>
      <c r="L389" s="281" t="s">
        <v>862</v>
      </c>
      <c r="M389" s="303"/>
      <c r="N389" s="281"/>
      <c r="O389" s="304"/>
      <c r="P389" s="305">
        <v>46079</v>
      </c>
      <c r="Q389" s="306"/>
      <c r="R389" s="289" t="str">
        <f t="shared" si="8"/>
        <v/>
      </c>
      <c r="S389" s="241"/>
      <c r="AA389" s="281">
        <v>1052</v>
      </c>
    </row>
    <row r="390" spans="1:27" ht="18" customHeight="1">
      <c r="A390" s="298">
        <v>39169</v>
      </c>
      <c r="B390" s="299">
        <v>72989</v>
      </c>
      <c r="C390" s="241" t="s">
        <v>214</v>
      </c>
      <c r="D390" s="298">
        <v>1</v>
      </c>
      <c r="E390" s="300">
        <v>125535906</v>
      </c>
      <c r="F390" s="298" t="s">
        <v>685</v>
      </c>
      <c r="G390" s="241" t="s">
        <v>860</v>
      </c>
      <c r="H390" s="302">
        <v>46006</v>
      </c>
      <c r="I390" s="281">
        <v>6</v>
      </c>
      <c r="J390" s="241" t="s">
        <v>866</v>
      </c>
      <c r="K390" s="284">
        <v>3369</v>
      </c>
      <c r="L390" s="281" t="s">
        <v>862</v>
      </c>
      <c r="M390" s="303"/>
      <c r="N390" s="281"/>
      <c r="O390" s="304"/>
      <c r="P390" s="305">
        <v>46079</v>
      </c>
      <c r="Q390" s="306"/>
      <c r="R390" s="289" t="str">
        <f t="shared" si="8"/>
        <v/>
      </c>
      <c r="S390" s="241"/>
      <c r="AA390" s="281">
        <v>1053</v>
      </c>
    </row>
    <row r="391" spans="1:27" ht="18" customHeight="1">
      <c r="A391" s="298"/>
      <c r="B391" s="299"/>
      <c r="C391" s="241"/>
      <c r="D391" s="298"/>
      <c r="E391" s="300"/>
      <c r="F391" s="298"/>
      <c r="G391" s="241"/>
      <c r="H391" s="302"/>
      <c r="J391" s="241"/>
      <c r="M391" s="303"/>
      <c r="N391" s="281"/>
      <c r="O391" s="304"/>
      <c r="P391" s="305"/>
      <c r="Q391" s="306"/>
      <c r="R391" s="289" t="str">
        <f t="shared" si="8"/>
        <v/>
      </c>
      <c r="S391" s="241"/>
    </row>
    <row r="392" spans="1:27" ht="18" customHeight="1">
      <c r="A392" s="298">
        <v>39172</v>
      </c>
      <c r="B392" s="299">
        <v>72997</v>
      </c>
      <c r="C392" s="241" t="s">
        <v>0</v>
      </c>
      <c r="D392" s="298">
        <v>1</v>
      </c>
      <c r="E392" s="300" t="s">
        <v>868</v>
      </c>
      <c r="F392" s="298"/>
      <c r="G392" s="241" t="s">
        <v>495</v>
      </c>
      <c r="H392" s="302">
        <v>46007</v>
      </c>
      <c r="I392" s="281">
        <v>1</v>
      </c>
      <c r="J392" s="241" t="s">
        <v>869</v>
      </c>
      <c r="K392" s="284">
        <v>1030</v>
      </c>
      <c r="L392" s="281" t="s">
        <v>870</v>
      </c>
      <c r="M392" s="303">
        <v>44921</v>
      </c>
      <c r="N392" s="281">
        <v>1</v>
      </c>
      <c r="O392" s="304">
        <v>53189</v>
      </c>
      <c r="P392" s="305">
        <v>46027</v>
      </c>
      <c r="Q392" s="306">
        <v>46038</v>
      </c>
      <c r="R392" s="289">
        <f t="shared" si="8"/>
        <v>11</v>
      </c>
      <c r="S392" s="241"/>
      <c r="AA392" s="281">
        <v>1061</v>
      </c>
    </row>
    <row r="393" spans="1:27" ht="18" customHeight="1">
      <c r="A393" s="298"/>
      <c r="B393" s="299"/>
      <c r="C393" s="241"/>
      <c r="D393" s="298"/>
      <c r="E393" s="300"/>
      <c r="F393" s="298"/>
      <c r="G393" s="241"/>
      <c r="H393" s="302"/>
      <c r="J393" s="241"/>
      <c r="M393" s="303"/>
      <c r="N393" s="281"/>
      <c r="O393" s="304"/>
      <c r="P393" s="305"/>
      <c r="Q393" s="306"/>
      <c r="R393" s="289" t="str">
        <f t="shared" si="8"/>
        <v/>
      </c>
      <c r="S393" s="241"/>
    </row>
    <row r="394" spans="1:27" ht="18" customHeight="1">
      <c r="A394" s="298">
        <v>39173</v>
      </c>
      <c r="B394" s="299">
        <v>72998</v>
      </c>
      <c r="C394" s="241" t="s">
        <v>32</v>
      </c>
      <c r="D394" s="298" t="s">
        <v>595</v>
      </c>
      <c r="E394" s="300" t="s">
        <v>871</v>
      </c>
      <c r="F394" s="298"/>
      <c r="G394" s="241" t="s">
        <v>381</v>
      </c>
      <c r="H394" s="302">
        <v>46008</v>
      </c>
      <c r="I394" s="281">
        <v>1</v>
      </c>
      <c r="J394" s="241" t="s">
        <v>872</v>
      </c>
      <c r="M394" s="303">
        <v>44892</v>
      </c>
      <c r="N394" s="281">
        <v>2</v>
      </c>
      <c r="O394" s="304"/>
      <c r="P394" s="305">
        <v>46010</v>
      </c>
      <c r="Q394" s="306">
        <v>46010</v>
      </c>
      <c r="R394" s="289">
        <f t="shared" si="8"/>
        <v>0</v>
      </c>
      <c r="S394" s="241"/>
      <c r="AA394" s="281">
        <v>1062</v>
      </c>
    </row>
    <row r="395" spans="1:27" ht="18" customHeight="1">
      <c r="A395" s="298">
        <v>39173</v>
      </c>
      <c r="B395" s="299">
        <v>72999</v>
      </c>
      <c r="C395" s="241" t="s">
        <v>32</v>
      </c>
      <c r="D395" s="298">
        <v>1</v>
      </c>
      <c r="E395" s="300" t="s">
        <v>873</v>
      </c>
      <c r="F395" s="298"/>
      <c r="G395" s="241" t="s">
        <v>381</v>
      </c>
      <c r="H395" s="302">
        <v>46008</v>
      </c>
      <c r="I395" s="281">
        <v>1</v>
      </c>
      <c r="J395" s="241" t="s">
        <v>874</v>
      </c>
      <c r="M395" s="303">
        <v>44892</v>
      </c>
      <c r="N395" s="281">
        <v>2</v>
      </c>
      <c r="O395" s="304"/>
      <c r="P395" s="305">
        <v>46010</v>
      </c>
      <c r="Q395" s="306">
        <v>46010</v>
      </c>
      <c r="R395" s="289">
        <f t="shared" si="8"/>
        <v>0</v>
      </c>
      <c r="S395" s="241"/>
      <c r="AA395" s="281">
        <v>1062</v>
      </c>
    </row>
    <row r="396" spans="1:27" ht="18" customHeight="1">
      <c r="A396" s="298"/>
      <c r="B396" s="299"/>
      <c r="C396" s="241"/>
      <c r="D396" s="298"/>
      <c r="E396" s="300"/>
      <c r="F396" s="298"/>
      <c r="G396" s="241"/>
      <c r="H396" s="302"/>
      <c r="J396" s="241"/>
      <c r="M396" s="303"/>
      <c r="N396" s="281"/>
      <c r="O396" s="304"/>
      <c r="P396" s="305"/>
      <c r="Q396" s="306"/>
      <c r="R396" s="289" t="str">
        <f t="shared" si="8"/>
        <v/>
      </c>
      <c r="S396" s="241"/>
    </row>
    <row r="397" spans="1:27" ht="18" customHeight="1">
      <c r="A397" s="298">
        <v>39174</v>
      </c>
      <c r="B397" s="299">
        <v>73001</v>
      </c>
      <c r="C397" s="241" t="s">
        <v>41</v>
      </c>
      <c r="D397" s="298">
        <v>4</v>
      </c>
      <c r="E397" s="300" t="s">
        <v>875</v>
      </c>
      <c r="F397" s="298"/>
      <c r="G397" s="429" t="s">
        <v>303</v>
      </c>
      <c r="H397" s="302">
        <v>46014</v>
      </c>
      <c r="I397" s="281">
        <v>1</v>
      </c>
      <c r="J397" s="241" t="s">
        <v>876</v>
      </c>
      <c r="K397" s="284">
        <v>810</v>
      </c>
      <c r="L397" s="281" t="s">
        <v>877</v>
      </c>
      <c r="M397" s="303"/>
      <c r="N397" s="281"/>
      <c r="O397" s="304"/>
      <c r="P397" s="305">
        <v>46077</v>
      </c>
      <c r="Q397" s="306"/>
      <c r="R397" s="289" t="str">
        <f t="shared" si="8"/>
        <v/>
      </c>
      <c r="S397" s="241"/>
      <c r="AA397" s="281">
        <v>1065</v>
      </c>
    </row>
    <row r="398" spans="1:27" ht="18" customHeight="1">
      <c r="A398" s="298">
        <v>39174</v>
      </c>
      <c r="B398" s="299">
        <v>73002</v>
      </c>
      <c r="C398" s="241" t="s">
        <v>41</v>
      </c>
      <c r="D398" s="298">
        <v>4</v>
      </c>
      <c r="E398" s="300" t="s">
        <v>878</v>
      </c>
      <c r="F398" s="298"/>
      <c r="G398" s="429" t="s">
        <v>303</v>
      </c>
      <c r="H398" s="302">
        <v>46014</v>
      </c>
      <c r="I398" s="281">
        <v>2</v>
      </c>
      <c r="J398" s="241" t="s">
        <v>879</v>
      </c>
      <c r="K398" s="284">
        <v>618</v>
      </c>
      <c r="L398" s="281" t="s">
        <v>877</v>
      </c>
      <c r="M398" s="303"/>
      <c r="N398" s="281"/>
      <c r="O398" s="304"/>
      <c r="P398" s="305">
        <v>46077</v>
      </c>
      <c r="Q398" s="306"/>
      <c r="R398" s="289" t="str">
        <f t="shared" si="8"/>
        <v/>
      </c>
      <c r="S398" s="241"/>
      <c r="AA398" s="281">
        <v>1066</v>
      </c>
    </row>
    <row r="399" spans="1:27" ht="18" customHeight="1">
      <c r="A399" s="298">
        <v>39174</v>
      </c>
      <c r="B399" s="299">
        <v>73003</v>
      </c>
      <c r="C399" s="241" t="s">
        <v>41</v>
      </c>
      <c r="D399" s="298">
        <v>4</v>
      </c>
      <c r="E399" s="300" t="s">
        <v>880</v>
      </c>
      <c r="F399" s="298"/>
      <c r="G399" s="429" t="s">
        <v>303</v>
      </c>
      <c r="H399" s="302">
        <v>46014</v>
      </c>
      <c r="I399" s="281">
        <v>3</v>
      </c>
      <c r="J399" s="241" t="s">
        <v>881</v>
      </c>
      <c r="K399" s="284">
        <v>1737</v>
      </c>
      <c r="L399" s="281" t="s">
        <v>877</v>
      </c>
      <c r="M399" s="303"/>
      <c r="N399" s="281"/>
      <c r="O399" s="304"/>
      <c r="P399" s="305">
        <v>46077</v>
      </c>
      <c r="Q399" s="306"/>
      <c r="R399" s="289" t="str">
        <f t="shared" si="8"/>
        <v/>
      </c>
      <c r="S399" s="241"/>
      <c r="AA399" s="281">
        <v>1067</v>
      </c>
    </row>
    <row r="400" spans="1:27" ht="18" customHeight="1">
      <c r="A400" s="298">
        <v>39174</v>
      </c>
      <c r="B400" s="299">
        <v>73004</v>
      </c>
      <c r="C400" s="241" t="s">
        <v>41</v>
      </c>
      <c r="D400" s="298">
        <v>8</v>
      </c>
      <c r="E400" s="300" t="s">
        <v>882</v>
      </c>
      <c r="F400" s="298"/>
      <c r="G400" s="429" t="s">
        <v>303</v>
      </c>
      <c r="H400" s="302">
        <v>46014</v>
      </c>
      <c r="I400" s="281">
        <v>4</v>
      </c>
      <c r="J400" s="241" t="s">
        <v>883</v>
      </c>
      <c r="K400" s="284">
        <v>112</v>
      </c>
      <c r="L400" s="281" t="s">
        <v>877</v>
      </c>
      <c r="M400" s="303"/>
      <c r="N400" s="281"/>
      <c r="O400" s="304"/>
      <c r="P400" s="305">
        <v>46077</v>
      </c>
      <c r="Q400" s="306"/>
      <c r="R400" s="289" t="str">
        <f t="shared" si="8"/>
        <v/>
      </c>
      <c r="S400" s="241"/>
      <c r="AA400" s="281">
        <v>1068</v>
      </c>
    </row>
    <row r="401" spans="1:27" ht="18" customHeight="1">
      <c r="A401" s="298"/>
      <c r="B401" s="299"/>
      <c r="C401" s="241"/>
      <c r="D401" s="298"/>
      <c r="E401" s="300"/>
      <c r="F401" s="298"/>
      <c r="G401" s="241"/>
      <c r="H401" s="302"/>
      <c r="J401" s="241"/>
      <c r="M401" s="303"/>
      <c r="N401" s="281"/>
      <c r="O401" s="304"/>
      <c r="P401" s="305"/>
      <c r="Q401" s="306"/>
      <c r="R401" s="289" t="str">
        <f t="shared" si="8"/>
        <v/>
      </c>
      <c r="S401" s="241"/>
    </row>
    <row r="402" spans="1:27" ht="18" customHeight="1">
      <c r="A402" s="298">
        <v>39177</v>
      </c>
      <c r="B402" s="299">
        <v>73007</v>
      </c>
      <c r="C402" s="241" t="s">
        <v>41</v>
      </c>
      <c r="D402" s="298">
        <v>2</v>
      </c>
      <c r="E402" s="300" t="s">
        <v>884</v>
      </c>
      <c r="F402" s="298">
        <v>1</v>
      </c>
      <c r="G402" s="241" t="s">
        <v>885</v>
      </c>
      <c r="H402" s="302">
        <v>46015</v>
      </c>
      <c r="I402" s="426" t="s">
        <v>886</v>
      </c>
      <c r="J402" s="241" t="s">
        <v>887</v>
      </c>
      <c r="K402" s="284">
        <v>2998</v>
      </c>
      <c r="L402" s="350" t="s">
        <v>888</v>
      </c>
      <c r="M402" s="303"/>
      <c r="N402" s="281"/>
      <c r="O402" s="304"/>
      <c r="P402" s="305">
        <v>46073</v>
      </c>
      <c r="Q402" s="306"/>
      <c r="R402" s="289" t="str">
        <f t="shared" si="8"/>
        <v/>
      </c>
      <c r="S402" s="241"/>
      <c r="AA402" s="281">
        <v>1094</v>
      </c>
    </row>
    <row r="403" spans="1:27" ht="18" customHeight="1">
      <c r="A403" s="298">
        <v>39177</v>
      </c>
      <c r="B403" s="299">
        <v>73008</v>
      </c>
      <c r="C403" s="241" t="s">
        <v>41</v>
      </c>
      <c r="D403" s="298">
        <v>16</v>
      </c>
      <c r="E403" s="300" t="s">
        <v>889</v>
      </c>
      <c r="F403" s="298"/>
      <c r="G403" s="241" t="s">
        <v>885</v>
      </c>
      <c r="H403" s="302">
        <v>46015</v>
      </c>
      <c r="I403" s="426" t="s">
        <v>773</v>
      </c>
      <c r="J403" s="241" t="s">
        <v>890</v>
      </c>
      <c r="K403" s="284">
        <v>456</v>
      </c>
      <c r="L403" s="350" t="s">
        <v>888</v>
      </c>
      <c r="M403" s="303"/>
      <c r="N403" s="281"/>
      <c r="O403" s="304"/>
      <c r="P403" s="305">
        <v>46073</v>
      </c>
      <c r="Q403" s="306"/>
      <c r="R403" s="289" t="str">
        <f t="shared" si="8"/>
        <v/>
      </c>
      <c r="S403" s="241"/>
      <c r="AA403" s="281">
        <v>1095</v>
      </c>
    </row>
    <row r="404" spans="1:27" ht="18" customHeight="1">
      <c r="A404" s="298"/>
      <c r="B404" s="299"/>
      <c r="C404" s="241"/>
      <c r="D404" s="298"/>
      <c r="E404" s="300"/>
      <c r="F404" s="298"/>
      <c r="G404" s="241"/>
      <c r="H404" s="302"/>
      <c r="J404" s="241"/>
      <c r="M404" s="303"/>
      <c r="N404" s="281"/>
      <c r="O404" s="304"/>
      <c r="P404" s="305"/>
      <c r="Q404" s="306"/>
      <c r="R404" s="289" t="str">
        <f t="shared" si="8"/>
        <v/>
      </c>
      <c r="S404" s="241"/>
    </row>
    <row r="405" spans="1:27" ht="18" customHeight="1">
      <c r="A405" s="298">
        <v>39178</v>
      </c>
      <c r="B405" s="299">
        <v>73009</v>
      </c>
      <c r="C405" s="241" t="s">
        <v>41</v>
      </c>
      <c r="D405" s="298">
        <v>1</v>
      </c>
      <c r="E405" s="300" t="s">
        <v>891</v>
      </c>
      <c r="F405" s="298"/>
      <c r="G405" s="241" t="s">
        <v>885</v>
      </c>
      <c r="H405" s="302">
        <v>46015</v>
      </c>
      <c r="I405" s="426" t="s">
        <v>892</v>
      </c>
      <c r="J405" s="241" t="s">
        <v>893</v>
      </c>
      <c r="K405" s="284">
        <v>43580</v>
      </c>
      <c r="L405" s="350" t="s">
        <v>894</v>
      </c>
      <c r="M405" s="303"/>
      <c r="N405" s="281"/>
      <c r="O405" s="304"/>
      <c r="P405" s="390">
        <v>46150</v>
      </c>
      <c r="Q405" s="306"/>
      <c r="R405" s="289" t="str">
        <f t="shared" si="8"/>
        <v/>
      </c>
      <c r="S405" s="241"/>
      <c r="AA405" s="281">
        <v>1096</v>
      </c>
    </row>
    <row r="406" spans="1:27" ht="18" customHeight="1">
      <c r="A406" s="298"/>
      <c r="B406" s="299"/>
      <c r="C406" s="241"/>
      <c r="D406" s="298"/>
      <c r="E406" s="300"/>
      <c r="F406" s="298"/>
      <c r="G406" s="241"/>
      <c r="H406" s="302"/>
      <c r="J406" s="241"/>
      <c r="M406" s="303"/>
      <c r="N406" s="281"/>
      <c r="O406" s="304"/>
      <c r="P406" s="305"/>
      <c r="Q406" s="306"/>
      <c r="R406" s="289" t="str">
        <f t="shared" si="8"/>
        <v/>
      </c>
      <c r="S406" s="241"/>
    </row>
    <row r="407" spans="1:27" ht="18" customHeight="1">
      <c r="A407" s="298">
        <v>39179</v>
      </c>
      <c r="B407" s="299">
        <v>73010</v>
      </c>
      <c r="C407" s="241" t="s">
        <v>62</v>
      </c>
      <c r="D407" s="298">
        <v>1</v>
      </c>
      <c r="E407" s="300" t="s">
        <v>895</v>
      </c>
      <c r="F407" s="298"/>
      <c r="G407" s="241" t="s">
        <v>896</v>
      </c>
      <c r="H407" s="302">
        <v>46020</v>
      </c>
      <c r="I407" s="281">
        <v>1</v>
      </c>
      <c r="J407" s="241" t="s">
        <v>897</v>
      </c>
      <c r="K407" s="284">
        <v>3165</v>
      </c>
      <c r="L407" s="281" t="s">
        <v>898</v>
      </c>
      <c r="M407" s="303"/>
      <c r="N407" s="281"/>
      <c r="O407" s="304"/>
      <c r="P407" s="305">
        <v>46073</v>
      </c>
      <c r="Q407" s="306"/>
      <c r="R407" s="289" t="str">
        <f t="shared" si="8"/>
        <v/>
      </c>
      <c r="S407" s="241"/>
      <c r="AA407" s="281">
        <v>1097</v>
      </c>
    </row>
    <row r="408" spans="1:27" ht="18" customHeight="1">
      <c r="A408" s="298"/>
      <c r="B408" s="299"/>
      <c r="C408" s="241"/>
      <c r="D408" s="298"/>
      <c r="E408" s="300"/>
      <c r="F408" s="298"/>
      <c r="G408" s="241"/>
      <c r="H408" s="302"/>
      <c r="J408" s="241"/>
      <c r="M408" s="303"/>
      <c r="N408" s="281"/>
      <c r="O408" s="304"/>
      <c r="P408" s="305"/>
      <c r="Q408" s="306"/>
      <c r="R408" s="289" t="str">
        <f t="shared" si="8"/>
        <v/>
      </c>
      <c r="S408" s="241"/>
    </row>
    <row r="409" spans="1:27" ht="18" customHeight="1">
      <c r="A409" s="298">
        <v>39180</v>
      </c>
      <c r="B409" s="299">
        <v>73011</v>
      </c>
      <c r="C409" s="241" t="s">
        <v>62</v>
      </c>
      <c r="D409" s="298">
        <v>1</v>
      </c>
      <c r="E409" s="300" t="s">
        <v>899</v>
      </c>
      <c r="F409" s="298"/>
      <c r="G409" s="241" t="s">
        <v>896</v>
      </c>
      <c r="H409" s="302">
        <v>46020</v>
      </c>
      <c r="I409" s="281">
        <v>1</v>
      </c>
      <c r="J409" s="241" t="s">
        <v>900</v>
      </c>
      <c r="K409" s="284">
        <v>1092</v>
      </c>
      <c r="L409" s="281" t="s">
        <v>901</v>
      </c>
      <c r="M409" s="303"/>
      <c r="N409" s="281"/>
      <c r="O409" s="304"/>
      <c r="P409" s="305">
        <v>46066</v>
      </c>
      <c r="Q409" s="306"/>
      <c r="R409" s="289" t="str">
        <f t="shared" si="8"/>
        <v/>
      </c>
      <c r="S409" s="241"/>
      <c r="AA409" s="281">
        <v>1098</v>
      </c>
    </row>
    <row r="410" spans="1:27" ht="18" customHeight="1">
      <c r="A410" s="298"/>
      <c r="B410" s="299"/>
      <c r="C410" s="241"/>
      <c r="D410" s="298"/>
      <c r="E410" s="300"/>
      <c r="F410" s="298"/>
      <c r="G410" s="241"/>
      <c r="H410" s="302"/>
      <c r="J410" s="241"/>
      <c r="M410" s="303"/>
      <c r="N410" s="281"/>
      <c r="O410" s="304"/>
      <c r="P410" s="305"/>
      <c r="Q410" s="306"/>
      <c r="R410" s="289" t="str">
        <f t="shared" si="8"/>
        <v/>
      </c>
      <c r="S410" s="241"/>
    </row>
    <row r="411" spans="1:27" ht="18" customHeight="1">
      <c r="A411" s="298">
        <v>39181</v>
      </c>
      <c r="B411" s="299">
        <v>73012</v>
      </c>
      <c r="C411" s="241" t="s">
        <v>62</v>
      </c>
      <c r="D411" s="298">
        <v>1</v>
      </c>
      <c r="E411" s="300" t="s">
        <v>902</v>
      </c>
      <c r="F411" s="298"/>
      <c r="G411" s="241" t="s">
        <v>896</v>
      </c>
      <c r="H411" s="302">
        <v>46020</v>
      </c>
      <c r="I411" s="281">
        <v>1</v>
      </c>
      <c r="J411" s="241" t="s">
        <v>903</v>
      </c>
      <c r="K411" s="284">
        <v>1179</v>
      </c>
      <c r="L411" s="281" t="s">
        <v>904</v>
      </c>
      <c r="M411" s="303"/>
      <c r="N411" s="281"/>
      <c r="O411" s="304"/>
      <c r="P411" s="305">
        <v>46066</v>
      </c>
      <c r="Q411" s="306"/>
      <c r="R411" s="289" t="str">
        <f t="shared" si="8"/>
        <v/>
      </c>
      <c r="S411" s="241"/>
      <c r="AA411" s="281">
        <v>1099</v>
      </c>
    </row>
    <row r="412" spans="1:27" ht="18" customHeight="1">
      <c r="A412" s="298"/>
      <c r="B412" s="299"/>
      <c r="C412" s="241"/>
      <c r="D412" s="298"/>
      <c r="E412" s="300"/>
      <c r="F412" s="298"/>
      <c r="G412" s="241"/>
      <c r="H412" s="302"/>
      <c r="J412" s="241"/>
      <c r="M412" s="303"/>
      <c r="N412" s="281"/>
      <c r="O412" s="304"/>
      <c r="P412" s="305"/>
      <c r="Q412" s="306"/>
      <c r="R412" s="289" t="str">
        <f t="shared" si="8"/>
        <v/>
      </c>
      <c r="S412" s="241"/>
    </row>
    <row r="413" spans="1:27" ht="18" customHeight="1">
      <c r="A413" s="298">
        <v>39182</v>
      </c>
      <c r="B413" s="299">
        <v>73013</v>
      </c>
      <c r="C413" s="241" t="s">
        <v>62</v>
      </c>
      <c r="D413" s="298">
        <v>1</v>
      </c>
      <c r="E413" s="300" t="s">
        <v>905</v>
      </c>
      <c r="F413" s="298"/>
      <c r="G413" s="241" t="s">
        <v>896</v>
      </c>
      <c r="H413" s="302">
        <v>46020</v>
      </c>
      <c r="I413" s="281">
        <v>1</v>
      </c>
      <c r="J413" s="241" t="s">
        <v>906</v>
      </c>
      <c r="K413" s="284">
        <v>7911</v>
      </c>
      <c r="L413" s="281" t="s">
        <v>907</v>
      </c>
      <c r="M413" s="303"/>
      <c r="N413" s="281"/>
      <c r="O413" s="304"/>
      <c r="P413" s="305">
        <v>46073</v>
      </c>
      <c r="Q413" s="306"/>
      <c r="R413" s="289" t="str">
        <f t="shared" si="8"/>
        <v/>
      </c>
      <c r="S413" s="241"/>
      <c r="AA413" s="281">
        <v>1100</v>
      </c>
    </row>
    <row r="414" spans="1:27" ht="18" customHeight="1">
      <c r="A414" s="298"/>
      <c r="B414" s="299"/>
      <c r="C414" s="241"/>
      <c r="D414" s="298"/>
      <c r="E414" s="300"/>
      <c r="F414" s="298"/>
      <c r="G414" s="241"/>
      <c r="H414" s="302"/>
      <c r="J414" s="241"/>
      <c r="M414" s="303"/>
      <c r="N414" s="281"/>
      <c r="O414" s="304"/>
      <c r="P414" s="305"/>
      <c r="Q414" s="306"/>
      <c r="R414" s="289" t="str">
        <f t="shared" si="8"/>
        <v/>
      </c>
      <c r="S414" s="241"/>
    </row>
    <row r="415" spans="1:27" ht="18" customHeight="1">
      <c r="A415" s="298">
        <v>39183</v>
      </c>
      <c r="B415" s="299">
        <v>73014</v>
      </c>
      <c r="C415" s="241" t="s">
        <v>62</v>
      </c>
      <c r="D415" s="298">
        <v>1</v>
      </c>
      <c r="E415" s="300" t="s">
        <v>908</v>
      </c>
      <c r="F415" s="298"/>
      <c r="G415" s="241" t="s">
        <v>896</v>
      </c>
      <c r="H415" s="302">
        <v>46020</v>
      </c>
      <c r="I415" s="281">
        <v>1</v>
      </c>
      <c r="J415" s="241" t="s">
        <v>909</v>
      </c>
      <c r="K415" s="284">
        <v>4070</v>
      </c>
      <c r="L415" s="281" t="s">
        <v>910</v>
      </c>
      <c r="M415" s="303"/>
      <c r="N415" s="281"/>
      <c r="O415" s="304"/>
      <c r="P415" s="305">
        <v>46073</v>
      </c>
      <c r="Q415" s="306"/>
      <c r="R415" s="289" t="str">
        <f t="shared" si="8"/>
        <v/>
      </c>
      <c r="S415" s="241"/>
      <c r="AA415" s="281">
        <v>1101</v>
      </c>
    </row>
    <row r="416" spans="1:27" ht="18" customHeight="1">
      <c r="A416" s="298"/>
      <c r="B416" s="299"/>
      <c r="C416" s="241"/>
      <c r="D416" s="298"/>
      <c r="E416" s="300"/>
      <c r="F416" s="298"/>
      <c r="G416" s="241"/>
      <c r="H416" s="302"/>
      <c r="J416" s="241"/>
      <c r="M416" s="303"/>
      <c r="N416" s="281"/>
      <c r="O416" s="304"/>
      <c r="P416" s="305"/>
      <c r="Q416" s="306"/>
      <c r="R416" s="289" t="str">
        <f t="shared" si="8"/>
        <v/>
      </c>
      <c r="S416" s="241"/>
    </row>
    <row r="417" spans="1:27" ht="18" customHeight="1">
      <c r="A417" s="298">
        <v>39184</v>
      </c>
      <c r="B417" s="299">
        <v>73015</v>
      </c>
      <c r="C417" s="241" t="s">
        <v>62</v>
      </c>
      <c r="D417" s="298">
        <v>1</v>
      </c>
      <c r="E417" s="300" t="s">
        <v>911</v>
      </c>
      <c r="F417" s="298"/>
      <c r="G417" s="241" t="s">
        <v>896</v>
      </c>
      <c r="H417" s="302">
        <v>46020</v>
      </c>
      <c r="I417" s="281">
        <v>1</v>
      </c>
      <c r="J417" s="241" t="s">
        <v>394</v>
      </c>
      <c r="K417" s="284">
        <v>17546</v>
      </c>
      <c r="L417" s="281" t="s">
        <v>912</v>
      </c>
      <c r="M417" s="303"/>
      <c r="N417" s="281"/>
      <c r="O417" s="304"/>
      <c r="P417" s="305">
        <v>46080</v>
      </c>
      <c r="Q417" s="306"/>
      <c r="R417" s="289" t="str">
        <f t="shared" si="8"/>
        <v/>
      </c>
      <c r="S417" s="241"/>
      <c r="AA417" s="281">
        <v>1102</v>
      </c>
    </row>
    <row r="418" spans="1:27" ht="18" customHeight="1">
      <c r="A418" s="298"/>
      <c r="B418" s="299"/>
      <c r="C418" s="241"/>
      <c r="D418" s="298"/>
      <c r="E418" s="300"/>
      <c r="F418" s="298"/>
      <c r="G418" s="241"/>
      <c r="H418" s="302"/>
      <c r="J418" s="241"/>
      <c r="M418" s="303"/>
      <c r="N418" s="281"/>
      <c r="O418" s="304"/>
      <c r="P418" s="305"/>
      <c r="Q418" s="306"/>
      <c r="R418" s="289" t="str">
        <f t="shared" si="8"/>
        <v/>
      </c>
      <c r="S418" s="241"/>
    </row>
    <row r="419" spans="1:27" ht="18" customHeight="1">
      <c r="A419" s="298">
        <v>39185</v>
      </c>
      <c r="B419" s="299">
        <v>73016</v>
      </c>
      <c r="C419" s="241" t="s">
        <v>62</v>
      </c>
      <c r="D419" s="298">
        <v>1</v>
      </c>
      <c r="E419" s="300" t="s">
        <v>913</v>
      </c>
      <c r="F419" s="303" t="s">
        <v>276</v>
      </c>
      <c r="G419" s="241" t="s">
        <v>896</v>
      </c>
      <c r="H419" s="302">
        <v>46020</v>
      </c>
      <c r="I419" s="281">
        <v>1</v>
      </c>
      <c r="J419" s="241" t="s">
        <v>914</v>
      </c>
      <c r="K419" s="284">
        <v>2096</v>
      </c>
      <c r="L419" s="281" t="s">
        <v>915</v>
      </c>
      <c r="M419" s="303"/>
      <c r="N419" s="281"/>
      <c r="O419" s="304"/>
      <c r="P419" s="305">
        <v>46066</v>
      </c>
      <c r="Q419" s="306"/>
      <c r="R419" s="289" t="str">
        <f t="shared" si="8"/>
        <v/>
      </c>
      <c r="S419" s="241"/>
      <c r="AA419" s="281">
        <v>1103</v>
      </c>
    </row>
    <row r="420" spans="1:27" ht="18" customHeight="1">
      <c r="A420" s="298"/>
      <c r="B420" s="299"/>
      <c r="C420" s="241"/>
      <c r="D420" s="298"/>
      <c r="E420" s="300"/>
      <c r="F420" s="298"/>
      <c r="G420" s="241"/>
      <c r="H420" s="302"/>
      <c r="J420" s="241"/>
      <c r="M420" s="303"/>
      <c r="N420" s="281"/>
      <c r="O420" s="304"/>
      <c r="P420" s="305"/>
      <c r="Q420" s="306"/>
      <c r="R420" s="289" t="str">
        <f t="shared" si="8"/>
        <v/>
      </c>
      <c r="S420" s="241"/>
    </row>
    <row r="421" spans="1:27" ht="18" customHeight="1">
      <c r="A421" s="298">
        <v>39186</v>
      </c>
      <c r="B421" s="299">
        <v>73017</v>
      </c>
      <c r="C421" s="241" t="s">
        <v>62</v>
      </c>
      <c r="D421" s="298">
        <v>1</v>
      </c>
      <c r="E421" s="300" t="s">
        <v>916</v>
      </c>
      <c r="F421" s="298"/>
      <c r="G421" s="241" t="s">
        <v>896</v>
      </c>
      <c r="H421" s="302">
        <v>46020</v>
      </c>
      <c r="I421" s="281">
        <v>1</v>
      </c>
      <c r="J421" s="241" t="s">
        <v>917</v>
      </c>
      <c r="K421" s="284">
        <v>2856</v>
      </c>
      <c r="L421" s="281" t="s">
        <v>918</v>
      </c>
      <c r="M421" s="303"/>
      <c r="N421" s="281"/>
      <c r="O421" s="304"/>
      <c r="P421" s="305">
        <v>46066</v>
      </c>
      <c r="Q421" s="306"/>
      <c r="R421" s="289" t="str">
        <f t="shared" si="8"/>
        <v/>
      </c>
      <c r="S421" s="241"/>
      <c r="AA421" s="281">
        <v>1104</v>
      </c>
    </row>
    <row r="422" spans="1:27" ht="18" customHeight="1">
      <c r="A422" s="298"/>
      <c r="B422" s="299"/>
      <c r="C422" s="241"/>
      <c r="D422" s="298"/>
      <c r="E422" s="300"/>
      <c r="F422" s="298"/>
      <c r="G422" s="241"/>
      <c r="H422" s="302"/>
      <c r="J422" s="241"/>
      <c r="M422" s="303"/>
      <c r="N422" s="281"/>
      <c r="O422" s="304"/>
      <c r="P422" s="305"/>
      <c r="Q422" s="306"/>
      <c r="R422" s="289" t="str">
        <f t="shared" si="8"/>
        <v/>
      </c>
      <c r="S422" s="241"/>
    </row>
    <row r="423" spans="1:27" ht="18" customHeight="1">
      <c r="A423" s="298">
        <v>39187</v>
      </c>
      <c r="B423" s="299">
        <v>73018</v>
      </c>
      <c r="C423" s="241" t="s">
        <v>62</v>
      </c>
      <c r="D423" s="298">
        <v>1</v>
      </c>
      <c r="E423" s="300" t="s">
        <v>919</v>
      </c>
      <c r="F423" s="298"/>
      <c r="G423" s="241" t="s">
        <v>896</v>
      </c>
      <c r="H423" s="302">
        <v>46020</v>
      </c>
      <c r="I423" s="281">
        <v>1</v>
      </c>
      <c r="J423" s="241" t="s">
        <v>920</v>
      </c>
      <c r="K423" s="284">
        <v>1272</v>
      </c>
      <c r="L423" s="281" t="s">
        <v>921</v>
      </c>
      <c r="M423" s="303"/>
      <c r="N423" s="281"/>
      <c r="O423" s="304"/>
      <c r="P423" s="305">
        <v>46066</v>
      </c>
      <c r="Q423" s="306"/>
      <c r="R423" s="289" t="str">
        <f t="shared" si="8"/>
        <v/>
      </c>
      <c r="S423" s="241"/>
      <c r="AA423" s="281">
        <v>1105</v>
      </c>
    </row>
    <row r="424" spans="1:27" ht="18" customHeight="1">
      <c r="A424" s="298"/>
      <c r="B424" s="299"/>
      <c r="C424" s="241"/>
      <c r="D424" s="298"/>
      <c r="E424" s="300"/>
      <c r="F424" s="298"/>
      <c r="G424" s="241"/>
      <c r="H424" s="302"/>
      <c r="J424" s="241"/>
      <c r="M424" s="303"/>
      <c r="N424" s="281"/>
      <c r="O424" s="304"/>
      <c r="P424" s="305"/>
      <c r="Q424" s="306"/>
      <c r="R424" s="289" t="str">
        <f t="shared" si="8"/>
        <v/>
      </c>
      <c r="S424" s="241"/>
    </row>
    <row r="425" spans="1:27" ht="18" customHeight="1">
      <c r="A425" s="298">
        <v>39188</v>
      </c>
      <c r="B425" s="299">
        <v>73019</v>
      </c>
      <c r="C425" s="241" t="s">
        <v>62</v>
      </c>
      <c r="D425" s="298">
        <v>1</v>
      </c>
      <c r="E425" s="300" t="s">
        <v>922</v>
      </c>
      <c r="F425" s="298"/>
      <c r="G425" s="241" t="s">
        <v>896</v>
      </c>
      <c r="H425" s="302">
        <v>46020</v>
      </c>
      <c r="I425" s="281">
        <v>1</v>
      </c>
      <c r="J425" s="241" t="s">
        <v>923</v>
      </c>
      <c r="K425" s="284">
        <v>2820</v>
      </c>
      <c r="L425" s="281" t="s">
        <v>924</v>
      </c>
      <c r="M425" s="303"/>
      <c r="N425" s="281"/>
      <c r="O425" s="304"/>
      <c r="P425" s="305">
        <v>46073</v>
      </c>
      <c r="Q425" s="306"/>
      <c r="R425" s="289" t="str">
        <f t="shared" si="8"/>
        <v/>
      </c>
      <c r="S425" s="241"/>
      <c r="AA425" s="281">
        <v>1106</v>
      </c>
    </row>
    <row r="426" spans="1:27" ht="18" customHeight="1">
      <c r="A426" s="298"/>
      <c r="B426" s="299"/>
      <c r="C426" s="241"/>
      <c r="D426" s="298"/>
      <c r="E426" s="300"/>
      <c r="F426" s="298"/>
      <c r="G426" s="241"/>
      <c r="H426" s="302"/>
      <c r="J426" s="241"/>
      <c r="M426" s="303"/>
      <c r="N426" s="281"/>
      <c r="O426" s="304"/>
      <c r="P426" s="305"/>
      <c r="Q426" s="306"/>
      <c r="R426" s="289" t="str">
        <f t="shared" si="8"/>
        <v/>
      </c>
      <c r="S426" s="241"/>
    </row>
    <row r="427" spans="1:27" ht="18" customHeight="1">
      <c r="A427" s="298">
        <v>39189</v>
      </c>
      <c r="B427" s="299">
        <v>73020</v>
      </c>
      <c r="C427" s="241" t="s">
        <v>62</v>
      </c>
      <c r="D427" s="298">
        <v>1</v>
      </c>
      <c r="E427" s="300" t="s">
        <v>925</v>
      </c>
      <c r="F427" s="298"/>
      <c r="G427" s="241" t="s">
        <v>896</v>
      </c>
      <c r="H427" s="302">
        <v>46020</v>
      </c>
      <c r="I427" s="281">
        <v>1</v>
      </c>
      <c r="J427" s="241" t="s">
        <v>926</v>
      </c>
      <c r="K427" s="284">
        <v>9208</v>
      </c>
      <c r="L427" s="281" t="s">
        <v>927</v>
      </c>
      <c r="M427" s="303"/>
      <c r="N427" s="281"/>
      <c r="O427" s="304"/>
      <c r="P427" s="305">
        <v>46080</v>
      </c>
      <c r="Q427" s="306"/>
      <c r="R427" s="289" t="str">
        <f t="shared" si="8"/>
        <v/>
      </c>
      <c r="S427" s="241"/>
      <c r="AA427" s="281">
        <v>1107</v>
      </c>
    </row>
    <row r="428" spans="1:27" ht="18" customHeight="1">
      <c r="A428" s="298"/>
      <c r="B428" s="299"/>
      <c r="C428" s="241"/>
      <c r="D428" s="298"/>
      <c r="E428" s="300"/>
      <c r="F428" s="298"/>
      <c r="G428" s="241"/>
      <c r="H428" s="302"/>
      <c r="J428" s="241"/>
      <c r="M428" s="303"/>
      <c r="N428" s="281"/>
      <c r="O428" s="304"/>
      <c r="P428" s="305"/>
      <c r="Q428" s="306"/>
      <c r="R428" s="289" t="str">
        <f t="shared" si="8"/>
        <v/>
      </c>
      <c r="S428" s="241"/>
    </row>
    <row r="429" spans="1:27" ht="18" customHeight="1">
      <c r="A429" s="298">
        <v>39190</v>
      </c>
      <c r="B429" s="299">
        <v>73021</v>
      </c>
      <c r="C429" s="241" t="s">
        <v>62</v>
      </c>
      <c r="D429" s="298">
        <v>1</v>
      </c>
      <c r="E429" s="300" t="s">
        <v>928</v>
      </c>
      <c r="F429" s="298"/>
      <c r="G429" s="241" t="s">
        <v>896</v>
      </c>
      <c r="H429" s="302">
        <v>46020</v>
      </c>
      <c r="I429" s="281">
        <v>1</v>
      </c>
      <c r="J429" s="241" t="s">
        <v>929</v>
      </c>
      <c r="K429" s="284">
        <v>5739</v>
      </c>
      <c r="L429" s="281" t="s">
        <v>930</v>
      </c>
      <c r="M429" s="303"/>
      <c r="N429" s="281"/>
      <c r="O429" s="304"/>
      <c r="P429" s="305">
        <v>46080</v>
      </c>
      <c r="Q429" s="306"/>
      <c r="R429" s="289" t="str">
        <f t="shared" si="8"/>
        <v/>
      </c>
      <c r="S429" s="241"/>
      <c r="AA429" s="281">
        <v>1108</v>
      </c>
    </row>
    <row r="430" spans="1:27" ht="18" customHeight="1">
      <c r="A430" s="298"/>
      <c r="B430" s="299"/>
      <c r="C430" s="241"/>
      <c r="D430" s="298"/>
      <c r="E430" s="300"/>
      <c r="F430" s="298"/>
      <c r="G430" s="241"/>
      <c r="H430" s="302"/>
      <c r="J430" s="241"/>
      <c r="M430" s="303"/>
      <c r="N430" s="281"/>
      <c r="O430" s="304"/>
      <c r="P430" s="305"/>
      <c r="Q430" s="306"/>
      <c r="R430" s="289" t="str">
        <f t="shared" si="8"/>
        <v/>
      </c>
      <c r="S430" s="241"/>
    </row>
    <row r="431" spans="1:27" ht="18" customHeight="1">
      <c r="A431" s="298">
        <v>39191</v>
      </c>
      <c r="B431" s="299">
        <v>73022</v>
      </c>
      <c r="C431" s="241" t="s">
        <v>62</v>
      </c>
      <c r="D431" s="298">
        <v>1</v>
      </c>
      <c r="E431" s="300" t="s">
        <v>931</v>
      </c>
      <c r="F431" s="298"/>
      <c r="G431" s="241" t="s">
        <v>896</v>
      </c>
      <c r="H431" s="302">
        <v>46020</v>
      </c>
      <c r="I431" s="281">
        <v>1</v>
      </c>
      <c r="J431" s="241" t="s">
        <v>932</v>
      </c>
      <c r="K431" s="284">
        <v>1542</v>
      </c>
      <c r="L431" s="281" t="s">
        <v>933</v>
      </c>
      <c r="M431" s="303"/>
      <c r="N431" s="281"/>
      <c r="O431" s="304"/>
      <c r="P431" s="305">
        <v>46066</v>
      </c>
      <c r="Q431" s="306"/>
      <c r="R431" s="289" t="str">
        <f t="shared" si="8"/>
        <v/>
      </c>
      <c r="S431" s="241"/>
      <c r="AA431" s="281">
        <v>1109</v>
      </c>
    </row>
    <row r="432" spans="1:27" ht="18" customHeight="1">
      <c r="A432" s="298"/>
      <c r="B432" s="299"/>
      <c r="C432" s="241"/>
      <c r="D432" s="298"/>
      <c r="E432" s="300"/>
      <c r="F432" s="298"/>
      <c r="G432" s="241"/>
      <c r="H432" s="302"/>
      <c r="J432" s="241"/>
      <c r="M432" s="303"/>
      <c r="N432" s="281"/>
      <c r="O432" s="304"/>
      <c r="P432" s="305"/>
      <c r="Q432" s="306"/>
      <c r="R432" s="289" t="str">
        <f t="shared" si="8"/>
        <v/>
      </c>
      <c r="S432" s="241"/>
    </row>
    <row r="433" spans="1:27" ht="18" customHeight="1">
      <c r="A433" s="298">
        <v>39192</v>
      </c>
      <c r="B433" s="299">
        <v>73023</v>
      </c>
      <c r="C433" s="241" t="s">
        <v>41</v>
      </c>
      <c r="D433" s="298">
        <v>260</v>
      </c>
      <c r="E433" s="300" t="s">
        <v>934</v>
      </c>
      <c r="F433" s="298"/>
      <c r="G433" s="241" t="s">
        <v>935</v>
      </c>
      <c r="H433" s="302">
        <v>46020</v>
      </c>
      <c r="I433" s="281">
        <v>1</v>
      </c>
      <c r="J433" s="241" t="s">
        <v>936</v>
      </c>
      <c r="K433" s="284">
        <v>706.1</v>
      </c>
      <c r="L433" s="281" t="s">
        <v>937</v>
      </c>
      <c r="M433" s="303"/>
      <c r="N433" s="281"/>
      <c r="O433" s="304"/>
      <c r="P433" s="430">
        <v>46153</v>
      </c>
      <c r="Q433" s="306"/>
      <c r="R433" s="289" t="str">
        <f t="shared" si="8"/>
        <v/>
      </c>
      <c r="S433" s="241"/>
      <c r="AA433" s="281">
        <v>1110</v>
      </c>
    </row>
    <row r="434" spans="1:27" ht="18" customHeight="1">
      <c r="A434" s="298">
        <v>39192</v>
      </c>
      <c r="B434" s="299">
        <v>73024</v>
      </c>
      <c r="C434" s="241" t="s">
        <v>41</v>
      </c>
      <c r="D434" s="298">
        <v>30</v>
      </c>
      <c r="E434" s="300" t="s">
        <v>880</v>
      </c>
      <c r="F434" s="298"/>
      <c r="G434" s="241" t="s">
        <v>935</v>
      </c>
      <c r="H434" s="302">
        <v>46020</v>
      </c>
      <c r="I434" s="281">
        <v>2</v>
      </c>
      <c r="J434" s="241" t="s">
        <v>938</v>
      </c>
      <c r="K434" s="284">
        <v>1112</v>
      </c>
      <c r="L434" s="281" t="s">
        <v>937</v>
      </c>
      <c r="M434" s="303"/>
      <c r="N434" s="281"/>
      <c r="O434" s="304"/>
      <c r="P434" s="430">
        <v>46153</v>
      </c>
      <c r="Q434" s="306"/>
      <c r="R434" s="289" t="str">
        <f t="shared" si="8"/>
        <v/>
      </c>
      <c r="S434" s="241"/>
      <c r="AA434" s="281">
        <v>1111</v>
      </c>
    </row>
    <row r="435" spans="1:27" ht="18" customHeight="1">
      <c r="A435" s="298">
        <v>39192</v>
      </c>
      <c r="B435" s="299">
        <v>73025</v>
      </c>
      <c r="C435" s="241" t="s">
        <v>41</v>
      </c>
      <c r="D435" s="298">
        <v>30</v>
      </c>
      <c r="E435" s="300" t="s">
        <v>878</v>
      </c>
      <c r="F435" s="298"/>
      <c r="G435" s="241" t="s">
        <v>935</v>
      </c>
      <c r="H435" s="302">
        <v>46020</v>
      </c>
      <c r="I435" s="281">
        <v>3</v>
      </c>
      <c r="J435" s="241" t="s">
        <v>939</v>
      </c>
      <c r="K435" s="284">
        <v>473</v>
      </c>
      <c r="L435" s="281" t="s">
        <v>937</v>
      </c>
      <c r="M435" s="303"/>
      <c r="N435" s="281"/>
      <c r="O435" s="304"/>
      <c r="P435" s="430">
        <v>46153</v>
      </c>
      <c r="Q435" s="306"/>
      <c r="R435" s="289" t="str">
        <f t="shared" si="8"/>
        <v/>
      </c>
      <c r="S435" s="241"/>
      <c r="AA435" s="281">
        <v>1112</v>
      </c>
    </row>
    <row r="436" spans="1:27" ht="18" customHeight="1">
      <c r="A436" s="298">
        <v>39192</v>
      </c>
      <c r="B436" s="299">
        <v>73026</v>
      </c>
      <c r="C436" s="241" t="s">
        <v>41</v>
      </c>
      <c r="D436" s="298">
        <v>95</v>
      </c>
      <c r="E436" s="300" t="s">
        <v>940</v>
      </c>
      <c r="F436" s="298"/>
      <c r="G436" s="241" t="s">
        <v>935</v>
      </c>
      <c r="H436" s="302">
        <v>46020</v>
      </c>
      <c r="I436" s="281">
        <v>4</v>
      </c>
      <c r="J436" s="241" t="s">
        <v>941</v>
      </c>
      <c r="K436" s="284">
        <v>456</v>
      </c>
      <c r="L436" s="281" t="s">
        <v>937</v>
      </c>
      <c r="M436" s="303"/>
      <c r="N436" s="281"/>
      <c r="O436" s="304"/>
      <c r="P436" s="430">
        <v>46153</v>
      </c>
      <c r="Q436" s="306"/>
      <c r="R436" s="289" t="str">
        <f t="shared" si="8"/>
        <v/>
      </c>
      <c r="S436" s="241"/>
      <c r="AA436" s="281">
        <v>1113</v>
      </c>
    </row>
    <row r="437" spans="1:27" ht="18" customHeight="1">
      <c r="A437" s="298"/>
      <c r="B437" s="299"/>
      <c r="C437" s="241"/>
      <c r="D437" s="298"/>
      <c r="E437" s="300"/>
      <c r="F437" s="298"/>
      <c r="G437" s="241"/>
      <c r="H437" s="302"/>
      <c r="J437" s="241"/>
      <c r="M437" s="303"/>
      <c r="N437" s="281"/>
      <c r="O437" s="304"/>
      <c r="P437" s="305"/>
      <c r="Q437" s="306"/>
      <c r="R437" s="289" t="str">
        <f t="shared" si="8"/>
        <v/>
      </c>
      <c r="S437" s="241"/>
    </row>
    <row r="438" spans="1:27" ht="18" customHeight="1">
      <c r="A438" s="298">
        <v>39193</v>
      </c>
      <c r="B438" s="299">
        <v>73027</v>
      </c>
      <c r="C438" s="241" t="s">
        <v>41</v>
      </c>
      <c r="D438" s="298" t="s">
        <v>595</v>
      </c>
      <c r="E438" s="300" t="s">
        <v>942</v>
      </c>
      <c r="F438" s="298">
        <v>1</v>
      </c>
      <c r="G438" s="301" t="s">
        <v>364</v>
      </c>
      <c r="H438" s="302">
        <v>46021</v>
      </c>
      <c r="I438" s="281" t="s">
        <v>943</v>
      </c>
      <c r="J438" s="241" t="s">
        <v>944</v>
      </c>
      <c r="K438" s="431" t="s">
        <v>945</v>
      </c>
      <c r="L438" s="281" t="s">
        <v>946</v>
      </c>
      <c r="M438" s="303"/>
      <c r="N438" s="281"/>
      <c r="O438" s="304"/>
      <c r="P438" s="305">
        <v>46134</v>
      </c>
      <c r="Q438" s="306"/>
      <c r="R438" s="289" t="str">
        <f t="shared" si="8"/>
        <v/>
      </c>
      <c r="S438" s="241"/>
      <c r="AA438" s="281">
        <v>1114</v>
      </c>
    </row>
    <row r="439" spans="1:27" ht="18" customHeight="1">
      <c r="A439" s="298"/>
      <c r="B439" s="299"/>
      <c r="C439" s="241"/>
      <c r="D439" s="298"/>
      <c r="E439" s="300"/>
      <c r="F439" s="298"/>
      <c r="G439" s="241"/>
      <c r="H439" s="302"/>
      <c r="J439" s="241"/>
      <c r="M439" s="303"/>
      <c r="N439" s="281"/>
      <c r="O439" s="304"/>
      <c r="P439" s="305"/>
      <c r="Q439" s="306"/>
      <c r="R439" s="289" t="str">
        <f t="shared" si="8"/>
        <v/>
      </c>
      <c r="S439" s="241"/>
    </row>
    <row r="440" spans="1:27" ht="18" customHeight="1">
      <c r="A440" s="298">
        <v>39194</v>
      </c>
      <c r="B440" s="299">
        <v>73028</v>
      </c>
      <c r="C440" s="241" t="s">
        <v>214</v>
      </c>
      <c r="D440" s="298">
        <v>4</v>
      </c>
      <c r="E440" s="300">
        <v>700478914</v>
      </c>
      <c r="F440" s="298" t="s">
        <v>211</v>
      </c>
      <c r="G440" s="241" t="s">
        <v>662</v>
      </c>
      <c r="H440" s="302">
        <v>46021</v>
      </c>
      <c r="I440" s="350" t="s">
        <v>947</v>
      </c>
      <c r="J440" s="241" t="s">
        <v>948</v>
      </c>
      <c r="K440" s="284">
        <v>2925</v>
      </c>
      <c r="L440" s="281" t="s">
        <v>949</v>
      </c>
      <c r="M440" s="303"/>
      <c r="N440" s="281"/>
      <c r="O440" s="304"/>
      <c r="P440" s="305">
        <v>46066</v>
      </c>
      <c r="Q440" s="306"/>
      <c r="R440" s="289"/>
      <c r="S440" s="241"/>
      <c r="AA440" s="281">
        <v>1115</v>
      </c>
    </row>
    <row r="441" spans="1:27" ht="18" customHeight="1">
      <c r="A441" s="298">
        <v>39194</v>
      </c>
      <c r="B441" s="299">
        <v>73029</v>
      </c>
      <c r="C441" s="241" t="s">
        <v>214</v>
      </c>
      <c r="D441" s="298">
        <v>4</v>
      </c>
      <c r="E441" s="300">
        <v>700478912</v>
      </c>
      <c r="F441" s="303" t="s">
        <v>615</v>
      </c>
      <c r="G441" s="241" t="s">
        <v>662</v>
      </c>
      <c r="H441" s="302">
        <v>46021</v>
      </c>
      <c r="I441" s="350" t="s">
        <v>950</v>
      </c>
      <c r="J441" s="241" t="s">
        <v>951</v>
      </c>
      <c r="K441" s="284">
        <v>13935</v>
      </c>
      <c r="L441" s="281" t="s">
        <v>949</v>
      </c>
      <c r="M441" s="303"/>
      <c r="N441" s="281"/>
      <c r="O441" s="304"/>
      <c r="P441" s="305">
        <v>46101</v>
      </c>
      <c r="Q441" s="306"/>
      <c r="R441" s="289" t="str">
        <f t="shared" ref="R441:R470" si="9">IF(SUM(Q441)&gt;0,SUM(Q441-P441),"")</f>
        <v/>
      </c>
      <c r="S441" s="241"/>
      <c r="AA441" s="281">
        <v>1116</v>
      </c>
    </row>
    <row r="442" spans="1:27" ht="18" customHeight="1">
      <c r="A442" s="298"/>
      <c r="B442" s="299"/>
      <c r="C442" s="241"/>
      <c r="D442" s="298"/>
      <c r="E442" s="300"/>
      <c r="F442" s="298"/>
      <c r="G442" s="241"/>
      <c r="H442" s="302"/>
      <c r="J442" s="241"/>
      <c r="M442" s="303"/>
      <c r="N442" s="281"/>
      <c r="O442" s="304"/>
      <c r="P442" s="305"/>
      <c r="Q442" s="306"/>
      <c r="R442" s="289" t="str">
        <f t="shared" si="9"/>
        <v/>
      </c>
      <c r="S442" s="241"/>
    </row>
    <row r="443" spans="1:27" ht="18" customHeight="1">
      <c r="A443" s="298">
        <v>39197</v>
      </c>
      <c r="B443" s="299">
        <v>73031</v>
      </c>
      <c r="C443" s="241" t="s">
        <v>23</v>
      </c>
      <c r="D443" s="298">
        <v>1</v>
      </c>
      <c r="E443" s="300" t="s">
        <v>952</v>
      </c>
      <c r="F443" s="298"/>
      <c r="G443" s="241" t="s">
        <v>706</v>
      </c>
      <c r="H443" s="302">
        <v>46028</v>
      </c>
      <c r="I443" s="281">
        <v>1</v>
      </c>
      <c r="J443" s="432" t="s">
        <v>953</v>
      </c>
      <c r="L443" s="281">
        <v>19680</v>
      </c>
      <c r="M443" s="303"/>
      <c r="N443" s="281"/>
      <c r="O443" s="304"/>
      <c r="P443" s="305">
        <v>46052</v>
      </c>
      <c r="Q443" s="306"/>
      <c r="R443" s="289" t="str">
        <f t="shared" si="9"/>
        <v/>
      </c>
      <c r="S443" s="241"/>
      <c r="AA443" s="281">
        <v>1117</v>
      </c>
    </row>
    <row r="444" spans="1:27" ht="18" customHeight="1">
      <c r="A444" s="298">
        <v>39197</v>
      </c>
      <c r="B444" s="299">
        <v>73032</v>
      </c>
      <c r="C444" s="241" t="s">
        <v>23</v>
      </c>
      <c r="D444" s="298">
        <v>1</v>
      </c>
      <c r="E444" s="300" t="s">
        <v>954</v>
      </c>
      <c r="F444" s="298"/>
      <c r="G444" s="241" t="s">
        <v>706</v>
      </c>
      <c r="H444" s="302">
        <v>46028</v>
      </c>
      <c r="I444" s="281">
        <v>2</v>
      </c>
      <c r="J444" s="301" t="s">
        <v>955</v>
      </c>
      <c r="L444" s="281">
        <v>19680</v>
      </c>
      <c r="M444" s="303"/>
      <c r="N444" s="281"/>
      <c r="O444" s="304"/>
      <c r="P444" s="305">
        <v>46052</v>
      </c>
      <c r="Q444" s="306"/>
      <c r="R444" s="289" t="str">
        <f t="shared" si="9"/>
        <v/>
      </c>
      <c r="S444" s="241"/>
      <c r="AA444" s="281">
        <v>1118</v>
      </c>
    </row>
    <row r="445" spans="1:27" ht="18" customHeight="1">
      <c r="A445" s="298">
        <v>39197</v>
      </c>
      <c r="B445" s="299">
        <v>73033</v>
      </c>
      <c r="C445" s="241" t="s">
        <v>23</v>
      </c>
      <c r="D445" s="298">
        <v>1</v>
      </c>
      <c r="E445" s="300" t="s">
        <v>954</v>
      </c>
      <c r="F445" s="298"/>
      <c r="G445" s="241" t="s">
        <v>706</v>
      </c>
      <c r="H445" s="302">
        <v>46028</v>
      </c>
      <c r="I445" s="281">
        <v>3</v>
      </c>
      <c r="J445" s="301" t="s">
        <v>956</v>
      </c>
      <c r="L445" s="281">
        <v>19680</v>
      </c>
      <c r="M445" s="303"/>
      <c r="N445" s="281"/>
      <c r="O445" s="304"/>
      <c r="P445" s="305">
        <v>46052</v>
      </c>
      <c r="Q445" s="306"/>
      <c r="R445" s="289" t="str">
        <f t="shared" si="9"/>
        <v/>
      </c>
      <c r="S445" s="241"/>
      <c r="AA445" s="281">
        <v>1119</v>
      </c>
    </row>
    <row r="446" spans="1:27" ht="18" customHeight="1">
      <c r="A446" s="298"/>
      <c r="B446" s="299"/>
      <c r="C446" s="241"/>
      <c r="D446" s="298"/>
      <c r="E446" s="300"/>
      <c r="F446" s="298"/>
      <c r="G446" s="241"/>
      <c r="H446" s="302"/>
      <c r="J446" s="241"/>
      <c r="M446" s="303"/>
      <c r="N446" s="281"/>
      <c r="O446" s="304"/>
      <c r="P446" s="305"/>
      <c r="Q446" s="306"/>
      <c r="R446" s="289" t="str">
        <f t="shared" si="9"/>
        <v/>
      </c>
      <c r="S446" s="241"/>
    </row>
    <row r="447" spans="1:27" ht="18" customHeight="1">
      <c r="A447" s="298">
        <v>39197</v>
      </c>
      <c r="B447" s="299">
        <v>73034</v>
      </c>
      <c r="C447" s="241" t="s">
        <v>23</v>
      </c>
      <c r="D447" s="298">
        <v>1</v>
      </c>
      <c r="E447" s="300" t="s">
        <v>954</v>
      </c>
      <c r="F447" s="298"/>
      <c r="G447" s="241" t="s">
        <v>706</v>
      </c>
      <c r="H447" s="302">
        <v>46028</v>
      </c>
      <c r="I447" s="281">
        <v>1</v>
      </c>
      <c r="J447" s="301" t="s">
        <v>957</v>
      </c>
      <c r="L447" s="281">
        <v>19680</v>
      </c>
      <c r="M447" s="303"/>
      <c r="N447" s="281"/>
      <c r="O447" s="304"/>
      <c r="P447" s="305">
        <v>46052</v>
      </c>
      <c r="Q447" s="306"/>
      <c r="R447" s="289" t="str">
        <f t="shared" si="9"/>
        <v/>
      </c>
      <c r="S447" s="241"/>
      <c r="AA447" s="281">
        <v>1120</v>
      </c>
    </row>
    <row r="448" spans="1:27" ht="18" customHeight="1">
      <c r="A448" s="298">
        <v>39197</v>
      </c>
      <c r="B448" s="299">
        <v>73035</v>
      </c>
      <c r="C448" s="241" t="s">
        <v>23</v>
      </c>
      <c r="D448" s="298">
        <v>1</v>
      </c>
      <c r="E448" s="300" t="s">
        <v>954</v>
      </c>
      <c r="F448" s="298"/>
      <c r="G448" s="241" t="s">
        <v>706</v>
      </c>
      <c r="H448" s="302">
        <v>46028</v>
      </c>
      <c r="I448" s="281">
        <v>2</v>
      </c>
      <c r="J448" s="301" t="s">
        <v>958</v>
      </c>
      <c r="L448" s="281">
        <v>19680</v>
      </c>
      <c r="M448" s="303"/>
      <c r="N448" s="281"/>
      <c r="O448" s="304"/>
      <c r="P448" s="305">
        <v>46052</v>
      </c>
      <c r="Q448" s="306"/>
      <c r="R448" s="289" t="str">
        <f t="shared" si="9"/>
        <v/>
      </c>
      <c r="S448" s="241"/>
      <c r="AA448" s="281">
        <v>1121</v>
      </c>
    </row>
    <row r="449" spans="1:27" ht="18" customHeight="1">
      <c r="A449" s="298">
        <v>39197</v>
      </c>
      <c r="B449" s="299">
        <v>73036</v>
      </c>
      <c r="C449" s="241" t="s">
        <v>23</v>
      </c>
      <c r="D449" s="298">
        <v>1</v>
      </c>
      <c r="E449" s="300" t="s">
        <v>954</v>
      </c>
      <c r="F449" s="298"/>
      <c r="G449" s="241" t="s">
        <v>706</v>
      </c>
      <c r="H449" s="302">
        <v>46028</v>
      </c>
      <c r="I449" s="281">
        <v>3</v>
      </c>
      <c r="J449" s="301" t="s">
        <v>959</v>
      </c>
      <c r="L449" s="281">
        <v>19680</v>
      </c>
      <c r="M449" s="303"/>
      <c r="N449" s="281"/>
      <c r="O449" s="304"/>
      <c r="P449" s="305">
        <v>46052</v>
      </c>
      <c r="Q449" s="306"/>
      <c r="R449" s="289" t="str">
        <f t="shared" si="9"/>
        <v/>
      </c>
      <c r="S449" s="241"/>
      <c r="AA449" s="281">
        <v>1122</v>
      </c>
    </row>
    <row r="450" spans="1:27" ht="18" customHeight="1">
      <c r="A450" s="298">
        <v>39197</v>
      </c>
      <c r="B450" s="299">
        <v>73037</v>
      </c>
      <c r="C450" s="241" t="s">
        <v>23</v>
      </c>
      <c r="D450" s="298">
        <v>1</v>
      </c>
      <c r="E450" s="300" t="s">
        <v>954</v>
      </c>
      <c r="F450" s="298"/>
      <c r="G450" s="241" t="s">
        <v>706</v>
      </c>
      <c r="H450" s="302">
        <v>46028</v>
      </c>
      <c r="I450" s="281">
        <v>4</v>
      </c>
      <c r="J450" s="433" t="s">
        <v>960</v>
      </c>
      <c r="L450" s="281">
        <v>19680</v>
      </c>
      <c r="M450" s="303"/>
      <c r="N450" s="281"/>
      <c r="O450" s="304"/>
      <c r="P450" s="305">
        <v>46052</v>
      </c>
      <c r="Q450" s="306"/>
      <c r="R450" s="289" t="str">
        <f t="shared" si="9"/>
        <v/>
      </c>
      <c r="S450" s="241"/>
      <c r="AA450" s="281">
        <v>1123</v>
      </c>
    </row>
    <row r="451" spans="1:27" ht="18" customHeight="1">
      <c r="A451" s="298"/>
      <c r="B451" s="299"/>
      <c r="C451" s="241"/>
      <c r="D451" s="298"/>
      <c r="E451" s="300"/>
      <c r="F451" s="298"/>
      <c r="G451" s="241"/>
      <c r="H451" s="302"/>
      <c r="J451" s="241"/>
      <c r="M451" s="303"/>
      <c r="N451" s="281"/>
      <c r="O451" s="304"/>
      <c r="P451" s="305"/>
      <c r="Q451" s="306"/>
      <c r="R451" s="289" t="str">
        <f t="shared" si="9"/>
        <v/>
      </c>
      <c r="S451" s="241"/>
    </row>
    <row r="452" spans="1:27" ht="18" customHeight="1">
      <c r="A452" s="298">
        <v>39198</v>
      </c>
      <c r="B452" s="299">
        <v>73038</v>
      </c>
      <c r="C452" s="241" t="s">
        <v>41</v>
      </c>
      <c r="D452" s="298">
        <v>3</v>
      </c>
      <c r="E452" s="300" t="s">
        <v>848</v>
      </c>
      <c r="F452" s="298"/>
      <c r="G452" s="241" t="s">
        <v>849</v>
      </c>
      <c r="H452" s="302">
        <v>46029</v>
      </c>
      <c r="I452" s="281">
        <v>1</v>
      </c>
      <c r="J452" s="241" t="s">
        <v>850</v>
      </c>
      <c r="K452" s="284">
        <v>1847</v>
      </c>
      <c r="L452" s="281" t="s">
        <v>961</v>
      </c>
      <c r="M452" s="303"/>
      <c r="N452" s="281"/>
      <c r="O452" s="304"/>
      <c r="P452" s="305">
        <v>46111</v>
      </c>
      <c r="Q452" s="306"/>
      <c r="R452" s="289" t="str">
        <f t="shared" si="9"/>
        <v/>
      </c>
      <c r="S452" s="241"/>
      <c r="AA452" s="281">
        <v>1124</v>
      </c>
    </row>
    <row r="453" spans="1:27" ht="18" customHeight="1">
      <c r="A453" s="298">
        <v>39198</v>
      </c>
      <c r="B453" s="299">
        <v>73039</v>
      </c>
      <c r="C453" s="241" t="s">
        <v>41</v>
      </c>
      <c r="D453" s="298">
        <v>7</v>
      </c>
      <c r="E453" s="300" t="s">
        <v>962</v>
      </c>
      <c r="F453" s="298"/>
      <c r="G453" s="241" t="s">
        <v>849</v>
      </c>
      <c r="H453" s="302">
        <v>46029</v>
      </c>
      <c r="I453" s="281">
        <v>2</v>
      </c>
      <c r="J453" s="241" t="s">
        <v>963</v>
      </c>
      <c r="K453" s="284">
        <v>449</v>
      </c>
      <c r="L453" s="281" t="s">
        <v>961</v>
      </c>
      <c r="M453" s="303"/>
      <c r="N453" s="281"/>
      <c r="O453" s="304"/>
      <c r="P453" s="305">
        <v>46111</v>
      </c>
      <c r="Q453" s="306"/>
      <c r="R453" s="289" t="str">
        <f t="shared" si="9"/>
        <v/>
      </c>
      <c r="S453" s="241"/>
      <c r="AA453" s="281">
        <v>1125</v>
      </c>
    </row>
    <row r="454" spans="1:27" ht="18" customHeight="1">
      <c r="A454" s="298">
        <v>39198</v>
      </c>
      <c r="B454" s="299">
        <v>73040</v>
      </c>
      <c r="C454" s="241" t="s">
        <v>41</v>
      </c>
      <c r="D454" s="298">
        <v>7</v>
      </c>
      <c r="E454" s="300" t="s">
        <v>964</v>
      </c>
      <c r="F454" s="298"/>
      <c r="G454" s="241" t="s">
        <v>849</v>
      </c>
      <c r="H454" s="302">
        <v>46029</v>
      </c>
      <c r="I454" s="281">
        <v>3</v>
      </c>
      <c r="J454" s="241" t="s">
        <v>965</v>
      </c>
      <c r="K454" s="284">
        <v>50</v>
      </c>
      <c r="L454" s="281" t="s">
        <v>961</v>
      </c>
      <c r="M454" s="303"/>
      <c r="N454" s="281"/>
      <c r="O454" s="304"/>
      <c r="P454" s="305">
        <v>46111</v>
      </c>
      <c r="Q454" s="306"/>
      <c r="R454" s="289" t="str">
        <f t="shared" si="9"/>
        <v/>
      </c>
      <c r="S454" s="241"/>
      <c r="AA454" s="281">
        <v>1126</v>
      </c>
    </row>
    <row r="455" spans="1:27" ht="18" customHeight="1">
      <c r="A455" s="298"/>
      <c r="B455" s="299"/>
      <c r="C455" s="241"/>
      <c r="D455" s="298"/>
      <c r="E455" s="300"/>
      <c r="F455" s="298"/>
      <c r="G455" s="241"/>
      <c r="H455" s="302"/>
      <c r="J455" s="241"/>
      <c r="M455" s="303"/>
      <c r="N455" s="281"/>
      <c r="O455" s="304"/>
      <c r="P455" s="305"/>
      <c r="Q455" s="306"/>
      <c r="R455" s="289" t="str">
        <f t="shared" si="9"/>
        <v/>
      </c>
      <c r="S455" s="241"/>
    </row>
    <row r="456" spans="1:27" ht="18" customHeight="1">
      <c r="A456" s="298">
        <v>39199</v>
      </c>
      <c r="B456" s="299">
        <v>73041</v>
      </c>
      <c r="C456" s="241" t="s">
        <v>32</v>
      </c>
      <c r="D456" s="298">
        <v>5</v>
      </c>
      <c r="E456" s="300" t="s">
        <v>966</v>
      </c>
      <c r="F456" s="298"/>
      <c r="G456" s="241" t="s">
        <v>381</v>
      </c>
      <c r="H456" s="302">
        <v>46030</v>
      </c>
      <c r="I456" s="281">
        <v>1</v>
      </c>
      <c r="J456" s="241" t="s">
        <v>967</v>
      </c>
      <c r="L456" s="281" t="s">
        <v>968</v>
      </c>
      <c r="M456" s="303"/>
      <c r="N456" s="281"/>
      <c r="O456" s="304"/>
      <c r="P456" s="305">
        <v>46034</v>
      </c>
      <c r="Q456" s="306"/>
      <c r="R456" s="289" t="str">
        <f t="shared" si="9"/>
        <v/>
      </c>
      <c r="S456" s="241"/>
      <c r="AA456" s="281">
        <v>1127</v>
      </c>
    </row>
    <row r="457" spans="1:27" ht="18" customHeight="1">
      <c r="A457" s="298"/>
      <c r="B457" s="299"/>
      <c r="C457" s="241"/>
      <c r="D457" s="298"/>
      <c r="E457" s="300"/>
      <c r="F457" s="298"/>
      <c r="G457" s="241"/>
      <c r="H457" s="302"/>
      <c r="J457" s="241"/>
      <c r="M457" s="303"/>
      <c r="N457" s="281"/>
      <c r="O457" s="304"/>
      <c r="P457" s="305"/>
      <c r="Q457" s="306"/>
      <c r="R457" s="289" t="str">
        <f t="shared" si="9"/>
        <v/>
      </c>
      <c r="S457" s="241"/>
    </row>
    <row r="458" spans="1:27" ht="18" customHeight="1">
      <c r="A458" s="298">
        <v>39200</v>
      </c>
      <c r="B458" s="299">
        <v>73042</v>
      </c>
      <c r="C458" s="241" t="s">
        <v>32</v>
      </c>
      <c r="D458" s="298">
        <v>3</v>
      </c>
      <c r="E458" s="300" t="s">
        <v>969</v>
      </c>
      <c r="F458" s="298"/>
      <c r="G458" s="241" t="s">
        <v>970</v>
      </c>
      <c r="H458" s="302">
        <v>46031</v>
      </c>
      <c r="I458" s="281">
        <v>1</v>
      </c>
      <c r="J458" s="241" t="s">
        <v>971</v>
      </c>
      <c r="M458" s="303">
        <v>44922</v>
      </c>
      <c r="N458" s="281">
        <v>3</v>
      </c>
      <c r="O458" s="304"/>
      <c r="P458" s="305">
        <v>46036</v>
      </c>
      <c r="Q458" s="306">
        <v>46043</v>
      </c>
      <c r="R458" s="289">
        <f t="shared" si="9"/>
        <v>7</v>
      </c>
      <c r="S458" s="241"/>
      <c r="AA458" s="281">
        <v>1128</v>
      </c>
    </row>
    <row r="459" spans="1:27" ht="18" customHeight="1">
      <c r="A459" s="298"/>
      <c r="B459" s="299"/>
      <c r="C459" s="241"/>
      <c r="D459" s="298"/>
      <c r="E459" s="300"/>
      <c r="F459" s="298"/>
      <c r="G459" s="241"/>
      <c r="H459" s="302"/>
      <c r="J459" s="241"/>
      <c r="M459" s="303"/>
      <c r="N459" s="281"/>
      <c r="O459" s="304"/>
      <c r="P459" s="305"/>
      <c r="Q459" s="306"/>
      <c r="R459" s="289" t="str">
        <f t="shared" si="9"/>
        <v/>
      </c>
      <c r="S459" s="241"/>
    </row>
    <row r="460" spans="1:27" ht="18" customHeight="1">
      <c r="A460" s="298">
        <v>39201</v>
      </c>
      <c r="B460" s="299">
        <v>73043</v>
      </c>
      <c r="C460" s="241" t="s">
        <v>33</v>
      </c>
      <c r="D460" s="298">
        <v>2</v>
      </c>
      <c r="E460" s="300" t="s">
        <v>972</v>
      </c>
      <c r="F460" s="298"/>
      <c r="G460" s="241" t="s">
        <v>258</v>
      </c>
      <c r="H460" s="302">
        <v>46034</v>
      </c>
      <c r="I460" s="281">
        <v>1</v>
      </c>
      <c r="J460" s="241" t="s">
        <v>973</v>
      </c>
      <c r="K460" s="284">
        <v>2240</v>
      </c>
      <c r="L460" s="281" t="s">
        <v>974</v>
      </c>
      <c r="M460" s="303"/>
      <c r="N460" s="281"/>
      <c r="O460" s="304"/>
      <c r="P460" s="305">
        <v>46059</v>
      </c>
      <c r="Q460" s="306"/>
      <c r="R460" s="289" t="str">
        <f t="shared" si="9"/>
        <v/>
      </c>
      <c r="S460" s="241"/>
      <c r="AA460" s="281">
        <v>1129</v>
      </c>
    </row>
    <row r="461" spans="1:27" ht="18" customHeight="1">
      <c r="A461" s="298"/>
      <c r="B461" s="299"/>
      <c r="C461" s="241"/>
      <c r="D461" s="298"/>
      <c r="E461" s="300"/>
      <c r="F461" s="298"/>
      <c r="G461" s="241"/>
      <c r="H461" s="302"/>
      <c r="J461" s="241"/>
      <c r="M461" s="303"/>
      <c r="N461" s="281"/>
      <c r="O461" s="304"/>
      <c r="P461" s="305"/>
      <c r="Q461" s="306"/>
      <c r="R461" s="289" t="str">
        <f t="shared" si="9"/>
        <v/>
      </c>
      <c r="S461" s="241"/>
    </row>
    <row r="462" spans="1:27" ht="18" customHeight="1">
      <c r="A462" s="298">
        <v>39202</v>
      </c>
      <c r="B462" s="299">
        <v>73044</v>
      </c>
      <c r="C462" s="241" t="s">
        <v>24</v>
      </c>
      <c r="D462" s="298" t="s">
        <v>975</v>
      </c>
      <c r="E462" s="300" t="s">
        <v>976</v>
      </c>
      <c r="F462" s="298"/>
      <c r="G462" s="241"/>
      <c r="H462" s="302">
        <v>46035</v>
      </c>
      <c r="I462" s="281">
        <v>1</v>
      </c>
      <c r="J462" s="241" t="s">
        <v>977</v>
      </c>
      <c r="M462" s="303"/>
      <c r="N462" s="281"/>
      <c r="O462" s="304"/>
      <c r="P462" s="305">
        <v>46052</v>
      </c>
      <c r="Q462" s="306"/>
      <c r="R462" s="289" t="str">
        <f t="shared" si="9"/>
        <v/>
      </c>
      <c r="S462" s="241"/>
      <c r="AA462" s="281">
        <v>1130</v>
      </c>
    </row>
    <row r="463" spans="1:27" ht="18" customHeight="1">
      <c r="A463" s="298"/>
      <c r="B463" s="299"/>
      <c r="C463" s="241"/>
      <c r="D463" s="298"/>
      <c r="E463" s="300"/>
      <c r="F463" s="298"/>
      <c r="G463" s="241"/>
      <c r="H463" s="302"/>
      <c r="J463" s="241"/>
      <c r="M463" s="303"/>
      <c r="N463" s="281"/>
      <c r="O463" s="304"/>
      <c r="P463" s="305"/>
      <c r="Q463" s="306"/>
      <c r="R463" s="289" t="str">
        <f t="shared" si="9"/>
        <v/>
      </c>
      <c r="S463" s="241"/>
    </row>
    <row r="464" spans="1:27" ht="18" customHeight="1">
      <c r="A464" s="298">
        <v>39203</v>
      </c>
      <c r="B464" s="299">
        <v>73045</v>
      </c>
      <c r="C464" s="241" t="s">
        <v>32</v>
      </c>
      <c r="D464" s="298">
        <v>20</v>
      </c>
      <c r="E464" s="300">
        <v>235802</v>
      </c>
      <c r="F464" s="298"/>
      <c r="G464" s="241" t="s">
        <v>381</v>
      </c>
      <c r="H464" s="302">
        <v>46036</v>
      </c>
      <c r="I464" s="281">
        <v>1</v>
      </c>
      <c r="J464" s="241" t="s">
        <v>978</v>
      </c>
      <c r="K464" s="284" t="s">
        <v>979</v>
      </c>
      <c r="M464" s="303"/>
      <c r="N464" s="281"/>
      <c r="O464" s="304"/>
      <c r="P464" s="305">
        <v>46036</v>
      </c>
      <c r="Q464" s="306"/>
      <c r="R464" s="289" t="str">
        <f t="shared" si="9"/>
        <v/>
      </c>
      <c r="S464" s="241"/>
      <c r="AA464" s="281">
        <v>1131</v>
      </c>
    </row>
    <row r="465" spans="1:27" ht="18" customHeight="1">
      <c r="A465" s="298">
        <v>39203</v>
      </c>
      <c r="B465" s="299">
        <v>73045</v>
      </c>
      <c r="C465" s="241" t="s">
        <v>32</v>
      </c>
      <c r="D465" s="298">
        <v>5</v>
      </c>
      <c r="E465" s="300">
        <v>202302</v>
      </c>
      <c r="F465" s="298"/>
      <c r="G465" s="241" t="s">
        <v>381</v>
      </c>
      <c r="H465" s="302">
        <v>46036</v>
      </c>
      <c r="I465" s="281">
        <v>1</v>
      </c>
      <c r="J465" s="241" t="s">
        <v>980</v>
      </c>
      <c r="K465" s="284">
        <v>72.209999999999994</v>
      </c>
      <c r="M465" s="303"/>
      <c r="N465" s="281"/>
      <c r="O465" s="304"/>
      <c r="P465" s="305">
        <v>46036</v>
      </c>
      <c r="Q465" s="306"/>
      <c r="R465" s="289" t="str">
        <f t="shared" si="9"/>
        <v/>
      </c>
      <c r="S465" s="241"/>
      <c r="AA465" s="281">
        <v>1131</v>
      </c>
    </row>
    <row r="466" spans="1:27" ht="18" customHeight="1">
      <c r="A466" s="298"/>
      <c r="B466" s="299"/>
      <c r="C466" s="241"/>
      <c r="D466" s="298"/>
      <c r="E466" s="300"/>
      <c r="F466" s="298"/>
      <c r="G466" s="241"/>
      <c r="H466" s="302"/>
      <c r="J466" s="241"/>
      <c r="M466" s="303"/>
      <c r="N466" s="281"/>
      <c r="O466" s="304"/>
      <c r="P466" s="305"/>
      <c r="Q466" s="306"/>
      <c r="R466" s="289" t="str">
        <f t="shared" si="9"/>
        <v/>
      </c>
      <c r="S466" s="241"/>
    </row>
    <row r="467" spans="1:27" ht="18" customHeight="1">
      <c r="A467" s="298">
        <v>39204</v>
      </c>
      <c r="B467" s="299">
        <v>73046</v>
      </c>
      <c r="C467" s="241" t="s">
        <v>62</v>
      </c>
      <c r="D467" s="298">
        <v>3</v>
      </c>
      <c r="E467" s="300" t="s">
        <v>981</v>
      </c>
      <c r="F467" s="298"/>
      <c r="G467" s="241" t="s">
        <v>694</v>
      </c>
      <c r="H467" s="302">
        <v>46036</v>
      </c>
      <c r="I467" s="281">
        <v>1</v>
      </c>
      <c r="J467" s="241" t="s">
        <v>982</v>
      </c>
      <c r="K467" s="284">
        <v>4902</v>
      </c>
      <c r="L467" s="281" t="s">
        <v>983</v>
      </c>
      <c r="M467" s="303"/>
      <c r="N467" s="281"/>
      <c r="O467" s="304"/>
      <c r="P467" s="305">
        <v>46059</v>
      </c>
      <c r="Q467" s="306"/>
      <c r="R467" s="289" t="str">
        <f t="shared" si="9"/>
        <v/>
      </c>
      <c r="S467" s="241"/>
      <c r="AA467" s="281">
        <v>1132</v>
      </c>
    </row>
    <row r="468" spans="1:27" ht="18" customHeight="1">
      <c r="A468" s="298"/>
      <c r="B468" s="299"/>
      <c r="C468" s="241"/>
      <c r="D468" s="298"/>
      <c r="E468" s="300"/>
      <c r="F468" s="298"/>
      <c r="G468" s="241"/>
      <c r="H468" s="302"/>
      <c r="J468" s="241"/>
      <c r="M468" s="303"/>
      <c r="N468" s="281"/>
      <c r="O468" s="304"/>
      <c r="P468" s="305"/>
      <c r="Q468" s="306"/>
      <c r="R468" s="289" t="str">
        <f t="shared" si="9"/>
        <v/>
      </c>
      <c r="S468" s="241"/>
    </row>
    <row r="469" spans="1:27" ht="18" customHeight="1">
      <c r="A469" s="298">
        <v>39205</v>
      </c>
      <c r="B469" s="299">
        <v>73047</v>
      </c>
      <c r="C469" s="241" t="s">
        <v>62</v>
      </c>
      <c r="D469" s="298">
        <v>1</v>
      </c>
      <c r="E469" s="300" t="s">
        <v>984</v>
      </c>
      <c r="F469" s="298"/>
      <c r="G469" s="241" t="s">
        <v>401</v>
      </c>
      <c r="H469" s="302">
        <v>46036</v>
      </c>
      <c r="I469" s="281">
        <v>1</v>
      </c>
      <c r="J469" s="241" t="s">
        <v>985</v>
      </c>
      <c r="K469" s="284">
        <v>30904</v>
      </c>
      <c r="L469" s="281" t="s">
        <v>986</v>
      </c>
      <c r="M469" s="303"/>
      <c r="N469" s="281"/>
      <c r="O469" s="304"/>
      <c r="P469" s="305">
        <v>46080</v>
      </c>
      <c r="Q469" s="306"/>
      <c r="R469" s="289" t="str">
        <f t="shared" si="9"/>
        <v/>
      </c>
      <c r="S469" s="241"/>
      <c r="AA469" s="281">
        <v>1133</v>
      </c>
    </row>
    <row r="470" spans="1:27" ht="18" customHeight="1">
      <c r="A470" s="298"/>
      <c r="B470" s="299"/>
      <c r="C470" s="241"/>
      <c r="D470" s="298"/>
      <c r="E470" s="300"/>
      <c r="F470" s="298"/>
      <c r="G470" s="241"/>
      <c r="H470" s="302"/>
      <c r="J470" s="241"/>
      <c r="M470" s="303"/>
      <c r="N470" s="281"/>
      <c r="O470" s="304"/>
      <c r="P470" s="305"/>
      <c r="Q470" s="306"/>
      <c r="R470" s="289" t="str">
        <f t="shared" si="9"/>
        <v/>
      </c>
      <c r="S470" s="241"/>
    </row>
    <row r="471" spans="1:27" ht="18" customHeight="1">
      <c r="A471" s="298">
        <v>39206</v>
      </c>
      <c r="B471" s="299">
        <v>73048</v>
      </c>
      <c r="C471" s="241" t="s">
        <v>62</v>
      </c>
      <c r="D471" s="298">
        <v>1</v>
      </c>
      <c r="E471" s="300" t="s">
        <v>987</v>
      </c>
      <c r="F471" s="298"/>
      <c r="G471" s="241" t="s">
        <v>896</v>
      </c>
      <c r="H471" s="302">
        <v>46036</v>
      </c>
      <c r="I471" s="281">
        <v>1</v>
      </c>
      <c r="J471" s="241" t="s">
        <v>988</v>
      </c>
      <c r="K471" s="284">
        <v>2026</v>
      </c>
      <c r="L471" s="281" t="s">
        <v>989</v>
      </c>
      <c r="M471" s="303"/>
      <c r="N471" s="281"/>
      <c r="O471" s="304"/>
      <c r="P471" s="305">
        <v>46091</v>
      </c>
      <c r="Q471" s="306"/>
      <c r="R471" s="289"/>
      <c r="S471" s="241"/>
      <c r="AA471" s="281">
        <v>1134</v>
      </c>
    </row>
    <row r="472" spans="1:27" ht="18" customHeight="1">
      <c r="A472" s="298"/>
      <c r="B472" s="299"/>
      <c r="C472" s="241"/>
      <c r="D472" s="298"/>
      <c r="E472" s="300"/>
      <c r="F472" s="298"/>
      <c r="G472" s="241"/>
      <c r="H472" s="302"/>
      <c r="J472" s="241"/>
      <c r="M472" s="303"/>
      <c r="N472" s="281"/>
      <c r="O472" s="304"/>
      <c r="P472" s="305"/>
      <c r="Q472" s="306"/>
      <c r="R472" s="289" t="str">
        <f>IF(SUM(Q472)&gt;0,SUM(Q472-P472),"")</f>
        <v/>
      </c>
      <c r="S472" s="241"/>
    </row>
    <row r="473" spans="1:27" ht="18" customHeight="1">
      <c r="A473" s="298">
        <v>39207</v>
      </c>
      <c r="B473" s="299">
        <v>73049</v>
      </c>
      <c r="C473" s="241" t="s">
        <v>32</v>
      </c>
      <c r="D473" s="298">
        <v>13</v>
      </c>
      <c r="E473" s="300" t="s">
        <v>873</v>
      </c>
      <c r="F473" s="298"/>
      <c r="G473" s="241" t="s">
        <v>990</v>
      </c>
      <c r="H473" s="302">
        <v>46038</v>
      </c>
      <c r="I473" s="281">
        <v>1</v>
      </c>
      <c r="J473" s="241" t="s">
        <v>991</v>
      </c>
      <c r="M473" s="303">
        <v>44926</v>
      </c>
      <c r="N473" s="281">
        <v>13</v>
      </c>
      <c r="O473" s="304"/>
      <c r="P473" s="305">
        <v>46043</v>
      </c>
      <c r="Q473" s="306">
        <v>46043</v>
      </c>
      <c r="R473" s="289"/>
      <c r="S473" s="241"/>
      <c r="AA473" s="281">
        <v>1135</v>
      </c>
    </row>
    <row r="474" spans="1:27" ht="18" customHeight="1">
      <c r="A474" s="298"/>
      <c r="B474" s="299"/>
      <c r="C474" s="241"/>
      <c r="D474" s="298"/>
      <c r="E474" s="300"/>
      <c r="F474" s="298"/>
      <c r="G474" s="241"/>
      <c r="H474" s="302"/>
      <c r="J474" s="241"/>
      <c r="M474" s="303"/>
      <c r="N474" s="281"/>
      <c r="O474" s="304"/>
      <c r="P474" s="305"/>
      <c r="Q474" s="306"/>
      <c r="R474" s="289" t="str">
        <f t="shared" ref="R474:R537" si="10">IF(SUM(Q474)&gt;0,SUM(Q474-P474),"")</f>
        <v/>
      </c>
      <c r="S474" s="241"/>
    </row>
    <row r="475" spans="1:27" ht="18" customHeight="1">
      <c r="A475" s="298">
        <v>39209</v>
      </c>
      <c r="B475" s="299">
        <v>73050</v>
      </c>
      <c r="C475" s="241" t="s">
        <v>41</v>
      </c>
      <c r="D475" s="298">
        <v>6</v>
      </c>
      <c r="E475" s="300" t="s">
        <v>992</v>
      </c>
      <c r="F475" s="298">
        <v>3</v>
      </c>
      <c r="G475" s="241" t="s">
        <v>275</v>
      </c>
      <c r="H475" s="302">
        <v>46041</v>
      </c>
      <c r="I475" s="426" t="s">
        <v>892</v>
      </c>
      <c r="J475" s="241" t="s">
        <v>993</v>
      </c>
      <c r="K475" s="284">
        <v>1799</v>
      </c>
      <c r="L475" s="350" t="s">
        <v>994</v>
      </c>
      <c r="M475" s="303"/>
      <c r="N475" s="281"/>
      <c r="O475" s="304"/>
      <c r="P475" s="305">
        <v>46115</v>
      </c>
      <c r="Q475" s="306"/>
      <c r="R475" s="289" t="str">
        <f t="shared" si="10"/>
        <v/>
      </c>
      <c r="S475" s="241"/>
      <c r="AA475" s="281">
        <v>1136</v>
      </c>
    </row>
    <row r="476" spans="1:27" ht="18" customHeight="1">
      <c r="A476" s="298"/>
      <c r="B476" s="299"/>
      <c r="C476" s="241"/>
      <c r="D476" s="298"/>
      <c r="E476" s="300"/>
      <c r="F476" s="298"/>
      <c r="G476" s="241"/>
      <c r="H476" s="302"/>
      <c r="J476" s="241"/>
      <c r="M476" s="303"/>
      <c r="N476" s="281"/>
      <c r="O476" s="304"/>
      <c r="P476" s="305"/>
      <c r="Q476" s="306"/>
      <c r="R476" s="289" t="str">
        <f t="shared" si="10"/>
        <v/>
      </c>
      <c r="S476" s="241"/>
    </row>
    <row r="477" spans="1:27" ht="18" customHeight="1">
      <c r="A477" s="298">
        <v>39210</v>
      </c>
      <c r="B477" s="299">
        <v>73051</v>
      </c>
      <c r="C477" s="241" t="s">
        <v>214</v>
      </c>
      <c r="D477" s="298">
        <v>2</v>
      </c>
      <c r="E477" s="300">
        <v>700710150</v>
      </c>
      <c r="F477" s="298" t="s">
        <v>211</v>
      </c>
      <c r="G477" s="241" t="s">
        <v>631</v>
      </c>
      <c r="H477" s="302">
        <v>46041</v>
      </c>
      <c r="I477" s="281">
        <v>1</v>
      </c>
      <c r="J477" s="241" t="s">
        <v>995</v>
      </c>
      <c r="K477" s="284">
        <v>8435</v>
      </c>
      <c r="L477" s="281" t="s">
        <v>996</v>
      </c>
      <c r="M477" s="303"/>
      <c r="N477" s="281"/>
      <c r="O477" s="304"/>
      <c r="P477" s="305">
        <v>46069</v>
      </c>
      <c r="Q477" s="306"/>
      <c r="R477" s="289" t="str">
        <f t="shared" si="10"/>
        <v/>
      </c>
      <c r="S477" s="241"/>
      <c r="AA477" s="281">
        <v>1137</v>
      </c>
    </row>
    <row r="478" spans="1:27" ht="18" customHeight="1">
      <c r="A478" s="298">
        <v>39210</v>
      </c>
      <c r="B478" s="299">
        <v>73051</v>
      </c>
      <c r="C478" s="241" t="s">
        <v>214</v>
      </c>
      <c r="D478" s="298">
        <v>8</v>
      </c>
      <c r="E478" s="300">
        <v>700710150</v>
      </c>
      <c r="F478" s="298" t="s">
        <v>211</v>
      </c>
      <c r="G478" s="241" t="s">
        <v>631</v>
      </c>
      <c r="H478" s="302">
        <v>46042</v>
      </c>
      <c r="I478" s="281" t="s">
        <v>997</v>
      </c>
      <c r="J478" s="241" t="s">
        <v>995</v>
      </c>
      <c r="K478" s="284">
        <v>8182</v>
      </c>
      <c r="L478" s="281" t="s">
        <v>996</v>
      </c>
      <c r="M478" s="303"/>
      <c r="N478" s="281"/>
      <c r="O478" s="304"/>
      <c r="P478" s="305">
        <v>46090</v>
      </c>
      <c r="Q478" s="306"/>
      <c r="R478" s="289"/>
      <c r="S478" s="241"/>
      <c r="AA478" s="281">
        <v>1138</v>
      </c>
    </row>
    <row r="479" spans="1:27" ht="18" customHeight="1">
      <c r="A479" s="298">
        <v>39210</v>
      </c>
      <c r="B479" s="299">
        <v>73052</v>
      </c>
      <c r="C479" s="241" t="s">
        <v>214</v>
      </c>
      <c r="D479" s="298">
        <v>1</v>
      </c>
      <c r="E479" s="300">
        <v>700713692</v>
      </c>
      <c r="F479" s="298" t="s">
        <v>211</v>
      </c>
      <c r="G479" s="241" t="s">
        <v>631</v>
      </c>
      <c r="H479" s="302">
        <v>46041</v>
      </c>
      <c r="I479" s="281">
        <v>6</v>
      </c>
      <c r="J479" s="241" t="s">
        <v>998</v>
      </c>
      <c r="K479" s="284">
        <v>3722</v>
      </c>
      <c r="L479" s="281" t="s">
        <v>996</v>
      </c>
      <c r="M479" s="303"/>
      <c r="N479" s="281"/>
      <c r="O479" s="304"/>
      <c r="P479" s="305">
        <v>46069</v>
      </c>
      <c r="Q479" s="306"/>
      <c r="R479" s="289" t="str">
        <f t="shared" si="10"/>
        <v/>
      </c>
      <c r="S479" s="241"/>
      <c r="AA479" s="281">
        <v>1139</v>
      </c>
    </row>
    <row r="480" spans="1:27" ht="18" customHeight="1">
      <c r="A480" s="298">
        <v>39210</v>
      </c>
      <c r="B480" s="299">
        <v>73052</v>
      </c>
      <c r="C480" s="241" t="s">
        <v>214</v>
      </c>
      <c r="D480" s="298">
        <v>5</v>
      </c>
      <c r="E480" s="300">
        <v>700713692</v>
      </c>
      <c r="F480" s="298" t="s">
        <v>211</v>
      </c>
      <c r="G480" s="241" t="s">
        <v>631</v>
      </c>
      <c r="H480" s="302">
        <v>46042</v>
      </c>
      <c r="I480" s="281" t="s">
        <v>999</v>
      </c>
      <c r="J480" s="241" t="s">
        <v>998</v>
      </c>
      <c r="K480" s="284">
        <v>3498</v>
      </c>
      <c r="L480" s="281" t="s">
        <v>996</v>
      </c>
      <c r="M480" s="303"/>
      <c r="N480" s="281"/>
      <c r="O480" s="304"/>
      <c r="P480" s="305">
        <v>46090</v>
      </c>
      <c r="Q480" s="306"/>
      <c r="R480" s="289" t="str">
        <f t="shared" si="10"/>
        <v/>
      </c>
      <c r="S480" s="241"/>
      <c r="AA480" s="281">
        <v>1140</v>
      </c>
    </row>
    <row r="481" spans="1:27" ht="18" customHeight="1">
      <c r="A481" s="298"/>
      <c r="B481" s="299"/>
      <c r="C481" s="241"/>
      <c r="D481" s="298"/>
      <c r="E481" s="300"/>
      <c r="F481" s="298"/>
      <c r="G481" s="241"/>
      <c r="H481" s="302"/>
      <c r="J481" s="241"/>
      <c r="M481" s="303"/>
      <c r="N481" s="281"/>
      <c r="O481" s="304"/>
      <c r="P481" s="305"/>
      <c r="Q481" s="306"/>
      <c r="R481" s="289" t="str">
        <f t="shared" si="10"/>
        <v/>
      </c>
      <c r="S481" s="241"/>
    </row>
    <row r="482" spans="1:27" ht="18" customHeight="1">
      <c r="A482" s="298">
        <v>39211</v>
      </c>
      <c r="B482" s="299">
        <v>73053</v>
      </c>
      <c r="C482" s="301" t="s">
        <v>168</v>
      </c>
      <c r="D482" s="298">
        <v>1</v>
      </c>
      <c r="E482" s="300" t="s">
        <v>1000</v>
      </c>
      <c r="F482" s="298"/>
      <c r="G482" s="241" t="s">
        <v>382</v>
      </c>
      <c r="H482" s="302">
        <v>46041</v>
      </c>
      <c r="I482" s="281">
        <v>10</v>
      </c>
      <c r="J482" s="241" t="s">
        <v>1001</v>
      </c>
      <c r="K482" s="284">
        <v>1195</v>
      </c>
      <c r="L482" s="281">
        <v>4590039484</v>
      </c>
      <c r="M482" s="303"/>
      <c r="N482" s="281"/>
      <c r="O482" s="304"/>
      <c r="P482" s="305">
        <v>46071</v>
      </c>
      <c r="Q482" s="306"/>
      <c r="R482" s="289" t="str">
        <f t="shared" si="10"/>
        <v/>
      </c>
      <c r="S482" s="241"/>
      <c r="AA482" s="281">
        <v>1141</v>
      </c>
    </row>
    <row r="483" spans="1:27" ht="18" customHeight="1">
      <c r="A483" s="298">
        <v>39211</v>
      </c>
      <c r="B483" s="299">
        <v>73054</v>
      </c>
      <c r="C483" s="301" t="s">
        <v>168</v>
      </c>
      <c r="D483" s="298">
        <v>8</v>
      </c>
      <c r="E483" s="300" t="s">
        <v>1002</v>
      </c>
      <c r="F483" s="298"/>
      <c r="G483" s="241" t="s">
        <v>382</v>
      </c>
      <c r="H483" s="302">
        <v>46041</v>
      </c>
      <c r="I483" s="281">
        <v>20</v>
      </c>
      <c r="J483" s="241" t="s">
        <v>1003</v>
      </c>
      <c r="K483" s="284">
        <v>465</v>
      </c>
      <c r="L483" s="281">
        <v>4590039484</v>
      </c>
      <c r="M483" s="303"/>
      <c r="N483" s="281"/>
      <c r="O483" s="304"/>
      <c r="P483" s="305">
        <v>46071</v>
      </c>
      <c r="Q483" s="306"/>
      <c r="R483" s="289" t="str">
        <f t="shared" si="10"/>
        <v/>
      </c>
      <c r="S483" s="241"/>
      <c r="AA483" s="281">
        <v>1142</v>
      </c>
    </row>
    <row r="484" spans="1:27" ht="18" customHeight="1">
      <c r="A484" s="298">
        <v>39211</v>
      </c>
      <c r="B484" s="299">
        <v>73055</v>
      </c>
      <c r="C484" s="301" t="s">
        <v>168</v>
      </c>
      <c r="D484" s="298">
        <v>1</v>
      </c>
      <c r="E484" s="300" t="s">
        <v>1004</v>
      </c>
      <c r="F484" s="298"/>
      <c r="G484" s="241" t="s">
        <v>382</v>
      </c>
      <c r="H484" s="302">
        <v>46041</v>
      </c>
      <c r="I484" s="281">
        <v>30</v>
      </c>
      <c r="J484" s="241" t="s">
        <v>1005</v>
      </c>
      <c r="K484" s="284">
        <v>669</v>
      </c>
      <c r="L484" s="281">
        <v>4590039484</v>
      </c>
      <c r="M484" s="303"/>
      <c r="N484" s="281"/>
      <c r="O484" s="304"/>
      <c r="P484" s="305">
        <v>46071</v>
      </c>
      <c r="Q484" s="306"/>
      <c r="R484" s="289" t="str">
        <f t="shared" si="10"/>
        <v/>
      </c>
      <c r="S484" s="241"/>
      <c r="AA484" s="281">
        <v>1143</v>
      </c>
    </row>
    <row r="485" spans="1:27" ht="18" customHeight="1">
      <c r="A485" s="298">
        <v>39211</v>
      </c>
      <c r="B485" s="299">
        <v>73056</v>
      </c>
      <c r="C485" s="301" t="s">
        <v>168</v>
      </c>
      <c r="D485" s="298">
        <v>1</v>
      </c>
      <c r="E485" s="300" t="s">
        <v>1006</v>
      </c>
      <c r="F485" s="298"/>
      <c r="G485" s="241" t="s">
        <v>382</v>
      </c>
      <c r="H485" s="302">
        <v>46041</v>
      </c>
      <c r="I485" s="281">
        <v>40</v>
      </c>
      <c r="J485" s="241" t="s">
        <v>1007</v>
      </c>
      <c r="K485" s="284">
        <v>2599</v>
      </c>
      <c r="L485" s="281">
        <v>4590039484</v>
      </c>
      <c r="M485" s="303"/>
      <c r="N485" s="281"/>
      <c r="O485" s="304"/>
      <c r="P485" s="305">
        <v>46071</v>
      </c>
      <c r="Q485" s="306"/>
      <c r="R485" s="289" t="str">
        <f t="shared" si="10"/>
        <v/>
      </c>
      <c r="S485" s="241"/>
      <c r="AA485" s="281">
        <v>1144</v>
      </c>
    </row>
    <row r="486" spans="1:27" ht="18" customHeight="1">
      <c r="A486" s="298"/>
      <c r="B486" s="299"/>
      <c r="C486" s="241"/>
      <c r="D486" s="298"/>
      <c r="E486" s="300"/>
      <c r="F486" s="298"/>
      <c r="G486" s="241"/>
      <c r="H486" s="302"/>
      <c r="J486" s="241"/>
      <c r="M486" s="303"/>
      <c r="N486" s="281"/>
      <c r="O486" s="304"/>
      <c r="P486" s="305"/>
      <c r="Q486" s="306"/>
      <c r="R486" s="289" t="str">
        <f t="shared" si="10"/>
        <v/>
      </c>
      <c r="S486" s="241"/>
    </row>
    <row r="487" spans="1:27" ht="18" customHeight="1">
      <c r="A487" s="298">
        <v>39212</v>
      </c>
      <c r="B487" s="299">
        <v>73057</v>
      </c>
      <c r="C487" s="241" t="s">
        <v>214</v>
      </c>
      <c r="D487" s="298">
        <v>1</v>
      </c>
      <c r="E487" s="300">
        <v>125777129</v>
      </c>
      <c r="F487" s="298" t="s">
        <v>1008</v>
      </c>
      <c r="G487" s="241" t="s">
        <v>860</v>
      </c>
      <c r="H487" s="302">
        <v>46041</v>
      </c>
      <c r="I487" s="281">
        <v>1</v>
      </c>
      <c r="J487" s="241" t="s">
        <v>1009</v>
      </c>
      <c r="K487" s="284">
        <v>3900</v>
      </c>
      <c r="L487" s="281" t="s">
        <v>1010</v>
      </c>
      <c r="M487" s="303"/>
      <c r="N487" s="281"/>
      <c r="O487" s="304"/>
      <c r="P487" s="305">
        <v>46090</v>
      </c>
      <c r="Q487" s="306"/>
      <c r="R487" s="289" t="str">
        <f t="shared" si="10"/>
        <v/>
      </c>
      <c r="S487" s="241"/>
      <c r="AA487" s="281">
        <v>1145</v>
      </c>
    </row>
    <row r="488" spans="1:27" ht="18" customHeight="1">
      <c r="A488" s="298">
        <v>39212</v>
      </c>
      <c r="B488" s="299">
        <v>73058</v>
      </c>
      <c r="C488" s="241" t="s">
        <v>214</v>
      </c>
      <c r="D488" s="298">
        <v>1</v>
      </c>
      <c r="E488" s="300">
        <v>125777130</v>
      </c>
      <c r="F488" s="298" t="s">
        <v>1011</v>
      </c>
      <c r="G488" s="241" t="s">
        <v>860</v>
      </c>
      <c r="H488" s="302">
        <v>46041</v>
      </c>
      <c r="I488" s="281">
        <v>2</v>
      </c>
      <c r="J488" s="241" t="s">
        <v>395</v>
      </c>
      <c r="K488" s="284">
        <v>5316</v>
      </c>
      <c r="L488" s="281" t="s">
        <v>1010</v>
      </c>
      <c r="M488" s="303"/>
      <c r="N488" s="281"/>
      <c r="O488" s="304"/>
      <c r="P488" s="305">
        <v>46090</v>
      </c>
      <c r="Q488" s="306"/>
      <c r="R488" s="289" t="str">
        <f t="shared" si="10"/>
        <v/>
      </c>
      <c r="S488" s="241"/>
      <c r="AA488" s="281">
        <v>1146</v>
      </c>
    </row>
    <row r="489" spans="1:27" ht="18" customHeight="1">
      <c r="A489" s="298">
        <v>39212</v>
      </c>
      <c r="B489" s="299">
        <v>73059</v>
      </c>
      <c r="C489" s="241" t="s">
        <v>214</v>
      </c>
      <c r="D489" s="298">
        <v>1</v>
      </c>
      <c r="E489" s="300">
        <v>125777135</v>
      </c>
      <c r="F489" s="298" t="s">
        <v>1012</v>
      </c>
      <c r="G489" s="241" t="s">
        <v>860</v>
      </c>
      <c r="H489" s="302">
        <v>46041</v>
      </c>
      <c r="I489" s="281">
        <v>3</v>
      </c>
      <c r="J489" s="241" t="s">
        <v>1013</v>
      </c>
      <c r="K489" s="284">
        <v>5450</v>
      </c>
      <c r="L489" s="281" t="s">
        <v>1010</v>
      </c>
      <c r="M489" s="303"/>
      <c r="N489" s="281"/>
      <c r="O489" s="304"/>
      <c r="P489" s="305">
        <v>46090</v>
      </c>
      <c r="Q489" s="306"/>
      <c r="R489" s="289" t="str">
        <f t="shared" si="10"/>
        <v/>
      </c>
      <c r="S489" s="241"/>
      <c r="AA489" s="281">
        <v>1147</v>
      </c>
    </row>
    <row r="490" spans="1:27" ht="18" customHeight="1">
      <c r="A490" s="298"/>
      <c r="B490" s="299"/>
      <c r="C490" s="241"/>
      <c r="D490" s="298"/>
      <c r="E490" s="300"/>
      <c r="F490" s="298"/>
      <c r="G490" s="241"/>
      <c r="H490" s="302"/>
      <c r="J490" s="241"/>
      <c r="M490" s="303"/>
      <c r="N490" s="281"/>
      <c r="O490" s="304"/>
      <c r="P490" s="305"/>
      <c r="Q490" s="306"/>
      <c r="R490" s="289" t="str">
        <f t="shared" si="10"/>
        <v/>
      </c>
      <c r="S490" s="241"/>
    </row>
    <row r="491" spans="1:27" ht="18" customHeight="1">
      <c r="A491" s="298">
        <v>39213</v>
      </c>
      <c r="B491" s="299">
        <v>73060</v>
      </c>
      <c r="C491" s="241" t="s">
        <v>0</v>
      </c>
      <c r="D491" s="298">
        <v>1</v>
      </c>
      <c r="E491" s="300" t="s">
        <v>873</v>
      </c>
      <c r="F491" s="298"/>
      <c r="G491" s="241" t="s">
        <v>1014</v>
      </c>
      <c r="H491" s="302">
        <v>46044</v>
      </c>
      <c r="I491" s="281">
        <v>1</v>
      </c>
      <c r="J491" s="241" t="s">
        <v>1015</v>
      </c>
      <c r="M491" s="303">
        <v>44929</v>
      </c>
      <c r="N491" s="281">
        <v>1</v>
      </c>
      <c r="O491" s="304"/>
      <c r="P491" s="305">
        <v>46045</v>
      </c>
      <c r="Q491" s="306">
        <v>46045</v>
      </c>
      <c r="R491" s="289">
        <f t="shared" si="10"/>
        <v>0</v>
      </c>
      <c r="S491" s="241"/>
      <c r="AA491" s="281">
        <v>1148</v>
      </c>
    </row>
    <row r="492" spans="1:27" ht="18" customHeight="1">
      <c r="A492" s="298"/>
      <c r="B492" s="299"/>
      <c r="C492" s="241"/>
      <c r="D492" s="298"/>
      <c r="E492" s="300"/>
      <c r="F492" s="298"/>
      <c r="G492" s="241"/>
      <c r="H492" s="302"/>
      <c r="J492" s="241"/>
      <c r="M492" s="303"/>
      <c r="N492" s="281"/>
      <c r="O492" s="304"/>
      <c r="P492" s="305"/>
      <c r="Q492" s="306"/>
      <c r="R492" s="289" t="str">
        <f t="shared" si="10"/>
        <v/>
      </c>
      <c r="S492" s="241"/>
    </row>
    <row r="493" spans="1:27" ht="18" customHeight="1">
      <c r="A493" s="298"/>
      <c r="B493" s="299"/>
      <c r="C493" s="241"/>
      <c r="D493" s="298"/>
      <c r="E493" s="300"/>
      <c r="F493" s="298"/>
      <c r="G493" s="241"/>
      <c r="H493" s="302"/>
      <c r="J493" s="241"/>
      <c r="M493" s="303"/>
      <c r="N493" s="281"/>
      <c r="O493" s="304"/>
      <c r="P493" s="305"/>
      <c r="Q493" s="306"/>
      <c r="R493" s="289" t="str">
        <f t="shared" si="10"/>
        <v/>
      </c>
      <c r="S493" s="241"/>
    </row>
    <row r="494" spans="1:27" ht="18" customHeight="1">
      <c r="A494" s="298"/>
      <c r="B494" s="299"/>
      <c r="C494" s="241"/>
      <c r="D494" s="298"/>
      <c r="E494" s="300"/>
      <c r="F494" s="298"/>
      <c r="G494" s="241"/>
      <c r="H494" s="302"/>
      <c r="J494" s="241"/>
      <c r="M494" s="303"/>
      <c r="N494" s="281"/>
      <c r="O494" s="304"/>
      <c r="P494" s="305"/>
      <c r="Q494" s="306"/>
      <c r="R494" s="289" t="str">
        <f t="shared" si="10"/>
        <v/>
      </c>
      <c r="S494" s="241"/>
    </row>
    <row r="495" spans="1:27" ht="18" customHeight="1">
      <c r="A495" s="298"/>
      <c r="B495" s="299"/>
      <c r="C495" s="241"/>
      <c r="D495" s="298"/>
      <c r="E495" s="300"/>
      <c r="F495" s="298"/>
      <c r="G495" s="241"/>
      <c r="H495" s="302"/>
      <c r="J495" s="241"/>
      <c r="M495" s="303"/>
      <c r="N495" s="281"/>
      <c r="O495" s="304"/>
      <c r="P495" s="305"/>
      <c r="Q495" s="306"/>
      <c r="R495" s="289" t="str">
        <f t="shared" si="10"/>
        <v/>
      </c>
      <c r="S495" s="241"/>
    </row>
    <row r="496" spans="1:27" ht="18" customHeight="1">
      <c r="A496" s="298"/>
      <c r="B496" s="299"/>
      <c r="C496" s="241"/>
      <c r="D496" s="298"/>
      <c r="E496" s="300"/>
      <c r="F496" s="298"/>
      <c r="G496" s="241"/>
      <c r="H496" s="302"/>
      <c r="J496" s="241"/>
      <c r="M496" s="303"/>
      <c r="N496" s="281"/>
      <c r="O496" s="304"/>
      <c r="P496" s="305"/>
      <c r="Q496" s="306"/>
      <c r="R496" s="289" t="str">
        <f t="shared" si="10"/>
        <v/>
      </c>
      <c r="S496" s="241"/>
    </row>
    <row r="497" spans="1:19" ht="18" customHeight="1">
      <c r="A497" s="298"/>
      <c r="B497" s="299"/>
      <c r="C497" s="241"/>
      <c r="D497" s="298"/>
      <c r="E497" s="300"/>
      <c r="F497" s="298"/>
      <c r="G497" s="241"/>
      <c r="H497" s="302"/>
      <c r="J497" s="241"/>
      <c r="M497" s="303"/>
      <c r="N497" s="281"/>
      <c r="O497" s="304"/>
      <c r="P497" s="305"/>
      <c r="Q497" s="306"/>
      <c r="R497" s="289" t="str">
        <f t="shared" si="10"/>
        <v/>
      </c>
      <c r="S497" s="241"/>
    </row>
    <row r="498" spans="1:19" ht="18" customHeight="1">
      <c r="A498" s="298"/>
      <c r="B498" s="299"/>
      <c r="C498" s="241"/>
      <c r="D498" s="298"/>
      <c r="E498" s="300"/>
      <c r="F498" s="298"/>
      <c r="G498" s="241"/>
      <c r="H498" s="302"/>
      <c r="J498" s="241"/>
      <c r="M498" s="303"/>
      <c r="N498" s="281"/>
      <c r="O498" s="304"/>
      <c r="P498" s="305"/>
      <c r="Q498" s="306"/>
      <c r="R498" s="289" t="str">
        <f t="shared" si="10"/>
        <v/>
      </c>
      <c r="S498" s="241"/>
    </row>
    <row r="499" spans="1:19" ht="18" customHeight="1">
      <c r="A499" s="298"/>
      <c r="B499" s="299"/>
      <c r="C499" s="241"/>
      <c r="D499" s="298"/>
      <c r="E499" s="300"/>
      <c r="F499" s="298"/>
      <c r="G499" s="241"/>
      <c r="H499" s="302"/>
      <c r="J499" s="241"/>
      <c r="M499" s="303"/>
      <c r="N499" s="281"/>
      <c r="O499" s="304"/>
      <c r="P499" s="305"/>
      <c r="Q499" s="306"/>
      <c r="R499" s="289" t="str">
        <f t="shared" si="10"/>
        <v/>
      </c>
      <c r="S499" s="241"/>
    </row>
    <row r="500" spans="1:19" ht="18" customHeight="1">
      <c r="A500" s="298"/>
      <c r="B500" s="299"/>
      <c r="C500" s="241"/>
      <c r="D500" s="298"/>
      <c r="E500" s="300"/>
      <c r="F500" s="298"/>
      <c r="G500" s="241"/>
      <c r="H500" s="302"/>
      <c r="J500" s="241"/>
      <c r="M500" s="303"/>
      <c r="N500" s="281"/>
      <c r="O500" s="304"/>
      <c r="P500" s="305"/>
      <c r="Q500" s="306"/>
      <c r="R500" s="289" t="str">
        <f t="shared" si="10"/>
        <v/>
      </c>
      <c r="S500" s="241"/>
    </row>
    <row r="501" spans="1:19" ht="18" customHeight="1">
      <c r="A501" s="298"/>
      <c r="B501" s="299"/>
      <c r="C501" s="241"/>
      <c r="D501" s="298"/>
      <c r="E501" s="300"/>
      <c r="F501" s="298"/>
      <c r="G501" s="241"/>
      <c r="H501" s="302"/>
      <c r="J501" s="241"/>
      <c r="M501" s="303"/>
      <c r="N501" s="281"/>
      <c r="O501" s="304"/>
      <c r="P501" s="305"/>
      <c r="Q501" s="306"/>
      <c r="R501" s="289" t="str">
        <f t="shared" si="10"/>
        <v/>
      </c>
      <c r="S501" s="241"/>
    </row>
    <row r="502" spans="1:19" ht="18" customHeight="1">
      <c r="A502" s="298"/>
      <c r="B502" s="299"/>
      <c r="C502" s="241"/>
      <c r="D502" s="298"/>
      <c r="E502" s="300"/>
      <c r="F502" s="298"/>
      <c r="G502" s="241"/>
      <c r="H502" s="302"/>
      <c r="J502" s="241"/>
      <c r="M502" s="303"/>
      <c r="N502" s="281"/>
      <c r="O502" s="304"/>
      <c r="P502" s="305"/>
      <c r="Q502" s="306"/>
      <c r="R502" s="289" t="str">
        <f t="shared" si="10"/>
        <v/>
      </c>
      <c r="S502" s="241"/>
    </row>
    <row r="503" spans="1:19" ht="18" customHeight="1">
      <c r="A503" s="298"/>
      <c r="B503" s="299"/>
      <c r="C503" s="241"/>
      <c r="D503" s="298"/>
      <c r="E503" s="300"/>
      <c r="F503" s="298"/>
      <c r="G503" s="241"/>
      <c r="H503" s="302"/>
      <c r="J503" s="241"/>
      <c r="M503" s="303"/>
      <c r="N503" s="281"/>
      <c r="O503" s="304"/>
      <c r="P503" s="305"/>
      <c r="Q503" s="306"/>
      <c r="R503" s="289" t="str">
        <f t="shared" si="10"/>
        <v/>
      </c>
      <c r="S503" s="241"/>
    </row>
    <row r="504" spans="1:19" ht="18" customHeight="1">
      <c r="A504" s="298"/>
      <c r="B504" s="299"/>
      <c r="C504" s="241"/>
      <c r="D504" s="298"/>
      <c r="E504" s="300"/>
      <c r="F504" s="298"/>
      <c r="G504" s="241"/>
      <c r="H504" s="302"/>
      <c r="J504" s="241"/>
      <c r="M504" s="303"/>
      <c r="N504" s="281"/>
      <c r="O504" s="304"/>
      <c r="P504" s="305"/>
      <c r="Q504" s="306"/>
      <c r="R504" s="289" t="str">
        <f t="shared" si="10"/>
        <v/>
      </c>
      <c r="S504" s="241"/>
    </row>
    <row r="505" spans="1:19" ht="18" customHeight="1">
      <c r="A505" s="298"/>
      <c r="B505" s="299"/>
      <c r="C505" s="241"/>
      <c r="D505" s="298"/>
      <c r="E505" s="300"/>
      <c r="F505" s="298"/>
      <c r="G505" s="241"/>
      <c r="H505" s="302"/>
      <c r="J505" s="241"/>
      <c r="M505" s="303"/>
      <c r="N505" s="281"/>
      <c r="O505" s="304"/>
      <c r="P505" s="305"/>
      <c r="Q505" s="306"/>
      <c r="R505" s="289" t="str">
        <f t="shared" si="10"/>
        <v/>
      </c>
      <c r="S505" s="241"/>
    </row>
    <row r="506" spans="1:19" ht="18" customHeight="1">
      <c r="A506" s="298"/>
      <c r="B506" s="299"/>
      <c r="C506" s="241"/>
      <c r="D506" s="298"/>
      <c r="E506" s="300"/>
      <c r="F506" s="298"/>
      <c r="G506" s="241"/>
      <c r="H506" s="302"/>
      <c r="J506" s="241"/>
      <c r="M506" s="303"/>
      <c r="N506" s="281"/>
      <c r="O506" s="304"/>
      <c r="P506" s="305"/>
      <c r="Q506" s="306"/>
      <c r="R506" s="289" t="str">
        <f t="shared" si="10"/>
        <v/>
      </c>
      <c r="S506" s="241"/>
    </row>
    <row r="507" spans="1:19" ht="18" customHeight="1">
      <c r="A507" s="298"/>
      <c r="B507" s="299"/>
      <c r="C507" s="241"/>
      <c r="D507" s="298"/>
      <c r="E507" s="300"/>
      <c r="F507" s="298"/>
      <c r="G507" s="241"/>
      <c r="H507" s="302"/>
      <c r="J507" s="241"/>
      <c r="M507" s="303"/>
      <c r="N507" s="281"/>
      <c r="O507" s="304"/>
      <c r="P507" s="305"/>
      <c r="Q507" s="306"/>
      <c r="R507" s="289" t="str">
        <f t="shared" si="10"/>
        <v/>
      </c>
      <c r="S507" s="241"/>
    </row>
    <row r="508" spans="1:19" ht="18" customHeight="1">
      <c r="A508" s="298"/>
      <c r="B508" s="299"/>
      <c r="C508" s="241"/>
      <c r="D508" s="298"/>
      <c r="E508" s="300"/>
      <c r="F508" s="298"/>
      <c r="G508" s="241"/>
      <c r="H508" s="302"/>
      <c r="J508" s="241"/>
      <c r="M508" s="303"/>
      <c r="N508" s="281"/>
      <c r="O508" s="304"/>
      <c r="P508" s="305"/>
      <c r="Q508" s="306"/>
      <c r="R508" s="289" t="str">
        <f t="shared" si="10"/>
        <v/>
      </c>
      <c r="S508" s="241"/>
    </row>
    <row r="509" spans="1:19" ht="18" customHeight="1">
      <c r="A509" s="298"/>
      <c r="B509" s="299"/>
      <c r="C509" s="241"/>
      <c r="D509" s="298"/>
      <c r="E509" s="300"/>
      <c r="F509" s="298"/>
      <c r="G509" s="241"/>
      <c r="H509" s="302"/>
      <c r="J509" s="241"/>
      <c r="M509" s="303"/>
      <c r="N509" s="281"/>
      <c r="O509" s="304"/>
      <c r="P509" s="305"/>
      <c r="Q509" s="306"/>
      <c r="R509" s="289" t="str">
        <f t="shared" si="10"/>
        <v/>
      </c>
      <c r="S509" s="241"/>
    </row>
    <row r="510" spans="1:19" ht="18" customHeight="1">
      <c r="A510" s="298"/>
      <c r="B510" s="299"/>
      <c r="C510" s="241"/>
      <c r="D510" s="298"/>
      <c r="E510" s="300"/>
      <c r="F510" s="298"/>
      <c r="G510" s="241"/>
      <c r="H510" s="302"/>
      <c r="J510" s="241"/>
      <c r="M510" s="303"/>
      <c r="N510" s="281"/>
      <c r="O510" s="304"/>
      <c r="P510" s="305"/>
      <c r="Q510" s="306"/>
      <c r="R510" s="289" t="str">
        <f t="shared" si="10"/>
        <v/>
      </c>
      <c r="S510" s="241"/>
    </row>
    <row r="511" spans="1:19" ht="18" customHeight="1">
      <c r="A511" s="298"/>
      <c r="B511" s="299"/>
      <c r="C511" s="241"/>
      <c r="D511" s="298"/>
      <c r="E511" s="300"/>
      <c r="F511" s="298"/>
      <c r="G511" s="241"/>
      <c r="H511" s="302"/>
      <c r="J511" s="241"/>
      <c r="M511" s="303"/>
      <c r="N511" s="281"/>
      <c r="O511" s="304"/>
      <c r="P511" s="305"/>
      <c r="Q511" s="306"/>
      <c r="R511" s="289" t="str">
        <f t="shared" si="10"/>
        <v/>
      </c>
      <c r="S511" s="241"/>
    </row>
    <row r="512" spans="1:19" ht="18" customHeight="1">
      <c r="A512" s="298"/>
      <c r="B512" s="299"/>
      <c r="C512" s="241"/>
      <c r="D512" s="298"/>
      <c r="E512" s="300"/>
      <c r="F512" s="298"/>
      <c r="G512" s="241"/>
      <c r="H512" s="302"/>
      <c r="J512" s="241"/>
      <c r="M512" s="303"/>
      <c r="N512" s="281"/>
      <c r="O512" s="304"/>
      <c r="P512" s="305"/>
      <c r="Q512" s="306"/>
      <c r="R512" s="289" t="str">
        <f t="shared" si="10"/>
        <v/>
      </c>
      <c r="S512" s="241"/>
    </row>
    <row r="513" spans="1:19" ht="18" customHeight="1">
      <c r="A513" s="298"/>
      <c r="B513" s="299"/>
      <c r="C513" s="241"/>
      <c r="D513" s="298"/>
      <c r="E513" s="300"/>
      <c r="F513" s="298"/>
      <c r="G513" s="241"/>
      <c r="H513" s="302"/>
      <c r="J513" s="241"/>
      <c r="M513" s="303"/>
      <c r="N513" s="281"/>
      <c r="O513" s="304"/>
      <c r="P513" s="305"/>
      <c r="Q513" s="306"/>
      <c r="R513" s="289" t="str">
        <f t="shared" si="10"/>
        <v/>
      </c>
      <c r="S513" s="241"/>
    </row>
    <row r="514" spans="1:19" ht="18" customHeight="1">
      <c r="A514" s="298"/>
      <c r="B514" s="299"/>
      <c r="C514" s="241"/>
      <c r="D514" s="298"/>
      <c r="E514" s="300"/>
      <c r="F514" s="298"/>
      <c r="G514" s="241"/>
      <c r="H514" s="302"/>
      <c r="J514" s="241"/>
      <c r="M514" s="303"/>
      <c r="N514" s="281"/>
      <c r="O514" s="304"/>
      <c r="P514" s="305"/>
      <c r="Q514" s="306"/>
      <c r="R514" s="289" t="str">
        <f t="shared" si="10"/>
        <v/>
      </c>
      <c r="S514" s="241"/>
    </row>
    <row r="515" spans="1:19" ht="18" customHeight="1">
      <c r="A515" s="298"/>
      <c r="B515" s="299"/>
      <c r="C515" s="241"/>
      <c r="D515" s="298"/>
      <c r="E515" s="300"/>
      <c r="F515" s="298"/>
      <c r="G515" s="241"/>
      <c r="H515" s="302"/>
      <c r="J515" s="241"/>
      <c r="M515" s="303"/>
      <c r="N515" s="281"/>
      <c r="O515" s="304"/>
      <c r="P515" s="305"/>
      <c r="Q515" s="306"/>
      <c r="R515" s="289" t="str">
        <f t="shared" si="10"/>
        <v/>
      </c>
      <c r="S515" s="241"/>
    </row>
    <row r="516" spans="1:19" ht="18" customHeight="1">
      <c r="A516" s="298"/>
      <c r="B516" s="299"/>
      <c r="C516" s="241"/>
      <c r="D516" s="298"/>
      <c r="E516" s="300"/>
      <c r="F516" s="298"/>
      <c r="G516" s="241"/>
      <c r="H516" s="302"/>
      <c r="J516" s="241"/>
      <c r="M516" s="303"/>
      <c r="N516" s="281"/>
      <c r="O516" s="304"/>
      <c r="P516" s="305"/>
      <c r="Q516" s="306"/>
      <c r="R516" s="289" t="str">
        <f t="shared" si="10"/>
        <v/>
      </c>
      <c r="S516" s="241"/>
    </row>
    <row r="517" spans="1:19" ht="18" customHeight="1">
      <c r="A517" s="298"/>
      <c r="B517" s="299"/>
      <c r="C517" s="241"/>
      <c r="D517" s="298"/>
      <c r="E517" s="300"/>
      <c r="F517" s="298"/>
      <c r="G517" s="241"/>
      <c r="H517" s="302"/>
      <c r="J517" s="241"/>
      <c r="M517" s="303"/>
      <c r="N517" s="281"/>
      <c r="O517" s="304"/>
      <c r="P517" s="305"/>
      <c r="Q517" s="306"/>
      <c r="R517" s="289" t="str">
        <f t="shared" si="10"/>
        <v/>
      </c>
      <c r="S517" s="241"/>
    </row>
    <row r="518" spans="1:19" ht="18" customHeight="1">
      <c r="A518" s="298"/>
      <c r="B518" s="299"/>
      <c r="C518" s="241"/>
      <c r="D518" s="298"/>
      <c r="E518" s="300"/>
      <c r="F518" s="298"/>
      <c r="G518" s="241"/>
      <c r="H518" s="302"/>
      <c r="J518" s="241"/>
      <c r="M518" s="303"/>
      <c r="N518" s="281"/>
      <c r="O518" s="304"/>
      <c r="P518" s="305"/>
      <c r="Q518" s="306"/>
      <c r="R518" s="289" t="str">
        <f t="shared" si="10"/>
        <v/>
      </c>
      <c r="S518" s="241"/>
    </row>
    <row r="519" spans="1:19" ht="18" customHeight="1">
      <c r="A519" s="298"/>
      <c r="B519" s="299"/>
      <c r="C519" s="241"/>
      <c r="D519" s="298"/>
      <c r="E519" s="300"/>
      <c r="F519" s="298"/>
      <c r="G519" s="241"/>
      <c r="H519" s="302"/>
      <c r="J519" s="241"/>
      <c r="M519" s="303"/>
      <c r="N519" s="281"/>
      <c r="O519" s="304"/>
      <c r="P519" s="305"/>
      <c r="Q519" s="306"/>
      <c r="R519" s="289" t="str">
        <f t="shared" si="10"/>
        <v/>
      </c>
      <c r="S519" s="241"/>
    </row>
    <row r="520" spans="1:19" ht="18" customHeight="1">
      <c r="A520" s="298"/>
      <c r="B520" s="299"/>
      <c r="C520" s="241"/>
      <c r="D520" s="298"/>
      <c r="E520" s="300"/>
      <c r="F520" s="298"/>
      <c r="G520" s="241"/>
      <c r="H520" s="302"/>
      <c r="J520" s="241"/>
      <c r="M520" s="303"/>
      <c r="N520" s="281"/>
      <c r="O520" s="304"/>
      <c r="P520" s="305"/>
      <c r="Q520" s="306"/>
      <c r="R520" s="289" t="str">
        <f t="shared" si="10"/>
        <v/>
      </c>
      <c r="S520" s="241"/>
    </row>
    <row r="521" spans="1:19" ht="18" customHeight="1">
      <c r="A521" s="298"/>
      <c r="B521" s="299"/>
      <c r="C521" s="241"/>
      <c r="D521" s="298"/>
      <c r="E521" s="300"/>
      <c r="F521" s="298"/>
      <c r="G521" s="241"/>
      <c r="H521" s="302"/>
      <c r="J521" s="241"/>
      <c r="M521" s="303"/>
      <c r="N521" s="281"/>
      <c r="O521" s="304"/>
      <c r="P521" s="305"/>
      <c r="Q521" s="306"/>
      <c r="R521" s="289" t="str">
        <f t="shared" si="10"/>
        <v/>
      </c>
      <c r="S521" s="241"/>
    </row>
    <row r="522" spans="1:19" ht="18" customHeight="1">
      <c r="A522" s="298"/>
      <c r="B522" s="299"/>
      <c r="C522" s="241"/>
      <c r="D522" s="298"/>
      <c r="E522" s="300"/>
      <c r="F522" s="298"/>
      <c r="G522" s="241"/>
      <c r="H522" s="302"/>
      <c r="J522" s="241"/>
      <c r="M522" s="303"/>
      <c r="N522" s="281"/>
      <c r="O522" s="304"/>
      <c r="P522" s="305"/>
      <c r="Q522" s="306"/>
      <c r="R522" s="289" t="str">
        <f t="shared" si="10"/>
        <v/>
      </c>
      <c r="S522" s="241"/>
    </row>
    <row r="523" spans="1:19" ht="18" customHeight="1">
      <c r="A523" s="298"/>
      <c r="B523" s="299"/>
      <c r="C523" s="241"/>
      <c r="D523" s="298"/>
      <c r="E523" s="300"/>
      <c r="F523" s="298"/>
      <c r="G523" s="241"/>
      <c r="H523" s="302"/>
      <c r="J523" s="241"/>
      <c r="M523" s="303"/>
      <c r="N523" s="281"/>
      <c r="O523" s="304"/>
      <c r="P523" s="305"/>
      <c r="Q523" s="306"/>
      <c r="R523" s="289" t="str">
        <f t="shared" si="10"/>
        <v/>
      </c>
      <c r="S523" s="241"/>
    </row>
    <row r="524" spans="1:19" ht="18" customHeight="1">
      <c r="A524" s="298"/>
      <c r="B524" s="299"/>
      <c r="C524" s="241"/>
      <c r="D524" s="298"/>
      <c r="E524" s="300"/>
      <c r="F524" s="298"/>
      <c r="G524" s="241"/>
      <c r="H524" s="302"/>
      <c r="J524" s="241"/>
      <c r="M524" s="303"/>
      <c r="N524" s="281"/>
      <c r="O524" s="304"/>
      <c r="P524" s="305"/>
      <c r="Q524" s="306"/>
      <c r="R524" s="289" t="str">
        <f t="shared" si="10"/>
        <v/>
      </c>
      <c r="S524" s="241"/>
    </row>
    <row r="525" spans="1:19" ht="18" customHeight="1">
      <c r="A525" s="298"/>
      <c r="B525" s="299"/>
      <c r="C525" s="241"/>
      <c r="D525" s="298"/>
      <c r="E525" s="300"/>
      <c r="F525" s="298"/>
      <c r="G525" s="241"/>
      <c r="H525" s="302"/>
      <c r="J525" s="241"/>
      <c r="M525" s="303"/>
      <c r="N525" s="281"/>
      <c r="O525" s="304"/>
      <c r="P525" s="305"/>
      <c r="Q525" s="306"/>
      <c r="R525" s="289" t="str">
        <f t="shared" si="10"/>
        <v/>
      </c>
      <c r="S525" s="241"/>
    </row>
    <row r="526" spans="1:19" ht="18" customHeight="1">
      <c r="A526" s="298"/>
      <c r="B526" s="299"/>
      <c r="C526" s="241"/>
      <c r="D526" s="298"/>
      <c r="E526" s="300"/>
      <c r="F526" s="298"/>
      <c r="G526" s="241"/>
      <c r="H526" s="302"/>
      <c r="J526" s="241"/>
      <c r="M526" s="303"/>
      <c r="N526" s="281"/>
      <c r="O526" s="304"/>
      <c r="P526" s="305"/>
      <c r="Q526" s="306"/>
      <c r="R526" s="289" t="str">
        <f t="shared" si="10"/>
        <v/>
      </c>
      <c r="S526" s="241"/>
    </row>
    <row r="527" spans="1:19" ht="18" customHeight="1">
      <c r="A527" s="298"/>
      <c r="B527" s="299"/>
      <c r="C527" s="241"/>
      <c r="D527" s="298"/>
      <c r="E527" s="300"/>
      <c r="F527" s="298"/>
      <c r="G527" s="241"/>
      <c r="H527" s="302"/>
      <c r="J527" s="241"/>
      <c r="M527" s="303"/>
      <c r="N527" s="281"/>
      <c r="O527" s="304"/>
      <c r="P527" s="305"/>
      <c r="Q527" s="306"/>
      <c r="R527" s="289" t="str">
        <f t="shared" si="10"/>
        <v/>
      </c>
      <c r="S527" s="241"/>
    </row>
    <row r="528" spans="1:19" ht="18" customHeight="1">
      <c r="A528" s="298"/>
      <c r="B528" s="299"/>
      <c r="C528" s="241"/>
      <c r="D528" s="298"/>
      <c r="E528" s="300"/>
      <c r="F528" s="298"/>
      <c r="G528" s="241"/>
      <c r="H528" s="302"/>
      <c r="J528" s="241"/>
      <c r="M528" s="303"/>
      <c r="N528" s="281"/>
      <c r="O528" s="304"/>
      <c r="P528" s="305"/>
      <c r="Q528" s="306"/>
      <c r="R528" s="289" t="str">
        <f t="shared" si="10"/>
        <v/>
      </c>
      <c r="S528" s="241"/>
    </row>
    <row r="529" spans="1:19" ht="18" customHeight="1">
      <c r="A529" s="298"/>
      <c r="B529" s="299"/>
      <c r="C529" s="241"/>
      <c r="D529" s="298"/>
      <c r="E529" s="300"/>
      <c r="F529" s="298"/>
      <c r="G529" s="241"/>
      <c r="H529" s="302"/>
      <c r="J529" s="241"/>
      <c r="M529" s="303"/>
      <c r="N529" s="281"/>
      <c r="O529" s="304"/>
      <c r="P529" s="305"/>
      <c r="Q529" s="306"/>
      <c r="R529" s="289" t="str">
        <f t="shared" si="10"/>
        <v/>
      </c>
      <c r="S529" s="241"/>
    </row>
    <row r="530" spans="1:19" ht="18" customHeight="1">
      <c r="A530" s="298"/>
      <c r="B530" s="299"/>
      <c r="C530" s="241"/>
      <c r="D530" s="298"/>
      <c r="E530" s="300"/>
      <c r="F530" s="298"/>
      <c r="G530" s="241"/>
      <c r="H530" s="302"/>
      <c r="J530" s="241"/>
      <c r="M530" s="303"/>
      <c r="N530" s="281"/>
      <c r="O530" s="304"/>
      <c r="P530" s="305"/>
      <c r="Q530" s="306"/>
      <c r="R530" s="289" t="str">
        <f t="shared" si="10"/>
        <v/>
      </c>
      <c r="S530" s="241"/>
    </row>
    <row r="531" spans="1:19" ht="18" customHeight="1">
      <c r="A531" s="298"/>
      <c r="B531" s="299"/>
      <c r="C531" s="241"/>
      <c r="D531" s="298"/>
      <c r="E531" s="300"/>
      <c r="F531" s="298"/>
      <c r="G531" s="241"/>
      <c r="H531" s="302"/>
      <c r="J531" s="241"/>
      <c r="M531" s="303"/>
      <c r="N531" s="281"/>
      <c r="O531" s="304"/>
      <c r="P531" s="305"/>
      <c r="Q531" s="306"/>
      <c r="R531" s="289" t="str">
        <f t="shared" si="10"/>
        <v/>
      </c>
      <c r="S531" s="241"/>
    </row>
    <row r="532" spans="1:19" ht="18" customHeight="1">
      <c r="A532" s="298"/>
      <c r="B532" s="299"/>
      <c r="C532" s="241"/>
      <c r="D532" s="298"/>
      <c r="E532" s="300"/>
      <c r="F532" s="298"/>
      <c r="G532" s="241"/>
      <c r="H532" s="302"/>
      <c r="J532" s="241"/>
      <c r="M532" s="303"/>
      <c r="N532" s="281"/>
      <c r="O532" s="304"/>
      <c r="P532" s="305"/>
      <c r="Q532" s="306"/>
      <c r="R532" s="289" t="str">
        <f t="shared" si="10"/>
        <v/>
      </c>
      <c r="S532" s="241"/>
    </row>
    <row r="533" spans="1:19" ht="18" customHeight="1">
      <c r="A533" s="298"/>
      <c r="B533" s="299"/>
      <c r="C533" s="241"/>
      <c r="D533" s="298"/>
      <c r="E533" s="300"/>
      <c r="F533" s="298"/>
      <c r="G533" s="241"/>
      <c r="H533" s="302"/>
      <c r="J533" s="241"/>
      <c r="M533" s="303"/>
      <c r="N533" s="281"/>
      <c r="O533" s="304"/>
      <c r="P533" s="305"/>
      <c r="Q533" s="306"/>
      <c r="R533" s="289" t="str">
        <f t="shared" si="10"/>
        <v/>
      </c>
      <c r="S533" s="241"/>
    </row>
    <row r="534" spans="1:19" ht="18" customHeight="1">
      <c r="A534" s="298"/>
      <c r="B534" s="299"/>
      <c r="C534" s="241"/>
      <c r="D534" s="298"/>
      <c r="E534" s="300"/>
      <c r="F534" s="298"/>
      <c r="G534" s="241"/>
      <c r="H534" s="302"/>
      <c r="J534" s="241"/>
      <c r="M534" s="303"/>
      <c r="N534" s="281"/>
      <c r="O534" s="304"/>
      <c r="P534" s="305"/>
      <c r="Q534" s="306"/>
      <c r="R534" s="289" t="str">
        <f t="shared" si="10"/>
        <v/>
      </c>
      <c r="S534" s="241"/>
    </row>
    <row r="535" spans="1:19" ht="18" customHeight="1">
      <c r="A535" s="298"/>
      <c r="B535" s="299"/>
      <c r="C535" s="241"/>
      <c r="D535" s="298"/>
      <c r="E535" s="300"/>
      <c r="F535" s="298"/>
      <c r="G535" s="241"/>
      <c r="H535" s="302"/>
      <c r="J535" s="241"/>
      <c r="M535" s="303"/>
      <c r="N535" s="281"/>
      <c r="O535" s="304"/>
      <c r="P535" s="305"/>
      <c r="Q535" s="306"/>
      <c r="R535" s="289" t="str">
        <f t="shared" si="10"/>
        <v/>
      </c>
      <c r="S535" s="241"/>
    </row>
    <row r="536" spans="1:19" ht="18" customHeight="1">
      <c r="A536" s="298"/>
      <c r="B536" s="299"/>
      <c r="C536" s="241"/>
      <c r="D536" s="298"/>
      <c r="E536" s="300"/>
      <c r="F536" s="298"/>
      <c r="G536" s="241"/>
      <c r="H536" s="302"/>
      <c r="J536" s="241"/>
      <c r="M536" s="303"/>
      <c r="N536" s="281"/>
      <c r="O536" s="304"/>
      <c r="P536" s="305"/>
      <c r="Q536" s="306"/>
      <c r="R536" s="289" t="str">
        <f t="shared" si="10"/>
        <v/>
      </c>
      <c r="S536" s="241"/>
    </row>
    <row r="537" spans="1:19" ht="18" customHeight="1">
      <c r="A537" s="298"/>
      <c r="B537" s="299"/>
      <c r="C537" s="241"/>
      <c r="D537" s="298"/>
      <c r="E537" s="300"/>
      <c r="F537" s="298"/>
      <c r="G537" s="241"/>
      <c r="H537" s="302"/>
      <c r="J537" s="241"/>
      <c r="M537" s="303"/>
      <c r="N537" s="281"/>
      <c r="O537" s="304"/>
      <c r="P537" s="305"/>
      <c r="Q537" s="306"/>
      <c r="R537" s="289" t="str">
        <f t="shared" si="10"/>
        <v/>
      </c>
      <c r="S537" s="241"/>
    </row>
    <row r="538" spans="1:19" ht="18" customHeight="1">
      <c r="A538" s="298"/>
      <c r="B538" s="299"/>
      <c r="C538" s="241"/>
      <c r="D538" s="298"/>
      <c r="E538" s="300"/>
      <c r="F538" s="298"/>
      <c r="G538" s="241"/>
      <c r="H538" s="302"/>
      <c r="J538" s="241"/>
      <c r="M538" s="303"/>
      <c r="N538" s="281"/>
      <c r="O538" s="304"/>
      <c r="P538" s="305"/>
      <c r="Q538" s="306"/>
      <c r="R538" s="289" t="str">
        <f t="shared" ref="R538:R601" si="11">IF(SUM(Q538)&gt;0,SUM(Q538-P538),"")</f>
        <v/>
      </c>
      <c r="S538" s="241"/>
    </row>
    <row r="539" spans="1:19" ht="18" customHeight="1">
      <c r="A539" s="298"/>
      <c r="B539" s="299"/>
      <c r="C539" s="241"/>
      <c r="D539" s="298"/>
      <c r="E539" s="300"/>
      <c r="F539" s="298"/>
      <c r="G539" s="241"/>
      <c r="H539" s="302"/>
      <c r="J539" s="241"/>
      <c r="M539" s="303"/>
      <c r="N539" s="281"/>
      <c r="O539" s="304"/>
      <c r="P539" s="305"/>
      <c r="Q539" s="306"/>
      <c r="R539" s="289" t="str">
        <f t="shared" si="11"/>
        <v/>
      </c>
      <c r="S539" s="241"/>
    </row>
    <row r="540" spans="1:19" ht="18" customHeight="1">
      <c r="A540" s="298"/>
      <c r="B540" s="299"/>
      <c r="C540" s="241"/>
      <c r="D540" s="298"/>
      <c r="E540" s="300"/>
      <c r="F540" s="298"/>
      <c r="G540" s="241"/>
      <c r="H540" s="302"/>
      <c r="J540" s="241"/>
      <c r="M540" s="303"/>
      <c r="N540" s="281"/>
      <c r="O540" s="304"/>
      <c r="P540" s="305"/>
      <c r="Q540" s="306"/>
      <c r="R540" s="289" t="str">
        <f t="shared" si="11"/>
        <v/>
      </c>
      <c r="S540" s="241"/>
    </row>
    <row r="541" spans="1:19" ht="18" customHeight="1">
      <c r="A541" s="298"/>
      <c r="B541" s="299"/>
      <c r="C541" s="241"/>
      <c r="D541" s="298"/>
      <c r="E541" s="300"/>
      <c r="F541" s="298"/>
      <c r="G541" s="241"/>
      <c r="H541" s="302"/>
      <c r="J541" s="241"/>
      <c r="M541" s="303"/>
      <c r="N541" s="281"/>
      <c r="O541" s="304"/>
      <c r="P541" s="305"/>
      <c r="Q541" s="306"/>
      <c r="R541" s="289" t="str">
        <f t="shared" si="11"/>
        <v/>
      </c>
      <c r="S541" s="241"/>
    </row>
    <row r="542" spans="1:19" ht="18" customHeight="1">
      <c r="A542" s="298"/>
      <c r="B542" s="299"/>
      <c r="C542" s="241"/>
      <c r="D542" s="298"/>
      <c r="E542" s="300"/>
      <c r="F542" s="298"/>
      <c r="G542" s="241"/>
      <c r="H542" s="302"/>
      <c r="J542" s="241"/>
      <c r="M542" s="303"/>
      <c r="N542" s="281"/>
      <c r="O542" s="304"/>
      <c r="P542" s="305"/>
      <c r="Q542" s="306"/>
      <c r="R542" s="289" t="str">
        <f t="shared" si="11"/>
        <v/>
      </c>
      <c r="S542" s="241"/>
    </row>
    <row r="543" spans="1:19" ht="18" customHeight="1">
      <c r="A543" s="298"/>
      <c r="B543" s="299"/>
      <c r="C543" s="241"/>
      <c r="D543" s="298"/>
      <c r="E543" s="300"/>
      <c r="F543" s="298"/>
      <c r="G543" s="241"/>
      <c r="H543" s="302"/>
      <c r="J543" s="241"/>
      <c r="M543" s="303"/>
      <c r="N543" s="281"/>
      <c r="O543" s="304"/>
      <c r="P543" s="305"/>
      <c r="Q543" s="306"/>
      <c r="R543" s="289" t="str">
        <f t="shared" si="11"/>
        <v/>
      </c>
      <c r="S543" s="241"/>
    </row>
    <row r="544" spans="1:19" ht="18" customHeight="1">
      <c r="A544" s="298"/>
      <c r="B544" s="299"/>
      <c r="C544" s="241"/>
      <c r="D544" s="298"/>
      <c r="E544" s="300"/>
      <c r="F544" s="298"/>
      <c r="G544" s="241"/>
      <c r="H544" s="302"/>
      <c r="J544" s="241"/>
      <c r="M544" s="303"/>
      <c r="N544" s="281"/>
      <c r="O544" s="304"/>
      <c r="P544" s="305"/>
      <c r="Q544" s="306"/>
      <c r="R544" s="289" t="str">
        <f t="shared" si="11"/>
        <v/>
      </c>
      <c r="S544" s="241"/>
    </row>
    <row r="545" spans="1:19" ht="18" customHeight="1">
      <c r="A545" s="298"/>
      <c r="B545" s="299"/>
      <c r="C545" s="241"/>
      <c r="D545" s="298"/>
      <c r="E545" s="300"/>
      <c r="F545" s="298"/>
      <c r="G545" s="241"/>
      <c r="H545" s="302"/>
      <c r="J545" s="241"/>
      <c r="M545" s="303"/>
      <c r="N545" s="281"/>
      <c r="O545" s="304"/>
      <c r="P545" s="305"/>
      <c r="Q545" s="306"/>
      <c r="R545" s="289" t="str">
        <f t="shared" si="11"/>
        <v/>
      </c>
      <c r="S545" s="241"/>
    </row>
    <row r="546" spans="1:19" ht="18" customHeight="1">
      <c r="A546" s="298"/>
      <c r="B546" s="299"/>
      <c r="C546" s="241"/>
      <c r="D546" s="298"/>
      <c r="E546" s="300"/>
      <c r="F546" s="298"/>
      <c r="G546" s="241"/>
      <c r="H546" s="302"/>
      <c r="J546" s="241"/>
      <c r="M546" s="303"/>
      <c r="N546" s="281"/>
      <c r="O546" s="304"/>
      <c r="P546" s="305"/>
      <c r="Q546" s="306"/>
      <c r="R546" s="289" t="str">
        <f t="shared" si="11"/>
        <v/>
      </c>
      <c r="S546" s="241"/>
    </row>
    <row r="547" spans="1:19" ht="18" customHeight="1">
      <c r="A547" s="298"/>
      <c r="B547" s="299"/>
      <c r="C547" s="241"/>
      <c r="D547" s="298"/>
      <c r="E547" s="300"/>
      <c r="F547" s="298"/>
      <c r="G547" s="241"/>
      <c r="H547" s="302"/>
      <c r="J547" s="241"/>
      <c r="M547" s="303"/>
      <c r="N547" s="281"/>
      <c r="O547" s="304"/>
      <c r="P547" s="305"/>
      <c r="Q547" s="306"/>
      <c r="R547" s="289" t="str">
        <f t="shared" si="11"/>
        <v/>
      </c>
      <c r="S547" s="241"/>
    </row>
    <row r="548" spans="1:19" ht="18" customHeight="1">
      <c r="A548" s="298"/>
      <c r="B548" s="299"/>
      <c r="C548" s="241"/>
      <c r="D548" s="298"/>
      <c r="E548" s="300"/>
      <c r="F548" s="298"/>
      <c r="G548" s="241"/>
      <c r="H548" s="302"/>
      <c r="J548" s="241"/>
      <c r="M548" s="303"/>
      <c r="N548" s="281"/>
      <c r="O548" s="304"/>
      <c r="P548" s="305"/>
      <c r="Q548" s="306"/>
      <c r="R548" s="289" t="str">
        <f t="shared" si="11"/>
        <v/>
      </c>
      <c r="S548" s="241"/>
    </row>
    <row r="549" spans="1:19" ht="18" customHeight="1">
      <c r="A549" s="298"/>
      <c r="B549" s="299"/>
      <c r="C549" s="241"/>
      <c r="D549" s="298"/>
      <c r="E549" s="300"/>
      <c r="F549" s="298"/>
      <c r="G549" s="241"/>
      <c r="H549" s="302"/>
      <c r="J549" s="241"/>
      <c r="M549" s="303"/>
      <c r="N549" s="281"/>
      <c r="O549" s="304"/>
      <c r="P549" s="305"/>
      <c r="Q549" s="306"/>
      <c r="R549" s="289" t="str">
        <f t="shared" si="11"/>
        <v/>
      </c>
      <c r="S549" s="241"/>
    </row>
    <row r="550" spans="1:19" ht="18" customHeight="1">
      <c r="A550" s="298"/>
      <c r="B550" s="299"/>
      <c r="C550" s="241"/>
      <c r="D550" s="298"/>
      <c r="E550" s="300"/>
      <c r="F550" s="298"/>
      <c r="G550" s="241"/>
      <c r="H550" s="302"/>
      <c r="J550" s="241"/>
      <c r="M550" s="303"/>
      <c r="N550" s="281"/>
      <c r="O550" s="304"/>
      <c r="P550" s="305"/>
      <c r="Q550" s="306"/>
      <c r="R550" s="289" t="str">
        <f t="shared" si="11"/>
        <v/>
      </c>
      <c r="S550" s="241"/>
    </row>
    <row r="551" spans="1:19" ht="18" customHeight="1">
      <c r="A551" s="298"/>
      <c r="B551" s="299"/>
      <c r="C551" s="241"/>
      <c r="D551" s="298"/>
      <c r="E551" s="300"/>
      <c r="F551" s="298"/>
      <c r="G551" s="241"/>
      <c r="H551" s="302"/>
      <c r="J551" s="241"/>
      <c r="M551" s="303"/>
      <c r="N551" s="281"/>
      <c r="O551" s="304"/>
      <c r="P551" s="305"/>
      <c r="Q551" s="306"/>
      <c r="R551" s="289" t="str">
        <f t="shared" si="11"/>
        <v/>
      </c>
      <c r="S551" s="241"/>
    </row>
    <row r="552" spans="1:19" ht="18" customHeight="1">
      <c r="A552" s="298"/>
      <c r="B552" s="299"/>
      <c r="C552" s="241"/>
      <c r="D552" s="298"/>
      <c r="E552" s="300"/>
      <c r="F552" s="298"/>
      <c r="G552" s="241"/>
      <c r="H552" s="302"/>
      <c r="J552" s="241"/>
      <c r="M552" s="303"/>
      <c r="N552" s="281"/>
      <c r="O552" s="304"/>
      <c r="P552" s="305"/>
      <c r="Q552" s="306"/>
      <c r="R552" s="289" t="str">
        <f t="shared" si="11"/>
        <v/>
      </c>
      <c r="S552" s="241"/>
    </row>
    <row r="553" spans="1:19" ht="18" customHeight="1">
      <c r="A553" s="298"/>
      <c r="B553" s="299"/>
      <c r="C553" s="241"/>
      <c r="D553" s="298"/>
      <c r="E553" s="300"/>
      <c r="F553" s="298"/>
      <c r="G553" s="241"/>
      <c r="H553" s="302"/>
      <c r="J553" s="241"/>
      <c r="M553" s="303"/>
      <c r="N553" s="281"/>
      <c r="O553" s="304"/>
      <c r="P553" s="305"/>
      <c r="Q553" s="306"/>
      <c r="R553" s="289" t="str">
        <f t="shared" si="11"/>
        <v/>
      </c>
      <c r="S553" s="241"/>
    </row>
    <row r="554" spans="1:19" ht="18" customHeight="1">
      <c r="A554" s="298"/>
      <c r="B554" s="299"/>
      <c r="C554" s="241"/>
      <c r="D554" s="298"/>
      <c r="E554" s="300"/>
      <c r="F554" s="298"/>
      <c r="G554" s="241"/>
      <c r="H554" s="302"/>
      <c r="J554" s="241"/>
      <c r="M554" s="303"/>
      <c r="N554" s="281"/>
      <c r="O554" s="304"/>
      <c r="P554" s="305"/>
      <c r="Q554" s="306"/>
      <c r="R554" s="289" t="str">
        <f t="shared" si="11"/>
        <v/>
      </c>
      <c r="S554" s="241"/>
    </row>
    <row r="555" spans="1:19" ht="18" customHeight="1">
      <c r="A555" s="298"/>
      <c r="B555" s="299"/>
      <c r="C555" s="241"/>
      <c r="D555" s="298"/>
      <c r="E555" s="300"/>
      <c r="F555" s="298"/>
      <c r="G555" s="241"/>
      <c r="H555" s="302"/>
      <c r="J555" s="241"/>
      <c r="M555" s="303"/>
      <c r="N555" s="281"/>
      <c r="O555" s="304"/>
      <c r="P555" s="305"/>
      <c r="Q555" s="306"/>
      <c r="R555" s="289" t="str">
        <f t="shared" si="11"/>
        <v/>
      </c>
      <c r="S555" s="241"/>
    </row>
    <row r="556" spans="1:19" ht="18" customHeight="1">
      <c r="A556" s="298"/>
      <c r="B556" s="299"/>
      <c r="C556" s="241"/>
      <c r="D556" s="298"/>
      <c r="E556" s="300"/>
      <c r="F556" s="298"/>
      <c r="G556" s="241"/>
      <c r="H556" s="302"/>
      <c r="J556" s="241"/>
      <c r="M556" s="303"/>
      <c r="N556" s="281"/>
      <c r="O556" s="304"/>
      <c r="P556" s="305"/>
      <c r="Q556" s="306"/>
      <c r="R556" s="289" t="str">
        <f t="shared" si="11"/>
        <v/>
      </c>
      <c r="S556" s="241"/>
    </row>
    <row r="557" spans="1:19" ht="18" customHeight="1">
      <c r="A557" s="298"/>
      <c r="B557" s="299"/>
      <c r="C557" s="241"/>
      <c r="D557" s="298"/>
      <c r="E557" s="300"/>
      <c r="F557" s="298"/>
      <c r="G557" s="241"/>
      <c r="H557" s="302"/>
      <c r="J557" s="241"/>
      <c r="M557" s="303"/>
      <c r="N557" s="281"/>
      <c r="O557" s="304"/>
      <c r="P557" s="305"/>
      <c r="Q557" s="306"/>
      <c r="R557" s="289" t="str">
        <f t="shared" si="11"/>
        <v/>
      </c>
      <c r="S557" s="241"/>
    </row>
    <row r="558" spans="1:19" ht="18" customHeight="1">
      <c r="A558" s="298"/>
      <c r="B558" s="299"/>
      <c r="C558" s="241"/>
      <c r="D558" s="298"/>
      <c r="E558" s="300"/>
      <c r="F558" s="298"/>
      <c r="G558" s="241"/>
      <c r="H558" s="302"/>
      <c r="J558" s="241"/>
      <c r="M558" s="303"/>
      <c r="N558" s="281"/>
      <c r="O558" s="304"/>
      <c r="P558" s="305"/>
      <c r="Q558" s="306"/>
      <c r="R558" s="289" t="str">
        <f t="shared" si="11"/>
        <v/>
      </c>
      <c r="S558" s="241"/>
    </row>
    <row r="559" spans="1:19" ht="18" customHeight="1">
      <c r="A559" s="298"/>
      <c r="B559" s="299"/>
      <c r="C559" s="241"/>
      <c r="D559" s="298"/>
      <c r="E559" s="300"/>
      <c r="F559" s="298"/>
      <c r="G559" s="241"/>
      <c r="H559" s="302"/>
      <c r="J559" s="241"/>
      <c r="M559" s="303"/>
      <c r="N559" s="281"/>
      <c r="O559" s="304"/>
      <c r="P559" s="305"/>
      <c r="Q559" s="306"/>
      <c r="R559" s="289" t="str">
        <f t="shared" si="11"/>
        <v/>
      </c>
      <c r="S559" s="241"/>
    </row>
    <row r="560" spans="1:19" ht="18" customHeight="1">
      <c r="A560" s="298"/>
      <c r="B560" s="299"/>
      <c r="C560" s="241"/>
      <c r="D560" s="298"/>
      <c r="E560" s="300"/>
      <c r="F560" s="298"/>
      <c r="G560" s="241"/>
      <c r="H560" s="302"/>
      <c r="J560" s="241"/>
      <c r="M560" s="303"/>
      <c r="N560" s="281"/>
      <c r="O560" s="304"/>
      <c r="P560" s="305"/>
      <c r="Q560" s="306"/>
      <c r="R560" s="289" t="str">
        <f t="shared" si="11"/>
        <v/>
      </c>
      <c r="S560" s="241"/>
    </row>
    <row r="561" spans="1:19" ht="18" customHeight="1">
      <c r="A561" s="298"/>
      <c r="B561" s="299"/>
      <c r="C561" s="241"/>
      <c r="D561" s="298"/>
      <c r="E561" s="300"/>
      <c r="F561" s="298"/>
      <c r="G561" s="241"/>
      <c r="H561" s="302"/>
      <c r="J561" s="241"/>
      <c r="M561" s="303"/>
      <c r="N561" s="281"/>
      <c r="O561" s="304"/>
      <c r="P561" s="305"/>
      <c r="Q561" s="306"/>
      <c r="R561" s="289" t="str">
        <f t="shared" si="11"/>
        <v/>
      </c>
      <c r="S561" s="241"/>
    </row>
    <row r="562" spans="1:19" ht="18" customHeight="1">
      <c r="A562" s="298"/>
      <c r="B562" s="299"/>
      <c r="C562" s="241"/>
      <c r="D562" s="298"/>
      <c r="E562" s="300"/>
      <c r="F562" s="298"/>
      <c r="G562" s="241"/>
      <c r="H562" s="302"/>
      <c r="J562" s="241"/>
      <c r="M562" s="303"/>
      <c r="N562" s="281"/>
      <c r="O562" s="304"/>
      <c r="P562" s="305"/>
      <c r="Q562" s="306"/>
      <c r="R562" s="289" t="str">
        <f t="shared" si="11"/>
        <v/>
      </c>
      <c r="S562" s="241"/>
    </row>
    <row r="563" spans="1:19" ht="18" customHeight="1">
      <c r="A563" s="298"/>
      <c r="B563" s="299"/>
      <c r="C563" s="241"/>
      <c r="D563" s="298"/>
      <c r="E563" s="300"/>
      <c r="F563" s="298"/>
      <c r="G563" s="241"/>
      <c r="H563" s="302"/>
      <c r="J563" s="241"/>
      <c r="M563" s="303"/>
      <c r="N563" s="281"/>
      <c r="O563" s="304"/>
      <c r="P563" s="305"/>
      <c r="Q563" s="306"/>
      <c r="R563" s="289" t="str">
        <f t="shared" si="11"/>
        <v/>
      </c>
      <c r="S563" s="241"/>
    </row>
    <row r="564" spans="1:19" ht="18" customHeight="1">
      <c r="A564" s="298"/>
      <c r="B564" s="299"/>
      <c r="C564" s="241"/>
      <c r="D564" s="298"/>
      <c r="E564" s="300"/>
      <c r="F564" s="298"/>
      <c r="G564" s="241"/>
      <c r="H564" s="302"/>
      <c r="J564" s="241"/>
      <c r="M564" s="303"/>
      <c r="N564" s="281"/>
      <c r="O564" s="304"/>
      <c r="P564" s="305"/>
      <c r="Q564" s="306"/>
      <c r="R564" s="289" t="str">
        <f t="shared" si="11"/>
        <v/>
      </c>
      <c r="S564" s="241"/>
    </row>
    <row r="565" spans="1:19" ht="18" customHeight="1">
      <c r="A565" s="298"/>
      <c r="B565" s="299"/>
      <c r="C565" s="241"/>
      <c r="D565" s="298"/>
      <c r="E565" s="300"/>
      <c r="F565" s="298"/>
      <c r="G565" s="241"/>
      <c r="H565" s="302"/>
      <c r="J565" s="241"/>
      <c r="M565" s="303"/>
      <c r="N565" s="281"/>
      <c r="O565" s="304"/>
      <c r="P565" s="305"/>
      <c r="Q565" s="306"/>
      <c r="R565" s="289" t="str">
        <f t="shared" si="11"/>
        <v/>
      </c>
      <c r="S565" s="241"/>
    </row>
    <row r="566" spans="1:19" ht="18" customHeight="1">
      <c r="A566" s="298"/>
      <c r="B566" s="299"/>
      <c r="C566" s="241"/>
      <c r="D566" s="298"/>
      <c r="E566" s="300"/>
      <c r="F566" s="298"/>
      <c r="G566" s="241"/>
      <c r="H566" s="302"/>
      <c r="J566" s="241"/>
      <c r="M566" s="303"/>
      <c r="N566" s="281"/>
      <c r="O566" s="304"/>
      <c r="P566" s="305"/>
      <c r="Q566" s="306"/>
      <c r="R566" s="289" t="str">
        <f t="shared" si="11"/>
        <v/>
      </c>
      <c r="S566" s="241"/>
    </row>
    <row r="567" spans="1:19" ht="18" customHeight="1">
      <c r="A567" s="298"/>
      <c r="B567" s="299"/>
      <c r="C567" s="241"/>
      <c r="D567" s="298"/>
      <c r="E567" s="300"/>
      <c r="F567" s="298"/>
      <c r="G567" s="241"/>
      <c r="H567" s="302"/>
      <c r="J567" s="241"/>
      <c r="M567" s="303"/>
      <c r="N567" s="281"/>
      <c r="O567" s="304"/>
      <c r="P567" s="305"/>
      <c r="Q567" s="306"/>
      <c r="R567" s="289" t="str">
        <f t="shared" si="11"/>
        <v/>
      </c>
      <c r="S567" s="241"/>
    </row>
    <row r="568" spans="1:19" ht="18" customHeight="1">
      <c r="A568" s="298"/>
      <c r="B568" s="299"/>
      <c r="C568" s="241"/>
      <c r="D568" s="298"/>
      <c r="E568" s="300"/>
      <c r="F568" s="298"/>
      <c r="G568" s="241"/>
      <c r="H568" s="302"/>
      <c r="J568" s="241"/>
      <c r="M568" s="303"/>
      <c r="N568" s="281"/>
      <c r="O568" s="304"/>
      <c r="P568" s="305"/>
      <c r="Q568" s="306"/>
      <c r="R568" s="289" t="str">
        <f t="shared" si="11"/>
        <v/>
      </c>
      <c r="S568" s="241"/>
    </row>
    <row r="569" spans="1:19" ht="18" customHeight="1">
      <c r="A569" s="298"/>
      <c r="B569" s="299"/>
      <c r="C569" s="241"/>
      <c r="D569" s="298"/>
      <c r="E569" s="300"/>
      <c r="F569" s="298"/>
      <c r="G569" s="241"/>
      <c r="H569" s="302"/>
      <c r="J569" s="241"/>
      <c r="M569" s="303"/>
      <c r="N569" s="281"/>
      <c r="O569" s="304"/>
      <c r="P569" s="305"/>
      <c r="Q569" s="306"/>
      <c r="R569" s="289" t="str">
        <f t="shared" si="11"/>
        <v/>
      </c>
      <c r="S569" s="241"/>
    </row>
    <row r="570" spans="1:19" ht="18" customHeight="1">
      <c r="A570" s="298"/>
      <c r="B570" s="299"/>
      <c r="C570" s="241"/>
      <c r="D570" s="298"/>
      <c r="E570" s="300"/>
      <c r="F570" s="298"/>
      <c r="G570" s="241"/>
      <c r="H570" s="302"/>
      <c r="J570" s="241"/>
      <c r="M570" s="303"/>
      <c r="N570" s="281"/>
      <c r="O570" s="304"/>
      <c r="P570" s="305"/>
      <c r="Q570" s="306"/>
      <c r="R570" s="289" t="str">
        <f t="shared" si="11"/>
        <v/>
      </c>
      <c r="S570" s="241"/>
    </row>
    <row r="571" spans="1:19" ht="18" customHeight="1">
      <c r="A571" s="298"/>
      <c r="B571" s="299"/>
      <c r="C571" s="241"/>
      <c r="D571" s="298"/>
      <c r="E571" s="300"/>
      <c r="F571" s="298"/>
      <c r="G571" s="241"/>
      <c r="H571" s="302"/>
      <c r="J571" s="241"/>
      <c r="M571" s="303"/>
      <c r="N571" s="281"/>
      <c r="O571" s="304"/>
      <c r="P571" s="305"/>
      <c r="Q571" s="306"/>
      <c r="R571" s="289" t="str">
        <f t="shared" si="11"/>
        <v/>
      </c>
      <c r="S571" s="241"/>
    </row>
    <row r="572" spans="1:19" ht="18" customHeight="1">
      <c r="A572" s="298"/>
      <c r="B572" s="299"/>
      <c r="C572" s="241"/>
      <c r="D572" s="298"/>
      <c r="E572" s="300"/>
      <c r="F572" s="298"/>
      <c r="G572" s="241"/>
      <c r="H572" s="302"/>
      <c r="J572" s="241"/>
      <c r="M572" s="303"/>
      <c r="N572" s="281"/>
      <c r="O572" s="304"/>
      <c r="P572" s="305"/>
      <c r="Q572" s="306"/>
      <c r="R572" s="289" t="str">
        <f t="shared" si="11"/>
        <v/>
      </c>
      <c r="S572" s="241"/>
    </row>
    <row r="573" spans="1:19" ht="18" customHeight="1">
      <c r="A573" s="298"/>
      <c r="B573" s="299"/>
      <c r="C573" s="241"/>
      <c r="D573" s="298"/>
      <c r="E573" s="300"/>
      <c r="F573" s="298"/>
      <c r="G573" s="241"/>
      <c r="H573" s="302"/>
      <c r="J573" s="241"/>
      <c r="M573" s="303"/>
      <c r="N573" s="281"/>
      <c r="O573" s="304"/>
      <c r="P573" s="305"/>
      <c r="Q573" s="306"/>
      <c r="R573" s="289" t="str">
        <f t="shared" si="11"/>
        <v/>
      </c>
      <c r="S573" s="241"/>
    </row>
    <row r="574" spans="1:19" ht="18" customHeight="1">
      <c r="A574" s="298"/>
      <c r="B574" s="299"/>
      <c r="C574" s="241"/>
      <c r="D574" s="298"/>
      <c r="E574" s="300"/>
      <c r="F574" s="298"/>
      <c r="G574" s="241"/>
      <c r="H574" s="302"/>
      <c r="J574" s="241"/>
      <c r="M574" s="303"/>
      <c r="N574" s="281"/>
      <c r="O574" s="304"/>
      <c r="P574" s="305"/>
      <c r="Q574" s="306"/>
      <c r="R574" s="289" t="str">
        <f t="shared" si="11"/>
        <v/>
      </c>
      <c r="S574" s="241"/>
    </row>
    <row r="575" spans="1:19" ht="18" customHeight="1">
      <c r="A575" s="298"/>
      <c r="B575" s="299"/>
      <c r="C575" s="241"/>
      <c r="D575" s="298"/>
      <c r="E575" s="300"/>
      <c r="F575" s="298"/>
      <c r="G575" s="241"/>
      <c r="H575" s="302"/>
      <c r="J575" s="241"/>
      <c r="M575" s="303"/>
      <c r="N575" s="281"/>
      <c r="O575" s="304"/>
      <c r="P575" s="305"/>
      <c r="Q575" s="306"/>
      <c r="R575" s="289" t="str">
        <f t="shared" si="11"/>
        <v/>
      </c>
      <c r="S575" s="241"/>
    </row>
    <row r="576" spans="1:19" ht="18" customHeight="1">
      <c r="A576" s="298"/>
      <c r="B576" s="299"/>
      <c r="C576" s="241"/>
      <c r="D576" s="298"/>
      <c r="E576" s="300"/>
      <c r="F576" s="298"/>
      <c r="G576" s="241"/>
      <c r="H576" s="302"/>
      <c r="J576" s="241"/>
      <c r="M576" s="303"/>
      <c r="N576" s="281"/>
      <c r="O576" s="304"/>
      <c r="P576" s="305"/>
      <c r="Q576" s="306"/>
      <c r="R576" s="289" t="str">
        <f t="shared" si="11"/>
        <v/>
      </c>
      <c r="S576" s="241"/>
    </row>
    <row r="577" spans="1:19" ht="18" customHeight="1">
      <c r="A577" s="298"/>
      <c r="B577" s="299"/>
      <c r="C577" s="241"/>
      <c r="D577" s="298"/>
      <c r="E577" s="300"/>
      <c r="F577" s="298"/>
      <c r="G577" s="241"/>
      <c r="H577" s="302"/>
      <c r="J577" s="241"/>
      <c r="M577" s="303"/>
      <c r="N577" s="281"/>
      <c r="O577" s="304"/>
      <c r="P577" s="305"/>
      <c r="Q577" s="306"/>
      <c r="R577" s="289" t="str">
        <f t="shared" si="11"/>
        <v/>
      </c>
      <c r="S577" s="241"/>
    </row>
    <row r="578" spans="1:19" ht="18" customHeight="1">
      <c r="A578" s="298"/>
      <c r="B578" s="299"/>
      <c r="C578" s="241"/>
      <c r="D578" s="298"/>
      <c r="E578" s="300"/>
      <c r="F578" s="298"/>
      <c r="G578" s="241"/>
      <c r="H578" s="302"/>
      <c r="J578" s="241"/>
      <c r="M578" s="303"/>
      <c r="N578" s="281"/>
      <c r="O578" s="304"/>
      <c r="P578" s="305"/>
      <c r="Q578" s="306"/>
      <c r="R578" s="289" t="str">
        <f t="shared" si="11"/>
        <v/>
      </c>
      <c r="S578" s="241"/>
    </row>
    <row r="579" spans="1:19" ht="18" customHeight="1">
      <c r="A579" s="298"/>
      <c r="B579" s="299"/>
      <c r="C579" s="241"/>
      <c r="D579" s="298"/>
      <c r="E579" s="300"/>
      <c r="F579" s="298"/>
      <c r="G579" s="241"/>
      <c r="H579" s="302"/>
      <c r="J579" s="241"/>
      <c r="M579" s="303"/>
      <c r="N579" s="281"/>
      <c r="O579" s="304"/>
      <c r="P579" s="305"/>
      <c r="Q579" s="306"/>
      <c r="R579" s="289" t="str">
        <f t="shared" si="11"/>
        <v/>
      </c>
      <c r="S579" s="241"/>
    </row>
    <row r="580" spans="1:19" ht="18" customHeight="1">
      <c r="A580" s="298"/>
      <c r="B580" s="299"/>
      <c r="C580" s="241"/>
      <c r="D580" s="298"/>
      <c r="E580" s="300"/>
      <c r="F580" s="298"/>
      <c r="G580" s="241"/>
      <c r="H580" s="302"/>
      <c r="J580" s="241"/>
      <c r="M580" s="303"/>
      <c r="N580" s="281"/>
      <c r="O580" s="304"/>
      <c r="P580" s="305"/>
      <c r="Q580" s="306"/>
      <c r="R580" s="289" t="str">
        <f t="shared" si="11"/>
        <v/>
      </c>
      <c r="S580" s="241"/>
    </row>
    <row r="581" spans="1:19" ht="18" customHeight="1">
      <c r="A581" s="298"/>
      <c r="B581" s="299"/>
      <c r="C581" s="241"/>
      <c r="D581" s="298"/>
      <c r="E581" s="300"/>
      <c r="F581" s="298"/>
      <c r="G581" s="241"/>
      <c r="H581" s="302"/>
      <c r="J581" s="241"/>
      <c r="M581" s="303"/>
      <c r="N581" s="281"/>
      <c r="O581" s="304"/>
      <c r="P581" s="305"/>
      <c r="Q581" s="306"/>
      <c r="R581" s="289" t="str">
        <f t="shared" si="11"/>
        <v/>
      </c>
      <c r="S581" s="241"/>
    </row>
    <row r="582" spans="1:19" ht="18" customHeight="1">
      <c r="A582" s="298"/>
      <c r="B582" s="299"/>
      <c r="C582" s="241"/>
      <c r="D582" s="298"/>
      <c r="E582" s="300"/>
      <c r="F582" s="298"/>
      <c r="G582" s="241"/>
      <c r="H582" s="302"/>
      <c r="J582" s="241"/>
      <c r="M582" s="303"/>
      <c r="N582" s="281"/>
      <c r="O582" s="304"/>
      <c r="P582" s="305"/>
      <c r="Q582" s="306"/>
      <c r="R582" s="289" t="str">
        <f t="shared" si="11"/>
        <v/>
      </c>
      <c r="S582" s="241"/>
    </row>
    <row r="583" spans="1:19" ht="18" customHeight="1">
      <c r="A583" s="298"/>
      <c r="B583" s="299"/>
      <c r="C583" s="241"/>
      <c r="D583" s="298"/>
      <c r="E583" s="300"/>
      <c r="F583" s="298"/>
      <c r="G583" s="241"/>
      <c r="H583" s="302"/>
      <c r="J583" s="241"/>
      <c r="M583" s="303"/>
      <c r="N583" s="281"/>
      <c r="O583" s="304"/>
      <c r="P583" s="305"/>
      <c r="Q583" s="306"/>
      <c r="R583" s="289" t="str">
        <f t="shared" si="11"/>
        <v/>
      </c>
      <c r="S583" s="241"/>
    </row>
    <row r="584" spans="1:19" ht="18" customHeight="1">
      <c r="A584" s="298"/>
      <c r="B584" s="299"/>
      <c r="C584" s="241"/>
      <c r="D584" s="298"/>
      <c r="E584" s="300"/>
      <c r="F584" s="298"/>
      <c r="G584" s="241"/>
      <c r="H584" s="302"/>
      <c r="J584" s="241"/>
      <c r="M584" s="303"/>
      <c r="N584" s="281"/>
      <c r="O584" s="304"/>
      <c r="P584" s="305"/>
      <c r="Q584" s="306"/>
      <c r="R584" s="289" t="str">
        <f t="shared" si="11"/>
        <v/>
      </c>
      <c r="S584" s="241"/>
    </row>
    <row r="585" spans="1:19" ht="18" customHeight="1">
      <c r="A585" s="298"/>
      <c r="B585" s="299"/>
      <c r="C585" s="241"/>
      <c r="D585" s="298"/>
      <c r="E585" s="300"/>
      <c r="F585" s="298"/>
      <c r="G585" s="241"/>
      <c r="H585" s="302"/>
      <c r="J585" s="241"/>
      <c r="M585" s="303"/>
      <c r="N585" s="281"/>
      <c r="O585" s="304"/>
      <c r="P585" s="305"/>
      <c r="Q585" s="306"/>
      <c r="R585" s="289" t="str">
        <f t="shared" si="11"/>
        <v/>
      </c>
      <c r="S585" s="241"/>
    </row>
    <row r="586" spans="1:19" ht="18" customHeight="1">
      <c r="A586" s="298"/>
      <c r="B586" s="299"/>
      <c r="C586" s="241"/>
      <c r="D586" s="298"/>
      <c r="E586" s="300"/>
      <c r="F586" s="298"/>
      <c r="G586" s="241"/>
      <c r="H586" s="302"/>
      <c r="J586" s="241"/>
      <c r="M586" s="303"/>
      <c r="N586" s="281"/>
      <c r="O586" s="304"/>
      <c r="P586" s="305"/>
      <c r="Q586" s="306"/>
      <c r="R586" s="289" t="str">
        <f t="shared" si="11"/>
        <v/>
      </c>
      <c r="S586" s="241"/>
    </row>
    <row r="587" spans="1:19" ht="18" customHeight="1">
      <c r="A587" s="298"/>
      <c r="B587" s="299"/>
      <c r="C587" s="241"/>
      <c r="D587" s="298"/>
      <c r="E587" s="300"/>
      <c r="F587" s="298"/>
      <c r="G587" s="241"/>
      <c r="H587" s="302"/>
      <c r="J587" s="241"/>
      <c r="M587" s="303"/>
      <c r="N587" s="281"/>
      <c r="O587" s="304"/>
      <c r="P587" s="305"/>
      <c r="Q587" s="306"/>
      <c r="R587" s="289" t="str">
        <f t="shared" si="11"/>
        <v/>
      </c>
      <c r="S587" s="241"/>
    </row>
    <row r="588" spans="1:19" ht="18" customHeight="1">
      <c r="A588" s="298"/>
      <c r="B588" s="299"/>
      <c r="C588" s="241"/>
      <c r="D588" s="298"/>
      <c r="E588" s="300"/>
      <c r="F588" s="298"/>
      <c r="G588" s="241"/>
      <c r="H588" s="302"/>
      <c r="J588" s="241"/>
      <c r="M588" s="303"/>
      <c r="N588" s="281"/>
      <c r="O588" s="304"/>
      <c r="P588" s="305"/>
      <c r="Q588" s="306"/>
      <c r="R588" s="289" t="str">
        <f t="shared" si="11"/>
        <v/>
      </c>
      <c r="S588" s="241"/>
    </row>
    <row r="589" spans="1:19" ht="18" customHeight="1">
      <c r="A589" s="298"/>
      <c r="B589" s="299"/>
      <c r="C589" s="241"/>
      <c r="D589" s="298"/>
      <c r="E589" s="300"/>
      <c r="F589" s="298"/>
      <c r="G589" s="241"/>
      <c r="H589" s="302"/>
      <c r="J589" s="241"/>
      <c r="M589" s="303"/>
      <c r="N589" s="281"/>
      <c r="O589" s="304"/>
      <c r="P589" s="305"/>
      <c r="Q589" s="306"/>
      <c r="R589" s="289" t="str">
        <f t="shared" si="11"/>
        <v/>
      </c>
      <c r="S589" s="241"/>
    </row>
    <row r="590" spans="1:19" ht="18" customHeight="1">
      <c r="A590" s="298"/>
      <c r="B590" s="299"/>
      <c r="C590" s="241"/>
      <c r="D590" s="298"/>
      <c r="E590" s="300"/>
      <c r="F590" s="298"/>
      <c r="G590" s="241"/>
      <c r="H590" s="302"/>
      <c r="J590" s="241"/>
      <c r="M590" s="303"/>
      <c r="N590" s="281"/>
      <c r="O590" s="304"/>
      <c r="P590" s="305"/>
      <c r="Q590" s="306"/>
      <c r="R590" s="289" t="str">
        <f t="shared" si="11"/>
        <v/>
      </c>
      <c r="S590" s="241"/>
    </row>
    <row r="591" spans="1:19" ht="18" customHeight="1">
      <c r="A591" s="298"/>
      <c r="B591" s="299"/>
      <c r="C591" s="241"/>
      <c r="D591" s="298"/>
      <c r="E591" s="300"/>
      <c r="F591" s="298"/>
      <c r="G591" s="241"/>
      <c r="H591" s="302"/>
      <c r="J591" s="241"/>
      <c r="M591" s="303"/>
      <c r="N591" s="281"/>
      <c r="O591" s="304"/>
      <c r="P591" s="305"/>
      <c r="Q591" s="306"/>
      <c r="R591" s="289" t="str">
        <f t="shared" si="11"/>
        <v/>
      </c>
      <c r="S591" s="241"/>
    </row>
    <row r="592" spans="1:19" ht="18" customHeight="1">
      <c r="A592" s="298"/>
      <c r="B592" s="299"/>
      <c r="C592" s="241"/>
      <c r="D592" s="298"/>
      <c r="E592" s="300"/>
      <c r="F592" s="298"/>
      <c r="G592" s="241"/>
      <c r="H592" s="302"/>
      <c r="J592" s="241"/>
      <c r="M592" s="303"/>
      <c r="N592" s="281"/>
      <c r="O592" s="304"/>
      <c r="P592" s="305"/>
      <c r="Q592" s="306"/>
      <c r="R592" s="289" t="str">
        <f t="shared" si="11"/>
        <v/>
      </c>
      <c r="S592" s="241"/>
    </row>
    <row r="593" spans="1:19" ht="18" customHeight="1">
      <c r="A593" s="298"/>
      <c r="B593" s="299"/>
      <c r="C593" s="241"/>
      <c r="D593" s="298"/>
      <c r="E593" s="300"/>
      <c r="F593" s="298"/>
      <c r="G593" s="241"/>
      <c r="H593" s="302"/>
      <c r="J593" s="241"/>
      <c r="M593" s="303"/>
      <c r="N593" s="281"/>
      <c r="O593" s="304"/>
      <c r="P593" s="305"/>
      <c r="Q593" s="306"/>
      <c r="R593" s="289" t="str">
        <f t="shared" si="11"/>
        <v/>
      </c>
      <c r="S593" s="241"/>
    </row>
    <row r="594" spans="1:19" ht="18" customHeight="1">
      <c r="A594" s="298"/>
      <c r="B594" s="299"/>
      <c r="C594" s="241"/>
      <c r="D594" s="298"/>
      <c r="E594" s="300"/>
      <c r="F594" s="298"/>
      <c r="G594" s="241"/>
      <c r="H594" s="302"/>
      <c r="J594" s="241"/>
      <c r="M594" s="303"/>
      <c r="N594" s="281"/>
      <c r="O594" s="304"/>
      <c r="P594" s="305"/>
      <c r="Q594" s="306"/>
      <c r="R594" s="289" t="str">
        <f t="shared" si="11"/>
        <v/>
      </c>
      <c r="S594" s="241"/>
    </row>
    <row r="595" spans="1:19" ht="18" customHeight="1">
      <c r="A595" s="298"/>
      <c r="B595" s="299"/>
      <c r="C595" s="241"/>
      <c r="D595" s="298"/>
      <c r="E595" s="300"/>
      <c r="F595" s="298"/>
      <c r="G595" s="241"/>
      <c r="H595" s="302"/>
      <c r="J595" s="241"/>
      <c r="M595" s="303"/>
      <c r="N595" s="281"/>
      <c r="O595" s="304"/>
      <c r="P595" s="305"/>
      <c r="Q595" s="306"/>
      <c r="R595" s="289" t="str">
        <f t="shared" si="11"/>
        <v/>
      </c>
      <c r="S595" s="241"/>
    </row>
    <row r="596" spans="1:19" ht="18" customHeight="1">
      <c r="A596" s="298"/>
      <c r="B596" s="299"/>
      <c r="C596" s="241"/>
      <c r="D596" s="298"/>
      <c r="E596" s="300"/>
      <c r="F596" s="298"/>
      <c r="G596" s="241"/>
      <c r="H596" s="302"/>
      <c r="J596" s="241"/>
      <c r="M596" s="303"/>
      <c r="N596" s="281"/>
      <c r="O596" s="304"/>
      <c r="P596" s="305"/>
      <c r="Q596" s="306"/>
      <c r="R596" s="289" t="str">
        <f t="shared" si="11"/>
        <v/>
      </c>
      <c r="S596" s="241"/>
    </row>
    <row r="597" spans="1:19" ht="18" customHeight="1">
      <c r="A597" s="298"/>
      <c r="B597" s="299"/>
      <c r="C597" s="241"/>
      <c r="D597" s="298"/>
      <c r="E597" s="300"/>
      <c r="F597" s="298"/>
      <c r="G597" s="241"/>
      <c r="H597" s="302"/>
      <c r="J597" s="241"/>
      <c r="M597" s="303"/>
      <c r="N597" s="281"/>
      <c r="O597" s="304"/>
      <c r="P597" s="305"/>
      <c r="Q597" s="306"/>
      <c r="R597" s="289" t="str">
        <f t="shared" si="11"/>
        <v/>
      </c>
      <c r="S597" s="241"/>
    </row>
    <row r="598" spans="1:19" ht="18" customHeight="1">
      <c r="A598" s="298"/>
      <c r="B598" s="299"/>
      <c r="C598" s="241"/>
      <c r="D598" s="298"/>
      <c r="E598" s="300"/>
      <c r="F598" s="298"/>
      <c r="G598" s="241"/>
      <c r="H598" s="302"/>
      <c r="J598" s="241"/>
      <c r="M598" s="303"/>
      <c r="N598" s="281"/>
      <c r="O598" s="304"/>
      <c r="P598" s="305"/>
      <c r="Q598" s="306"/>
      <c r="R598" s="289" t="str">
        <f t="shared" si="11"/>
        <v/>
      </c>
      <c r="S598" s="241"/>
    </row>
    <row r="599" spans="1:19" ht="18" customHeight="1">
      <c r="A599" s="298"/>
      <c r="B599" s="299"/>
      <c r="C599" s="241"/>
      <c r="D599" s="298"/>
      <c r="E599" s="300"/>
      <c r="F599" s="298"/>
      <c r="G599" s="241"/>
      <c r="H599" s="302"/>
      <c r="J599" s="241"/>
      <c r="M599" s="303"/>
      <c r="N599" s="281"/>
      <c r="O599" s="304"/>
      <c r="P599" s="305"/>
      <c r="Q599" s="306"/>
      <c r="R599" s="289" t="str">
        <f t="shared" si="11"/>
        <v/>
      </c>
      <c r="S599" s="241"/>
    </row>
    <row r="600" spans="1:19" ht="18" customHeight="1">
      <c r="A600" s="298"/>
      <c r="B600" s="299"/>
      <c r="C600" s="241"/>
      <c r="D600" s="298"/>
      <c r="E600" s="300"/>
      <c r="F600" s="298"/>
      <c r="G600" s="241"/>
      <c r="H600" s="302"/>
      <c r="J600" s="241"/>
      <c r="M600" s="303"/>
      <c r="N600" s="281"/>
      <c r="O600" s="304"/>
      <c r="P600" s="305"/>
      <c r="Q600" s="306"/>
      <c r="R600" s="289" t="str">
        <f t="shared" si="11"/>
        <v/>
      </c>
      <c r="S600" s="241"/>
    </row>
    <row r="601" spans="1:19" ht="18" customHeight="1">
      <c r="A601" s="298"/>
      <c r="B601" s="299"/>
      <c r="C601" s="241"/>
      <c r="D601" s="298"/>
      <c r="E601" s="300"/>
      <c r="F601" s="298"/>
      <c r="G601" s="241"/>
      <c r="H601" s="302"/>
      <c r="J601" s="241"/>
      <c r="M601" s="303"/>
      <c r="N601" s="281"/>
      <c r="O601" s="304"/>
      <c r="P601" s="305"/>
      <c r="Q601" s="306"/>
      <c r="R601" s="289" t="str">
        <f t="shared" si="11"/>
        <v/>
      </c>
      <c r="S601" s="241"/>
    </row>
    <row r="602" spans="1:19" ht="18" customHeight="1">
      <c r="A602" s="298"/>
      <c r="B602" s="299"/>
      <c r="C602" s="241"/>
      <c r="D602" s="298"/>
      <c r="E602" s="300"/>
      <c r="F602" s="298"/>
      <c r="G602" s="241"/>
      <c r="H602" s="302"/>
      <c r="J602" s="241"/>
      <c r="M602" s="303"/>
      <c r="N602" s="281"/>
      <c r="O602" s="304"/>
      <c r="P602" s="305"/>
      <c r="Q602" s="306"/>
      <c r="R602" s="289" t="str">
        <f t="shared" ref="R602:R665" si="12">IF(SUM(Q602)&gt;0,SUM(Q602-P602),"")</f>
        <v/>
      </c>
      <c r="S602" s="241"/>
    </row>
    <row r="603" spans="1:19" ht="18" customHeight="1">
      <c r="A603" s="298"/>
      <c r="B603" s="299"/>
      <c r="C603" s="241"/>
      <c r="D603" s="298"/>
      <c r="E603" s="300"/>
      <c r="F603" s="298"/>
      <c r="G603" s="241"/>
      <c r="H603" s="302"/>
      <c r="J603" s="241"/>
      <c r="M603" s="303"/>
      <c r="N603" s="281"/>
      <c r="O603" s="304"/>
      <c r="P603" s="305"/>
      <c r="Q603" s="306"/>
      <c r="R603" s="289" t="str">
        <f t="shared" si="12"/>
        <v/>
      </c>
      <c r="S603" s="241"/>
    </row>
    <row r="604" spans="1:19" ht="18" customHeight="1">
      <c r="A604" s="298"/>
      <c r="B604" s="299"/>
      <c r="C604" s="241"/>
      <c r="D604" s="298"/>
      <c r="E604" s="300"/>
      <c r="F604" s="298"/>
      <c r="G604" s="241"/>
      <c r="H604" s="302"/>
      <c r="J604" s="241"/>
      <c r="M604" s="303"/>
      <c r="N604" s="281"/>
      <c r="O604" s="304"/>
      <c r="P604" s="305"/>
      <c r="Q604" s="306"/>
      <c r="R604" s="289" t="str">
        <f t="shared" si="12"/>
        <v/>
      </c>
      <c r="S604" s="241"/>
    </row>
    <row r="605" spans="1:19" ht="18" customHeight="1">
      <c r="A605" s="298"/>
      <c r="B605" s="299"/>
      <c r="C605" s="241"/>
      <c r="D605" s="298"/>
      <c r="E605" s="300"/>
      <c r="F605" s="298"/>
      <c r="G605" s="241"/>
      <c r="H605" s="302"/>
      <c r="J605" s="241"/>
      <c r="M605" s="303"/>
      <c r="N605" s="281"/>
      <c r="O605" s="304"/>
      <c r="P605" s="305"/>
      <c r="Q605" s="306"/>
      <c r="R605" s="289" t="str">
        <f t="shared" si="12"/>
        <v/>
      </c>
      <c r="S605" s="241"/>
    </row>
    <row r="606" spans="1:19" ht="18" customHeight="1">
      <c r="A606" s="298"/>
      <c r="B606" s="299"/>
      <c r="C606" s="241"/>
      <c r="D606" s="298"/>
      <c r="E606" s="300"/>
      <c r="F606" s="298"/>
      <c r="G606" s="241"/>
      <c r="H606" s="302"/>
      <c r="J606" s="241"/>
      <c r="M606" s="303"/>
      <c r="N606" s="281"/>
      <c r="O606" s="304"/>
      <c r="P606" s="305"/>
      <c r="Q606" s="306"/>
      <c r="R606" s="289" t="str">
        <f t="shared" si="12"/>
        <v/>
      </c>
      <c r="S606" s="241"/>
    </row>
    <row r="607" spans="1:19" ht="18" customHeight="1">
      <c r="A607" s="298"/>
      <c r="B607" s="299"/>
      <c r="C607" s="241"/>
      <c r="D607" s="298"/>
      <c r="E607" s="300"/>
      <c r="F607" s="298"/>
      <c r="G607" s="241"/>
      <c r="H607" s="302"/>
      <c r="J607" s="241"/>
      <c r="M607" s="303"/>
      <c r="N607" s="281"/>
      <c r="O607" s="304"/>
      <c r="P607" s="305"/>
      <c r="Q607" s="306"/>
      <c r="R607" s="289" t="str">
        <f t="shared" si="12"/>
        <v/>
      </c>
      <c r="S607" s="241"/>
    </row>
    <row r="608" spans="1:19" ht="18" customHeight="1">
      <c r="A608" s="298"/>
      <c r="B608" s="299"/>
      <c r="C608" s="241"/>
      <c r="D608" s="298"/>
      <c r="E608" s="300"/>
      <c r="F608" s="298"/>
      <c r="G608" s="241"/>
      <c r="H608" s="302"/>
      <c r="J608" s="241"/>
      <c r="M608" s="303"/>
      <c r="N608" s="281"/>
      <c r="O608" s="304"/>
      <c r="P608" s="305"/>
      <c r="Q608" s="306"/>
      <c r="R608" s="289" t="str">
        <f t="shared" si="12"/>
        <v/>
      </c>
      <c r="S608" s="241"/>
    </row>
    <row r="609" spans="1:19" ht="18" customHeight="1">
      <c r="A609" s="298"/>
      <c r="B609" s="299"/>
      <c r="C609" s="241"/>
      <c r="D609" s="298"/>
      <c r="E609" s="300"/>
      <c r="F609" s="298"/>
      <c r="G609" s="241"/>
      <c r="H609" s="302"/>
      <c r="J609" s="241"/>
      <c r="M609" s="303"/>
      <c r="N609" s="281"/>
      <c r="O609" s="304"/>
      <c r="P609" s="305"/>
      <c r="Q609" s="306"/>
      <c r="R609" s="289" t="str">
        <f t="shared" si="12"/>
        <v/>
      </c>
      <c r="S609" s="241"/>
    </row>
    <row r="610" spans="1:19" ht="18" customHeight="1">
      <c r="A610" s="298"/>
      <c r="B610" s="299"/>
      <c r="C610" s="241"/>
      <c r="D610" s="298"/>
      <c r="E610" s="300"/>
      <c r="F610" s="298"/>
      <c r="G610" s="241"/>
      <c r="H610" s="302"/>
      <c r="J610" s="241"/>
      <c r="M610" s="303"/>
      <c r="N610" s="281"/>
      <c r="O610" s="304"/>
      <c r="P610" s="305"/>
      <c r="Q610" s="306"/>
      <c r="R610" s="289" t="str">
        <f t="shared" si="12"/>
        <v/>
      </c>
      <c r="S610" s="241"/>
    </row>
    <row r="611" spans="1:19" ht="18" customHeight="1">
      <c r="A611" s="298"/>
      <c r="B611" s="299"/>
      <c r="C611" s="241"/>
      <c r="D611" s="298"/>
      <c r="E611" s="300"/>
      <c r="F611" s="298"/>
      <c r="G611" s="241"/>
      <c r="H611" s="302"/>
      <c r="J611" s="241"/>
      <c r="M611" s="303"/>
      <c r="N611" s="281"/>
      <c r="O611" s="304"/>
      <c r="P611" s="305"/>
      <c r="Q611" s="306"/>
      <c r="R611" s="289" t="str">
        <f t="shared" si="12"/>
        <v/>
      </c>
      <c r="S611" s="241"/>
    </row>
    <row r="612" spans="1:19" ht="18" customHeight="1">
      <c r="A612" s="298"/>
      <c r="B612" s="299"/>
      <c r="C612" s="241"/>
      <c r="D612" s="298"/>
      <c r="E612" s="300"/>
      <c r="F612" s="298"/>
      <c r="G612" s="241"/>
      <c r="H612" s="302"/>
      <c r="J612" s="241"/>
      <c r="M612" s="303"/>
      <c r="N612" s="281"/>
      <c r="O612" s="304"/>
      <c r="P612" s="305"/>
      <c r="Q612" s="306"/>
      <c r="R612" s="289" t="str">
        <f t="shared" si="12"/>
        <v/>
      </c>
      <c r="S612" s="241"/>
    </row>
    <row r="613" spans="1:19" ht="18" customHeight="1">
      <c r="A613" s="298"/>
      <c r="B613" s="299"/>
      <c r="C613" s="241"/>
      <c r="D613" s="298"/>
      <c r="E613" s="300"/>
      <c r="F613" s="298"/>
      <c r="G613" s="241"/>
      <c r="H613" s="302"/>
      <c r="J613" s="241"/>
      <c r="M613" s="303"/>
      <c r="N613" s="281"/>
      <c r="O613" s="304"/>
      <c r="P613" s="305"/>
      <c r="Q613" s="306"/>
      <c r="R613" s="289" t="str">
        <f t="shared" si="12"/>
        <v/>
      </c>
      <c r="S613" s="241"/>
    </row>
    <row r="614" spans="1:19" ht="18" customHeight="1">
      <c r="A614" s="298"/>
      <c r="B614" s="299"/>
      <c r="C614" s="241"/>
      <c r="D614" s="298"/>
      <c r="E614" s="300"/>
      <c r="F614" s="298"/>
      <c r="G614" s="241"/>
      <c r="H614" s="302"/>
      <c r="J614" s="241"/>
      <c r="M614" s="303"/>
      <c r="N614" s="281"/>
      <c r="O614" s="304"/>
      <c r="P614" s="305"/>
      <c r="Q614" s="306"/>
      <c r="R614" s="289" t="str">
        <f t="shared" si="12"/>
        <v/>
      </c>
      <c r="S614" s="241"/>
    </row>
    <row r="615" spans="1:19" ht="18" customHeight="1">
      <c r="A615" s="298"/>
      <c r="B615" s="299"/>
      <c r="C615" s="241"/>
      <c r="D615" s="298"/>
      <c r="E615" s="300"/>
      <c r="F615" s="298"/>
      <c r="G615" s="241"/>
      <c r="H615" s="302"/>
      <c r="J615" s="241"/>
      <c r="M615" s="303"/>
      <c r="N615" s="281"/>
      <c r="O615" s="304"/>
      <c r="P615" s="305"/>
      <c r="Q615" s="306"/>
      <c r="R615" s="289" t="str">
        <f t="shared" si="12"/>
        <v/>
      </c>
      <c r="S615" s="241"/>
    </row>
    <row r="616" spans="1:19" ht="18" customHeight="1">
      <c r="A616" s="298"/>
      <c r="B616" s="299"/>
      <c r="C616" s="241"/>
      <c r="D616" s="298"/>
      <c r="E616" s="300"/>
      <c r="F616" s="298"/>
      <c r="G616" s="241"/>
      <c r="H616" s="302"/>
      <c r="J616" s="241"/>
      <c r="M616" s="303"/>
      <c r="N616" s="281"/>
      <c r="O616" s="304"/>
      <c r="P616" s="305"/>
      <c r="Q616" s="306"/>
      <c r="R616" s="289" t="str">
        <f t="shared" si="12"/>
        <v/>
      </c>
      <c r="S616" s="241"/>
    </row>
    <row r="617" spans="1:19" ht="18" customHeight="1">
      <c r="A617" s="298"/>
      <c r="B617" s="299"/>
      <c r="C617" s="241"/>
      <c r="D617" s="298"/>
      <c r="E617" s="300"/>
      <c r="F617" s="298"/>
      <c r="G617" s="241"/>
      <c r="H617" s="302"/>
      <c r="J617" s="241"/>
      <c r="M617" s="303"/>
      <c r="N617" s="281"/>
      <c r="O617" s="304"/>
      <c r="P617" s="305"/>
      <c r="Q617" s="306"/>
      <c r="R617" s="289" t="str">
        <f t="shared" si="12"/>
        <v/>
      </c>
      <c r="S617" s="241"/>
    </row>
    <row r="618" spans="1:19" ht="18" customHeight="1">
      <c r="A618" s="298"/>
      <c r="B618" s="299"/>
      <c r="C618" s="241"/>
      <c r="D618" s="298"/>
      <c r="E618" s="300"/>
      <c r="F618" s="298"/>
      <c r="G618" s="241"/>
      <c r="H618" s="302"/>
      <c r="J618" s="241"/>
      <c r="M618" s="303"/>
      <c r="N618" s="281"/>
      <c r="O618" s="304"/>
      <c r="P618" s="305"/>
      <c r="Q618" s="306"/>
      <c r="R618" s="289" t="str">
        <f t="shared" si="12"/>
        <v/>
      </c>
      <c r="S618" s="241"/>
    </row>
    <row r="619" spans="1:19" ht="18" customHeight="1">
      <c r="A619" s="298"/>
      <c r="B619" s="299"/>
      <c r="C619" s="241"/>
      <c r="D619" s="298"/>
      <c r="E619" s="300"/>
      <c r="F619" s="298"/>
      <c r="G619" s="241"/>
      <c r="H619" s="302"/>
      <c r="J619" s="241"/>
      <c r="M619" s="303"/>
      <c r="N619" s="281"/>
      <c r="O619" s="304"/>
      <c r="P619" s="305"/>
      <c r="Q619" s="306"/>
      <c r="R619" s="289" t="str">
        <f t="shared" si="12"/>
        <v/>
      </c>
      <c r="S619" s="241"/>
    </row>
    <row r="620" spans="1:19" ht="18" customHeight="1">
      <c r="A620" s="298"/>
      <c r="B620" s="299"/>
      <c r="C620" s="241"/>
      <c r="D620" s="298"/>
      <c r="E620" s="300"/>
      <c r="F620" s="298"/>
      <c r="G620" s="241"/>
      <c r="H620" s="302"/>
      <c r="J620" s="241"/>
      <c r="M620" s="303"/>
      <c r="N620" s="281"/>
      <c r="O620" s="304"/>
      <c r="P620" s="305"/>
      <c r="Q620" s="306"/>
      <c r="R620" s="289" t="str">
        <f t="shared" si="12"/>
        <v/>
      </c>
      <c r="S620" s="241"/>
    </row>
    <row r="621" spans="1:19" ht="18" customHeight="1">
      <c r="A621" s="298"/>
      <c r="B621" s="299"/>
      <c r="C621" s="241"/>
      <c r="D621" s="298"/>
      <c r="E621" s="300"/>
      <c r="F621" s="298"/>
      <c r="G621" s="241"/>
      <c r="H621" s="302"/>
      <c r="J621" s="241"/>
      <c r="M621" s="303"/>
      <c r="N621" s="281"/>
      <c r="O621" s="304"/>
      <c r="P621" s="305"/>
      <c r="Q621" s="306"/>
      <c r="R621" s="289" t="str">
        <f t="shared" si="12"/>
        <v/>
      </c>
      <c r="S621" s="241"/>
    </row>
    <row r="622" spans="1:19" ht="18" customHeight="1">
      <c r="A622" s="298"/>
      <c r="B622" s="299"/>
      <c r="C622" s="241"/>
      <c r="D622" s="298"/>
      <c r="E622" s="300"/>
      <c r="F622" s="298"/>
      <c r="G622" s="241"/>
      <c r="H622" s="302"/>
      <c r="J622" s="241"/>
      <c r="M622" s="303"/>
      <c r="N622" s="281"/>
      <c r="O622" s="304"/>
      <c r="P622" s="305"/>
      <c r="Q622" s="306"/>
      <c r="R622" s="289" t="str">
        <f t="shared" si="12"/>
        <v/>
      </c>
      <c r="S622" s="241"/>
    </row>
    <row r="623" spans="1:19" ht="18" customHeight="1">
      <c r="A623" s="298"/>
      <c r="B623" s="299"/>
      <c r="C623" s="241"/>
      <c r="D623" s="298"/>
      <c r="E623" s="300"/>
      <c r="F623" s="298"/>
      <c r="G623" s="241"/>
      <c r="H623" s="302"/>
      <c r="J623" s="241"/>
      <c r="M623" s="303"/>
      <c r="N623" s="281"/>
      <c r="O623" s="304"/>
      <c r="P623" s="305"/>
      <c r="Q623" s="306"/>
      <c r="R623" s="289" t="str">
        <f t="shared" si="12"/>
        <v/>
      </c>
      <c r="S623" s="241"/>
    </row>
    <row r="624" spans="1:19" ht="18" customHeight="1">
      <c r="A624" s="298"/>
      <c r="B624" s="299"/>
      <c r="C624" s="241"/>
      <c r="D624" s="298"/>
      <c r="E624" s="300"/>
      <c r="F624" s="298"/>
      <c r="G624" s="241"/>
      <c r="H624" s="302"/>
      <c r="J624" s="241"/>
      <c r="M624" s="303"/>
      <c r="N624" s="281"/>
      <c r="O624" s="304"/>
      <c r="P624" s="305"/>
      <c r="Q624" s="306"/>
      <c r="R624" s="289" t="str">
        <f t="shared" si="12"/>
        <v/>
      </c>
      <c r="S624" s="241"/>
    </row>
    <row r="625" spans="1:19" ht="18" customHeight="1">
      <c r="A625" s="298"/>
      <c r="B625" s="299"/>
      <c r="C625" s="241"/>
      <c r="D625" s="298"/>
      <c r="E625" s="300"/>
      <c r="F625" s="298"/>
      <c r="G625" s="241"/>
      <c r="H625" s="302"/>
      <c r="J625" s="241"/>
      <c r="M625" s="303"/>
      <c r="N625" s="281"/>
      <c r="O625" s="304"/>
      <c r="P625" s="305"/>
      <c r="Q625" s="306"/>
      <c r="R625" s="289" t="str">
        <f t="shared" si="12"/>
        <v/>
      </c>
      <c r="S625" s="241"/>
    </row>
    <row r="626" spans="1:19" ht="18" customHeight="1">
      <c r="A626" s="298"/>
      <c r="B626" s="299"/>
      <c r="C626" s="241"/>
      <c r="D626" s="298"/>
      <c r="E626" s="300"/>
      <c r="F626" s="298"/>
      <c r="G626" s="241"/>
      <c r="H626" s="302"/>
      <c r="J626" s="241"/>
      <c r="M626" s="303"/>
      <c r="N626" s="281"/>
      <c r="O626" s="304"/>
      <c r="P626" s="305"/>
      <c r="Q626" s="306"/>
      <c r="R626" s="289" t="str">
        <f t="shared" si="12"/>
        <v/>
      </c>
      <c r="S626" s="241"/>
    </row>
    <row r="627" spans="1:19" ht="18" customHeight="1">
      <c r="A627" s="298"/>
      <c r="B627" s="299"/>
      <c r="C627" s="241"/>
      <c r="D627" s="298"/>
      <c r="E627" s="300"/>
      <c r="F627" s="298"/>
      <c r="G627" s="241"/>
      <c r="H627" s="302"/>
      <c r="J627" s="241"/>
      <c r="M627" s="303"/>
      <c r="N627" s="281"/>
      <c r="O627" s="304"/>
      <c r="P627" s="305"/>
      <c r="Q627" s="306"/>
      <c r="R627" s="289" t="str">
        <f t="shared" si="12"/>
        <v/>
      </c>
      <c r="S627" s="241"/>
    </row>
    <row r="628" spans="1:19" ht="18" customHeight="1">
      <c r="A628" s="298"/>
      <c r="B628" s="299"/>
      <c r="C628" s="241"/>
      <c r="D628" s="298"/>
      <c r="E628" s="300"/>
      <c r="F628" s="298"/>
      <c r="G628" s="241"/>
      <c r="H628" s="302"/>
      <c r="J628" s="241"/>
      <c r="M628" s="303"/>
      <c r="N628" s="281"/>
      <c r="O628" s="304"/>
      <c r="P628" s="305"/>
      <c r="Q628" s="306"/>
      <c r="R628" s="289" t="str">
        <f t="shared" si="12"/>
        <v/>
      </c>
      <c r="S628" s="241"/>
    </row>
    <row r="629" spans="1:19" ht="18" customHeight="1">
      <c r="A629" s="298"/>
      <c r="B629" s="299"/>
      <c r="C629" s="241"/>
      <c r="D629" s="298"/>
      <c r="E629" s="300"/>
      <c r="F629" s="298"/>
      <c r="G629" s="241"/>
      <c r="H629" s="302"/>
      <c r="J629" s="241"/>
      <c r="M629" s="303"/>
      <c r="N629" s="281"/>
      <c r="O629" s="304"/>
      <c r="P629" s="305"/>
      <c r="Q629" s="306"/>
      <c r="R629" s="289" t="str">
        <f t="shared" si="12"/>
        <v/>
      </c>
      <c r="S629" s="241"/>
    </row>
    <row r="630" spans="1:19" ht="18" customHeight="1">
      <c r="A630" s="298"/>
      <c r="B630" s="299"/>
      <c r="C630" s="241"/>
      <c r="D630" s="298"/>
      <c r="E630" s="300"/>
      <c r="F630" s="298"/>
      <c r="G630" s="241"/>
      <c r="H630" s="302"/>
      <c r="J630" s="241"/>
      <c r="M630" s="303"/>
      <c r="N630" s="281"/>
      <c r="O630" s="304"/>
      <c r="P630" s="305"/>
      <c r="Q630" s="306"/>
      <c r="R630" s="289" t="str">
        <f t="shared" si="12"/>
        <v/>
      </c>
      <c r="S630" s="241"/>
    </row>
    <row r="631" spans="1:19" ht="18" customHeight="1">
      <c r="A631" s="298"/>
      <c r="B631" s="299"/>
      <c r="C631" s="241"/>
      <c r="D631" s="298"/>
      <c r="E631" s="300"/>
      <c r="F631" s="298"/>
      <c r="G631" s="241"/>
      <c r="H631" s="302"/>
      <c r="J631" s="241"/>
      <c r="M631" s="303"/>
      <c r="N631" s="281"/>
      <c r="O631" s="304"/>
      <c r="P631" s="305"/>
      <c r="Q631" s="306"/>
      <c r="R631" s="289" t="str">
        <f t="shared" si="12"/>
        <v/>
      </c>
      <c r="S631" s="241"/>
    </row>
    <row r="632" spans="1:19" ht="18" customHeight="1">
      <c r="A632" s="298"/>
      <c r="B632" s="299"/>
      <c r="C632" s="241"/>
      <c r="D632" s="298"/>
      <c r="E632" s="300"/>
      <c r="F632" s="298"/>
      <c r="G632" s="241"/>
      <c r="H632" s="302"/>
      <c r="J632" s="241"/>
      <c r="M632" s="303"/>
      <c r="N632" s="281"/>
      <c r="O632" s="304"/>
      <c r="P632" s="305"/>
      <c r="Q632" s="306"/>
      <c r="R632" s="289" t="str">
        <f t="shared" si="12"/>
        <v/>
      </c>
      <c r="S632" s="241"/>
    </row>
    <row r="633" spans="1:19" ht="18" customHeight="1">
      <c r="A633" s="298"/>
      <c r="B633" s="299"/>
      <c r="C633" s="241"/>
      <c r="D633" s="298"/>
      <c r="E633" s="300"/>
      <c r="F633" s="298"/>
      <c r="G633" s="241"/>
      <c r="H633" s="302"/>
      <c r="J633" s="241"/>
      <c r="M633" s="303"/>
      <c r="N633" s="281"/>
      <c r="O633" s="304"/>
      <c r="P633" s="305"/>
      <c r="Q633" s="306"/>
      <c r="R633" s="289" t="str">
        <f t="shared" si="12"/>
        <v/>
      </c>
      <c r="S633" s="241"/>
    </row>
    <row r="634" spans="1:19" ht="18" customHeight="1">
      <c r="A634" s="298"/>
      <c r="B634" s="299"/>
      <c r="C634" s="241"/>
      <c r="D634" s="298"/>
      <c r="E634" s="300"/>
      <c r="F634" s="298"/>
      <c r="G634" s="241"/>
      <c r="H634" s="302"/>
      <c r="J634" s="241"/>
      <c r="M634" s="303"/>
      <c r="N634" s="281"/>
      <c r="O634" s="304"/>
      <c r="P634" s="305"/>
      <c r="Q634" s="306"/>
      <c r="R634" s="289" t="str">
        <f t="shared" si="12"/>
        <v/>
      </c>
      <c r="S634" s="241"/>
    </row>
    <row r="635" spans="1:19" ht="18" customHeight="1">
      <c r="A635" s="298"/>
      <c r="B635" s="299"/>
      <c r="C635" s="241"/>
      <c r="D635" s="298"/>
      <c r="E635" s="300"/>
      <c r="F635" s="298"/>
      <c r="G635" s="241"/>
      <c r="H635" s="302"/>
      <c r="J635" s="241"/>
      <c r="M635" s="303"/>
      <c r="N635" s="281"/>
      <c r="O635" s="304"/>
      <c r="P635" s="305"/>
      <c r="Q635" s="306"/>
      <c r="R635" s="289" t="str">
        <f t="shared" si="12"/>
        <v/>
      </c>
      <c r="S635" s="241"/>
    </row>
    <row r="636" spans="1:19" ht="18" customHeight="1">
      <c r="A636" s="298"/>
      <c r="B636" s="299"/>
      <c r="C636" s="241"/>
      <c r="D636" s="298"/>
      <c r="E636" s="300"/>
      <c r="F636" s="298"/>
      <c r="G636" s="241"/>
      <c r="H636" s="302"/>
      <c r="J636" s="241"/>
      <c r="M636" s="303"/>
      <c r="N636" s="281"/>
      <c r="O636" s="304"/>
      <c r="P636" s="305"/>
      <c r="Q636" s="306"/>
      <c r="R636" s="289" t="str">
        <f t="shared" si="12"/>
        <v/>
      </c>
      <c r="S636" s="241"/>
    </row>
    <row r="637" spans="1:19" ht="18" customHeight="1">
      <c r="A637" s="298"/>
      <c r="B637" s="299"/>
      <c r="C637" s="241"/>
      <c r="D637" s="298"/>
      <c r="E637" s="300"/>
      <c r="F637" s="298"/>
      <c r="G637" s="241"/>
      <c r="H637" s="302"/>
      <c r="J637" s="241"/>
      <c r="M637" s="303"/>
      <c r="N637" s="281"/>
      <c r="O637" s="304"/>
      <c r="P637" s="305"/>
      <c r="Q637" s="306"/>
      <c r="R637" s="289" t="str">
        <f t="shared" si="12"/>
        <v/>
      </c>
      <c r="S637" s="241"/>
    </row>
    <row r="638" spans="1:19" ht="18" customHeight="1">
      <c r="A638" s="298"/>
      <c r="B638" s="299"/>
      <c r="C638" s="241"/>
      <c r="D638" s="298"/>
      <c r="E638" s="300"/>
      <c r="F638" s="298"/>
      <c r="G638" s="241"/>
      <c r="H638" s="302"/>
      <c r="J638" s="241"/>
      <c r="M638" s="303"/>
      <c r="N638" s="281"/>
      <c r="O638" s="304"/>
      <c r="P638" s="305"/>
      <c r="Q638" s="306"/>
      <c r="R638" s="289" t="str">
        <f t="shared" si="12"/>
        <v/>
      </c>
      <c r="S638" s="241"/>
    </row>
    <row r="639" spans="1:19" ht="18" customHeight="1">
      <c r="A639" s="298"/>
      <c r="B639" s="299"/>
      <c r="C639" s="241"/>
      <c r="D639" s="298"/>
      <c r="E639" s="300"/>
      <c r="F639" s="298"/>
      <c r="G639" s="241"/>
      <c r="H639" s="302"/>
      <c r="J639" s="241"/>
      <c r="M639" s="303"/>
      <c r="N639" s="281"/>
      <c r="O639" s="304"/>
      <c r="P639" s="305"/>
      <c r="Q639" s="306"/>
      <c r="R639" s="289" t="str">
        <f t="shared" si="12"/>
        <v/>
      </c>
      <c r="S639" s="241"/>
    </row>
    <row r="640" spans="1:19" ht="18" customHeight="1">
      <c r="A640" s="298"/>
      <c r="B640" s="299"/>
      <c r="C640" s="241"/>
      <c r="D640" s="298"/>
      <c r="E640" s="300"/>
      <c r="F640" s="298"/>
      <c r="G640" s="241"/>
      <c r="H640" s="302"/>
      <c r="J640" s="241"/>
      <c r="M640" s="303"/>
      <c r="N640" s="281"/>
      <c r="O640" s="304"/>
      <c r="P640" s="305"/>
      <c r="Q640" s="306"/>
      <c r="R640" s="289" t="str">
        <f t="shared" si="12"/>
        <v/>
      </c>
      <c r="S640" s="241"/>
    </row>
    <row r="641" spans="1:19" ht="18" customHeight="1">
      <c r="A641" s="298"/>
      <c r="B641" s="299"/>
      <c r="C641" s="241"/>
      <c r="D641" s="298"/>
      <c r="E641" s="300"/>
      <c r="F641" s="298"/>
      <c r="G641" s="241"/>
      <c r="H641" s="302"/>
      <c r="J641" s="241"/>
      <c r="M641" s="303"/>
      <c r="N641" s="281"/>
      <c r="O641" s="304"/>
      <c r="P641" s="305"/>
      <c r="Q641" s="306"/>
      <c r="R641" s="289" t="str">
        <f t="shared" si="12"/>
        <v/>
      </c>
      <c r="S641" s="241"/>
    </row>
    <row r="642" spans="1:19" ht="18" customHeight="1">
      <c r="A642" s="298"/>
      <c r="B642" s="299"/>
      <c r="C642" s="241"/>
      <c r="D642" s="298"/>
      <c r="E642" s="300"/>
      <c r="F642" s="298"/>
      <c r="G642" s="241"/>
      <c r="H642" s="302"/>
      <c r="J642" s="241"/>
      <c r="M642" s="303"/>
      <c r="N642" s="281"/>
      <c r="O642" s="304"/>
      <c r="P642" s="305"/>
      <c r="Q642" s="306"/>
      <c r="R642" s="289" t="str">
        <f t="shared" si="12"/>
        <v/>
      </c>
      <c r="S642" s="241"/>
    </row>
    <row r="643" spans="1:19" ht="18" customHeight="1">
      <c r="A643" s="298"/>
      <c r="B643" s="299"/>
      <c r="C643" s="241"/>
      <c r="D643" s="298"/>
      <c r="E643" s="300"/>
      <c r="F643" s="298"/>
      <c r="G643" s="241"/>
      <c r="H643" s="302"/>
      <c r="J643" s="241"/>
      <c r="M643" s="303"/>
      <c r="N643" s="281"/>
      <c r="O643" s="304"/>
      <c r="P643" s="305"/>
      <c r="Q643" s="306"/>
      <c r="R643" s="289" t="str">
        <f t="shared" si="12"/>
        <v/>
      </c>
      <c r="S643" s="241"/>
    </row>
    <row r="644" spans="1:19" ht="18" customHeight="1">
      <c r="A644" s="298"/>
      <c r="B644" s="299"/>
      <c r="C644" s="241"/>
      <c r="D644" s="298"/>
      <c r="E644" s="300"/>
      <c r="F644" s="298"/>
      <c r="G644" s="241"/>
      <c r="H644" s="302"/>
      <c r="J644" s="241"/>
      <c r="M644" s="303"/>
      <c r="N644" s="281"/>
      <c r="O644" s="304"/>
      <c r="P644" s="305"/>
      <c r="Q644" s="306"/>
      <c r="R644" s="289" t="str">
        <f t="shared" si="12"/>
        <v/>
      </c>
      <c r="S644" s="241"/>
    </row>
    <row r="645" spans="1:19" ht="18" customHeight="1">
      <c r="A645" s="298"/>
      <c r="B645" s="299"/>
      <c r="C645" s="241"/>
      <c r="D645" s="298"/>
      <c r="E645" s="300"/>
      <c r="F645" s="298"/>
      <c r="G645" s="241"/>
      <c r="H645" s="302"/>
      <c r="J645" s="241"/>
      <c r="M645" s="303"/>
      <c r="N645" s="281"/>
      <c r="O645" s="304"/>
      <c r="P645" s="305"/>
      <c r="Q645" s="306"/>
      <c r="R645" s="289" t="str">
        <f t="shared" si="12"/>
        <v/>
      </c>
      <c r="S645" s="241"/>
    </row>
    <row r="646" spans="1:19" ht="18" customHeight="1">
      <c r="A646" s="298"/>
      <c r="B646" s="299"/>
      <c r="C646" s="241"/>
      <c r="D646" s="298"/>
      <c r="E646" s="300"/>
      <c r="F646" s="298"/>
      <c r="G646" s="241"/>
      <c r="H646" s="302"/>
      <c r="J646" s="241"/>
      <c r="M646" s="303"/>
      <c r="N646" s="281"/>
      <c r="O646" s="304"/>
      <c r="P646" s="305"/>
      <c r="Q646" s="306"/>
      <c r="R646" s="289" t="str">
        <f t="shared" si="12"/>
        <v/>
      </c>
      <c r="S646" s="241"/>
    </row>
    <row r="647" spans="1:19" ht="18" customHeight="1">
      <c r="A647" s="298"/>
      <c r="B647" s="299"/>
      <c r="C647" s="241"/>
      <c r="D647" s="298"/>
      <c r="E647" s="300"/>
      <c r="F647" s="298"/>
      <c r="G647" s="241"/>
      <c r="H647" s="302"/>
      <c r="J647" s="241"/>
      <c r="M647" s="303"/>
      <c r="N647" s="281"/>
      <c r="O647" s="304"/>
      <c r="P647" s="305"/>
      <c r="Q647" s="306"/>
      <c r="R647" s="289" t="str">
        <f t="shared" si="12"/>
        <v/>
      </c>
      <c r="S647" s="241"/>
    </row>
    <row r="648" spans="1:19" ht="18" customHeight="1">
      <c r="A648" s="298"/>
      <c r="B648" s="299"/>
      <c r="C648" s="241"/>
      <c r="D648" s="298"/>
      <c r="E648" s="300"/>
      <c r="F648" s="298"/>
      <c r="G648" s="241"/>
      <c r="H648" s="302"/>
      <c r="J648" s="241"/>
      <c r="M648" s="303"/>
      <c r="N648" s="281"/>
      <c r="O648" s="304"/>
      <c r="P648" s="305"/>
      <c r="Q648" s="306"/>
      <c r="R648" s="289" t="str">
        <f t="shared" si="12"/>
        <v/>
      </c>
      <c r="S648" s="241"/>
    </row>
    <row r="649" spans="1:19" ht="18" customHeight="1">
      <c r="A649" s="298"/>
      <c r="B649" s="299"/>
      <c r="C649" s="241"/>
      <c r="D649" s="298"/>
      <c r="E649" s="300"/>
      <c r="F649" s="298"/>
      <c r="G649" s="241"/>
      <c r="H649" s="302"/>
      <c r="J649" s="241"/>
      <c r="M649" s="303"/>
      <c r="N649" s="281"/>
      <c r="O649" s="304"/>
      <c r="P649" s="305"/>
      <c r="Q649" s="306"/>
      <c r="R649" s="289" t="str">
        <f t="shared" si="12"/>
        <v/>
      </c>
      <c r="S649" s="241"/>
    </row>
    <row r="650" spans="1:19" ht="18" customHeight="1">
      <c r="A650" s="298"/>
      <c r="B650" s="299"/>
      <c r="C650" s="241"/>
      <c r="D650" s="298"/>
      <c r="E650" s="300"/>
      <c r="F650" s="298"/>
      <c r="G650" s="241"/>
      <c r="H650" s="302"/>
      <c r="J650" s="241"/>
      <c r="M650" s="303"/>
      <c r="N650" s="281"/>
      <c r="O650" s="304"/>
      <c r="P650" s="305"/>
      <c r="Q650" s="306"/>
      <c r="R650" s="289" t="str">
        <f t="shared" si="12"/>
        <v/>
      </c>
      <c r="S650" s="241"/>
    </row>
    <row r="651" spans="1:19" ht="18" customHeight="1">
      <c r="A651" s="298"/>
      <c r="B651" s="299"/>
      <c r="C651" s="241"/>
      <c r="D651" s="298"/>
      <c r="E651" s="300"/>
      <c r="F651" s="298"/>
      <c r="G651" s="241"/>
      <c r="H651" s="302"/>
      <c r="J651" s="241"/>
      <c r="M651" s="303"/>
      <c r="N651" s="281"/>
      <c r="O651" s="304"/>
      <c r="P651" s="305"/>
      <c r="Q651" s="306"/>
      <c r="R651" s="289" t="str">
        <f t="shared" si="12"/>
        <v/>
      </c>
      <c r="S651" s="241"/>
    </row>
    <row r="652" spans="1:19" ht="18" customHeight="1">
      <c r="A652" s="298"/>
      <c r="B652" s="299"/>
      <c r="C652" s="241"/>
      <c r="D652" s="298"/>
      <c r="E652" s="300"/>
      <c r="F652" s="298"/>
      <c r="G652" s="241"/>
      <c r="H652" s="302"/>
      <c r="J652" s="241"/>
      <c r="M652" s="303"/>
      <c r="N652" s="281"/>
      <c r="O652" s="304"/>
      <c r="P652" s="305"/>
      <c r="Q652" s="306"/>
      <c r="R652" s="289" t="str">
        <f t="shared" si="12"/>
        <v/>
      </c>
      <c r="S652" s="241"/>
    </row>
    <row r="653" spans="1:19" ht="18" customHeight="1">
      <c r="A653" s="298"/>
      <c r="B653" s="299"/>
      <c r="C653" s="241"/>
      <c r="D653" s="298"/>
      <c r="E653" s="300"/>
      <c r="F653" s="298"/>
      <c r="G653" s="241"/>
      <c r="H653" s="302"/>
      <c r="J653" s="241"/>
      <c r="M653" s="303"/>
      <c r="N653" s="281"/>
      <c r="O653" s="304"/>
      <c r="P653" s="305"/>
      <c r="Q653" s="306"/>
      <c r="R653" s="289" t="str">
        <f t="shared" si="12"/>
        <v/>
      </c>
      <c r="S653" s="241"/>
    </row>
    <row r="654" spans="1:19" ht="18" customHeight="1">
      <c r="A654" s="298"/>
      <c r="B654" s="299"/>
      <c r="C654" s="241"/>
      <c r="D654" s="298"/>
      <c r="E654" s="300"/>
      <c r="F654" s="298"/>
      <c r="G654" s="241"/>
      <c r="H654" s="302"/>
      <c r="J654" s="241"/>
      <c r="M654" s="303"/>
      <c r="N654" s="281"/>
      <c r="O654" s="304"/>
      <c r="P654" s="305"/>
      <c r="Q654" s="306"/>
      <c r="R654" s="289" t="str">
        <f t="shared" si="12"/>
        <v/>
      </c>
      <c r="S654" s="241"/>
    </row>
    <row r="655" spans="1:19" ht="18" customHeight="1">
      <c r="A655" s="298"/>
      <c r="B655" s="299"/>
      <c r="C655" s="241"/>
      <c r="D655" s="298"/>
      <c r="E655" s="300"/>
      <c r="F655" s="298"/>
      <c r="G655" s="241"/>
      <c r="H655" s="302"/>
      <c r="J655" s="241"/>
      <c r="M655" s="303"/>
      <c r="N655" s="281"/>
      <c r="O655" s="304"/>
      <c r="P655" s="305"/>
      <c r="Q655" s="306"/>
      <c r="R655" s="289" t="str">
        <f t="shared" si="12"/>
        <v/>
      </c>
      <c r="S655" s="241"/>
    </row>
    <row r="656" spans="1:19" ht="18" customHeight="1">
      <c r="A656" s="298"/>
      <c r="B656" s="299"/>
      <c r="C656" s="241"/>
      <c r="D656" s="298"/>
      <c r="E656" s="300"/>
      <c r="F656" s="298"/>
      <c r="G656" s="241"/>
      <c r="H656" s="302"/>
      <c r="J656" s="241"/>
      <c r="M656" s="303"/>
      <c r="N656" s="281"/>
      <c r="O656" s="304"/>
      <c r="P656" s="305"/>
      <c r="Q656" s="306"/>
      <c r="R656" s="289" t="str">
        <f t="shared" si="12"/>
        <v/>
      </c>
      <c r="S656" s="241"/>
    </row>
    <row r="657" spans="1:19" ht="18" customHeight="1">
      <c r="A657" s="298"/>
      <c r="B657" s="299"/>
      <c r="C657" s="241"/>
      <c r="D657" s="298"/>
      <c r="E657" s="300"/>
      <c r="F657" s="298"/>
      <c r="G657" s="241"/>
      <c r="H657" s="302"/>
      <c r="J657" s="241"/>
      <c r="M657" s="303"/>
      <c r="N657" s="281"/>
      <c r="O657" s="304"/>
      <c r="P657" s="305"/>
      <c r="Q657" s="306"/>
      <c r="R657" s="289" t="str">
        <f t="shared" si="12"/>
        <v/>
      </c>
      <c r="S657" s="241"/>
    </row>
    <row r="658" spans="1:19" ht="18" customHeight="1">
      <c r="A658" s="298"/>
      <c r="B658" s="299"/>
      <c r="C658" s="241"/>
      <c r="D658" s="298"/>
      <c r="E658" s="300"/>
      <c r="F658" s="298"/>
      <c r="G658" s="241"/>
      <c r="H658" s="302"/>
      <c r="J658" s="241"/>
      <c r="M658" s="303"/>
      <c r="N658" s="281"/>
      <c r="O658" s="304"/>
      <c r="P658" s="305"/>
      <c r="Q658" s="306"/>
      <c r="R658" s="289" t="str">
        <f t="shared" si="12"/>
        <v/>
      </c>
      <c r="S658" s="241"/>
    </row>
    <row r="659" spans="1:19" ht="18" customHeight="1">
      <c r="A659" s="298"/>
      <c r="B659" s="299"/>
      <c r="C659" s="241"/>
      <c r="D659" s="298"/>
      <c r="E659" s="300"/>
      <c r="F659" s="298"/>
      <c r="G659" s="241"/>
      <c r="H659" s="302"/>
      <c r="J659" s="241"/>
      <c r="M659" s="303"/>
      <c r="N659" s="281"/>
      <c r="O659" s="304"/>
      <c r="P659" s="305"/>
      <c r="Q659" s="306"/>
      <c r="R659" s="289" t="str">
        <f t="shared" si="12"/>
        <v/>
      </c>
      <c r="S659" s="241"/>
    </row>
    <row r="660" spans="1:19" ht="18" customHeight="1">
      <c r="A660" s="298"/>
      <c r="B660" s="299"/>
      <c r="C660" s="241"/>
      <c r="D660" s="298"/>
      <c r="E660" s="300"/>
      <c r="F660" s="298"/>
      <c r="G660" s="241"/>
      <c r="H660" s="302"/>
      <c r="J660" s="241"/>
      <c r="M660" s="303"/>
      <c r="N660" s="281"/>
      <c r="O660" s="304"/>
      <c r="P660" s="305"/>
      <c r="Q660" s="306"/>
      <c r="R660" s="289" t="str">
        <f t="shared" si="12"/>
        <v/>
      </c>
      <c r="S660" s="241"/>
    </row>
    <row r="661" spans="1:19" ht="18" customHeight="1">
      <c r="A661" s="298"/>
      <c r="B661" s="299"/>
      <c r="C661" s="241"/>
      <c r="D661" s="298"/>
      <c r="E661" s="300"/>
      <c r="F661" s="298"/>
      <c r="G661" s="241"/>
      <c r="H661" s="302"/>
      <c r="J661" s="241"/>
      <c r="M661" s="303"/>
      <c r="N661" s="281"/>
      <c r="O661" s="304"/>
      <c r="P661" s="305"/>
      <c r="Q661" s="306"/>
      <c r="R661" s="289" t="str">
        <f t="shared" si="12"/>
        <v/>
      </c>
      <c r="S661" s="241"/>
    </row>
    <row r="662" spans="1:19" ht="18" customHeight="1">
      <c r="A662" s="298"/>
      <c r="B662" s="299"/>
      <c r="C662" s="241"/>
      <c r="D662" s="298"/>
      <c r="E662" s="300"/>
      <c r="F662" s="298"/>
      <c r="G662" s="241"/>
      <c r="H662" s="302"/>
      <c r="J662" s="241"/>
      <c r="M662" s="303"/>
      <c r="N662" s="281"/>
      <c r="O662" s="304"/>
      <c r="P662" s="305"/>
      <c r="Q662" s="306"/>
      <c r="R662" s="289" t="str">
        <f t="shared" si="12"/>
        <v/>
      </c>
      <c r="S662" s="241"/>
    </row>
    <row r="663" spans="1:19" ht="18" customHeight="1">
      <c r="A663" s="298"/>
      <c r="B663" s="299"/>
      <c r="C663" s="241"/>
      <c r="D663" s="298"/>
      <c r="E663" s="300"/>
      <c r="F663" s="298"/>
      <c r="G663" s="241"/>
      <c r="H663" s="302"/>
      <c r="J663" s="241"/>
      <c r="M663" s="303"/>
      <c r="N663" s="281"/>
      <c r="O663" s="304"/>
      <c r="P663" s="305"/>
      <c r="Q663" s="306"/>
      <c r="R663" s="289" t="str">
        <f t="shared" si="12"/>
        <v/>
      </c>
      <c r="S663" s="241"/>
    </row>
    <row r="664" spans="1:19" ht="18" customHeight="1">
      <c r="A664" s="298"/>
      <c r="B664" s="299"/>
      <c r="C664" s="241"/>
      <c r="D664" s="298"/>
      <c r="E664" s="300"/>
      <c r="F664" s="298"/>
      <c r="G664" s="241"/>
      <c r="H664" s="302"/>
      <c r="J664" s="241"/>
      <c r="M664" s="303"/>
      <c r="N664" s="281"/>
      <c r="O664" s="304"/>
      <c r="P664" s="305"/>
      <c r="Q664" s="306"/>
      <c r="R664" s="289" t="str">
        <f t="shared" si="12"/>
        <v/>
      </c>
      <c r="S664" s="241"/>
    </row>
    <row r="665" spans="1:19" ht="18" customHeight="1">
      <c r="A665" s="298"/>
      <c r="B665" s="299"/>
      <c r="C665" s="241"/>
      <c r="D665" s="298"/>
      <c r="E665" s="300"/>
      <c r="F665" s="298"/>
      <c r="G665" s="241"/>
      <c r="H665" s="302"/>
      <c r="J665" s="241"/>
      <c r="M665" s="303"/>
      <c r="N665" s="281"/>
      <c r="O665" s="304"/>
      <c r="P665" s="305"/>
      <c r="Q665" s="306"/>
      <c r="R665" s="289" t="str">
        <f t="shared" si="12"/>
        <v/>
      </c>
      <c r="S665" s="241"/>
    </row>
    <row r="666" spans="1:19" ht="18" customHeight="1">
      <c r="A666" s="298"/>
      <c r="B666" s="299"/>
      <c r="C666" s="241"/>
      <c r="D666" s="298"/>
      <c r="E666" s="300"/>
      <c r="F666" s="298"/>
      <c r="G666" s="241"/>
      <c r="H666" s="302"/>
      <c r="J666" s="241"/>
      <c r="M666" s="303"/>
      <c r="N666" s="281"/>
      <c r="O666" s="304"/>
      <c r="P666" s="305"/>
      <c r="Q666" s="306"/>
      <c r="R666" s="289" t="str">
        <f t="shared" ref="R666:R729" si="13">IF(SUM(Q666)&gt;0,SUM(Q666-P666),"")</f>
        <v/>
      </c>
      <c r="S666" s="241"/>
    </row>
    <row r="667" spans="1:19" ht="18" customHeight="1">
      <c r="A667" s="298"/>
      <c r="B667" s="299"/>
      <c r="C667" s="241"/>
      <c r="D667" s="298"/>
      <c r="E667" s="300"/>
      <c r="F667" s="298"/>
      <c r="G667" s="241"/>
      <c r="H667" s="302"/>
      <c r="J667" s="241"/>
      <c r="M667" s="303"/>
      <c r="N667" s="281"/>
      <c r="O667" s="304"/>
      <c r="P667" s="305"/>
      <c r="Q667" s="306"/>
      <c r="R667" s="289" t="str">
        <f t="shared" si="13"/>
        <v/>
      </c>
      <c r="S667" s="241"/>
    </row>
    <row r="668" spans="1:19" ht="18" customHeight="1">
      <c r="A668" s="298"/>
      <c r="B668" s="299"/>
      <c r="C668" s="241"/>
      <c r="D668" s="298"/>
      <c r="E668" s="300"/>
      <c r="F668" s="298"/>
      <c r="G668" s="241"/>
      <c r="H668" s="302"/>
      <c r="J668" s="241"/>
      <c r="M668" s="303"/>
      <c r="N668" s="281"/>
      <c r="O668" s="304"/>
      <c r="P668" s="305"/>
      <c r="Q668" s="306"/>
      <c r="R668" s="289" t="str">
        <f t="shared" si="13"/>
        <v/>
      </c>
      <c r="S668" s="241"/>
    </row>
    <row r="669" spans="1:19" ht="18" customHeight="1">
      <c r="A669" s="298"/>
      <c r="B669" s="299"/>
      <c r="C669" s="241"/>
      <c r="D669" s="298"/>
      <c r="E669" s="300"/>
      <c r="F669" s="298"/>
      <c r="G669" s="241"/>
      <c r="H669" s="302"/>
      <c r="J669" s="241"/>
      <c r="M669" s="303"/>
      <c r="N669" s="281"/>
      <c r="O669" s="304"/>
      <c r="P669" s="305"/>
      <c r="Q669" s="306"/>
      <c r="R669" s="289" t="str">
        <f t="shared" si="13"/>
        <v/>
      </c>
      <c r="S669" s="241"/>
    </row>
    <row r="670" spans="1:19" ht="18" customHeight="1">
      <c r="A670" s="298"/>
      <c r="B670" s="299"/>
      <c r="C670" s="241"/>
      <c r="D670" s="298"/>
      <c r="E670" s="300"/>
      <c r="F670" s="298"/>
      <c r="G670" s="241"/>
      <c r="H670" s="302"/>
      <c r="J670" s="241"/>
      <c r="M670" s="303"/>
      <c r="N670" s="281"/>
      <c r="O670" s="304"/>
      <c r="P670" s="305"/>
      <c r="Q670" s="306"/>
      <c r="R670" s="289" t="str">
        <f t="shared" si="13"/>
        <v/>
      </c>
      <c r="S670" s="241"/>
    </row>
    <row r="671" spans="1:19" ht="18" customHeight="1">
      <c r="A671" s="298"/>
      <c r="B671" s="299"/>
      <c r="C671" s="241"/>
      <c r="D671" s="298"/>
      <c r="E671" s="300"/>
      <c r="F671" s="298"/>
      <c r="G671" s="241"/>
      <c r="H671" s="302"/>
      <c r="J671" s="241"/>
      <c r="M671" s="303"/>
      <c r="N671" s="281"/>
      <c r="O671" s="304"/>
      <c r="P671" s="305"/>
      <c r="Q671" s="306"/>
      <c r="R671" s="289" t="str">
        <f t="shared" si="13"/>
        <v/>
      </c>
      <c r="S671" s="241"/>
    </row>
    <row r="672" spans="1:19" ht="18" customHeight="1">
      <c r="A672" s="298"/>
      <c r="B672" s="299"/>
      <c r="C672" s="241"/>
      <c r="D672" s="298"/>
      <c r="E672" s="300"/>
      <c r="F672" s="298"/>
      <c r="G672" s="241"/>
      <c r="H672" s="302"/>
      <c r="J672" s="241"/>
      <c r="M672" s="303"/>
      <c r="N672" s="281"/>
      <c r="O672" s="304"/>
      <c r="P672" s="305"/>
      <c r="Q672" s="306"/>
      <c r="R672" s="289" t="str">
        <f t="shared" si="13"/>
        <v/>
      </c>
      <c r="S672" s="241"/>
    </row>
    <row r="673" spans="1:19" ht="18" customHeight="1">
      <c r="A673" s="298"/>
      <c r="B673" s="299"/>
      <c r="C673" s="241"/>
      <c r="D673" s="298"/>
      <c r="E673" s="300"/>
      <c r="F673" s="298"/>
      <c r="G673" s="241"/>
      <c r="H673" s="302"/>
      <c r="J673" s="241"/>
      <c r="M673" s="303"/>
      <c r="N673" s="281"/>
      <c r="O673" s="304"/>
      <c r="P673" s="305"/>
      <c r="Q673" s="306"/>
      <c r="R673" s="289" t="str">
        <f t="shared" si="13"/>
        <v/>
      </c>
      <c r="S673" s="241"/>
    </row>
    <row r="674" spans="1:19" ht="18" customHeight="1">
      <c r="A674" s="298"/>
      <c r="B674" s="299"/>
      <c r="C674" s="241"/>
      <c r="D674" s="298"/>
      <c r="E674" s="300"/>
      <c r="F674" s="298"/>
      <c r="G674" s="241"/>
      <c r="H674" s="302"/>
      <c r="J674" s="241"/>
      <c r="M674" s="303"/>
      <c r="N674" s="281"/>
      <c r="O674" s="304"/>
      <c r="P674" s="305"/>
      <c r="Q674" s="306"/>
      <c r="R674" s="289" t="str">
        <f t="shared" si="13"/>
        <v/>
      </c>
      <c r="S674" s="241"/>
    </row>
    <row r="675" spans="1:19" ht="18" customHeight="1">
      <c r="A675" s="298"/>
      <c r="B675" s="299"/>
      <c r="C675" s="241"/>
      <c r="D675" s="298"/>
      <c r="E675" s="300"/>
      <c r="F675" s="298"/>
      <c r="G675" s="241"/>
      <c r="H675" s="302"/>
      <c r="J675" s="241"/>
      <c r="M675" s="303"/>
      <c r="N675" s="281"/>
      <c r="O675" s="304"/>
      <c r="P675" s="305"/>
      <c r="Q675" s="306"/>
      <c r="R675" s="289" t="str">
        <f t="shared" si="13"/>
        <v/>
      </c>
      <c r="S675" s="241"/>
    </row>
    <row r="676" spans="1:19" ht="18" customHeight="1">
      <c r="A676" s="298"/>
      <c r="B676" s="299"/>
      <c r="C676" s="241"/>
      <c r="D676" s="298"/>
      <c r="E676" s="300"/>
      <c r="F676" s="298"/>
      <c r="G676" s="241"/>
      <c r="H676" s="302"/>
      <c r="J676" s="241"/>
      <c r="M676" s="303"/>
      <c r="N676" s="281"/>
      <c r="O676" s="304"/>
      <c r="P676" s="305"/>
      <c r="Q676" s="306"/>
      <c r="R676" s="289" t="str">
        <f t="shared" si="13"/>
        <v/>
      </c>
      <c r="S676" s="241"/>
    </row>
    <row r="677" spans="1:19" ht="18" customHeight="1">
      <c r="A677" s="298"/>
      <c r="B677" s="299"/>
      <c r="C677" s="241"/>
      <c r="D677" s="298"/>
      <c r="E677" s="300"/>
      <c r="F677" s="298"/>
      <c r="G677" s="241"/>
      <c r="H677" s="302"/>
      <c r="J677" s="241"/>
      <c r="M677" s="303"/>
      <c r="N677" s="281"/>
      <c r="O677" s="304"/>
      <c r="P677" s="305"/>
      <c r="Q677" s="306"/>
      <c r="R677" s="289" t="str">
        <f t="shared" si="13"/>
        <v/>
      </c>
      <c r="S677" s="241"/>
    </row>
    <row r="678" spans="1:19" ht="18" customHeight="1">
      <c r="A678" s="298"/>
      <c r="B678" s="299"/>
      <c r="C678" s="241"/>
      <c r="D678" s="298"/>
      <c r="E678" s="300"/>
      <c r="F678" s="298"/>
      <c r="G678" s="241"/>
      <c r="H678" s="302"/>
      <c r="J678" s="241"/>
      <c r="M678" s="303"/>
      <c r="N678" s="281"/>
      <c r="O678" s="304"/>
      <c r="P678" s="305"/>
      <c r="Q678" s="306"/>
      <c r="R678" s="289" t="str">
        <f t="shared" si="13"/>
        <v/>
      </c>
      <c r="S678" s="241"/>
    </row>
    <row r="679" spans="1:19" ht="18" customHeight="1">
      <c r="A679" s="298"/>
      <c r="B679" s="299"/>
      <c r="C679" s="241"/>
      <c r="D679" s="298"/>
      <c r="E679" s="300"/>
      <c r="F679" s="298"/>
      <c r="G679" s="241"/>
      <c r="H679" s="302"/>
      <c r="J679" s="241"/>
      <c r="M679" s="303"/>
      <c r="N679" s="281"/>
      <c r="O679" s="304"/>
      <c r="P679" s="305"/>
      <c r="Q679" s="306"/>
      <c r="R679" s="289" t="str">
        <f t="shared" si="13"/>
        <v/>
      </c>
      <c r="S679" s="241"/>
    </row>
    <row r="680" spans="1:19" ht="18" customHeight="1">
      <c r="A680" s="298"/>
      <c r="B680" s="299"/>
      <c r="C680" s="241"/>
      <c r="D680" s="298"/>
      <c r="E680" s="300"/>
      <c r="F680" s="298"/>
      <c r="G680" s="241"/>
      <c r="H680" s="302"/>
      <c r="J680" s="241"/>
      <c r="M680" s="303"/>
      <c r="N680" s="281"/>
      <c r="O680" s="304"/>
      <c r="P680" s="305"/>
      <c r="Q680" s="306"/>
      <c r="R680" s="289" t="str">
        <f t="shared" si="13"/>
        <v/>
      </c>
      <c r="S680" s="241"/>
    </row>
    <row r="681" spans="1:19" ht="18" customHeight="1">
      <c r="A681" s="298"/>
      <c r="B681" s="299"/>
      <c r="C681" s="241"/>
      <c r="D681" s="298"/>
      <c r="E681" s="300"/>
      <c r="F681" s="298"/>
      <c r="G681" s="241"/>
      <c r="H681" s="302"/>
      <c r="J681" s="241"/>
      <c r="M681" s="303"/>
      <c r="N681" s="281"/>
      <c r="O681" s="304"/>
      <c r="P681" s="305"/>
      <c r="Q681" s="306"/>
      <c r="R681" s="289" t="str">
        <f t="shared" si="13"/>
        <v/>
      </c>
      <c r="S681" s="241"/>
    </row>
    <row r="682" spans="1:19" ht="18" customHeight="1">
      <c r="A682" s="298"/>
      <c r="B682" s="299"/>
      <c r="C682" s="241"/>
      <c r="D682" s="298"/>
      <c r="E682" s="300"/>
      <c r="F682" s="298"/>
      <c r="G682" s="241"/>
      <c r="H682" s="302"/>
      <c r="J682" s="241"/>
      <c r="M682" s="303"/>
      <c r="N682" s="281"/>
      <c r="O682" s="304"/>
      <c r="P682" s="305"/>
      <c r="Q682" s="306"/>
      <c r="R682" s="289" t="str">
        <f t="shared" si="13"/>
        <v/>
      </c>
      <c r="S682" s="241"/>
    </row>
    <row r="683" spans="1:19" ht="18" customHeight="1">
      <c r="A683" s="298"/>
      <c r="B683" s="299"/>
      <c r="C683" s="241"/>
      <c r="D683" s="298"/>
      <c r="E683" s="300"/>
      <c r="F683" s="298"/>
      <c r="G683" s="241"/>
      <c r="H683" s="302"/>
      <c r="J683" s="241"/>
      <c r="M683" s="303"/>
      <c r="N683" s="281"/>
      <c r="O683" s="304"/>
      <c r="P683" s="305"/>
      <c r="Q683" s="306"/>
      <c r="R683" s="289" t="str">
        <f t="shared" si="13"/>
        <v/>
      </c>
      <c r="S683" s="241"/>
    </row>
    <row r="684" spans="1:19" ht="18" customHeight="1">
      <c r="A684" s="298"/>
      <c r="B684" s="299"/>
      <c r="C684" s="241"/>
      <c r="D684" s="298"/>
      <c r="E684" s="300"/>
      <c r="F684" s="298"/>
      <c r="G684" s="241"/>
      <c r="H684" s="302"/>
      <c r="J684" s="241"/>
      <c r="M684" s="303"/>
      <c r="N684" s="281"/>
      <c r="O684" s="304"/>
      <c r="P684" s="305"/>
      <c r="Q684" s="306"/>
      <c r="R684" s="289" t="str">
        <f t="shared" si="13"/>
        <v/>
      </c>
      <c r="S684" s="241"/>
    </row>
    <row r="685" spans="1:19" ht="18" customHeight="1">
      <c r="A685" s="298"/>
      <c r="B685" s="299"/>
      <c r="C685" s="241"/>
      <c r="D685" s="298"/>
      <c r="E685" s="300"/>
      <c r="F685" s="298"/>
      <c r="G685" s="241"/>
      <c r="H685" s="302"/>
      <c r="J685" s="241"/>
      <c r="M685" s="303"/>
      <c r="N685" s="281"/>
      <c r="O685" s="304"/>
      <c r="P685" s="305"/>
      <c r="Q685" s="306"/>
      <c r="R685" s="289" t="str">
        <f t="shared" si="13"/>
        <v/>
      </c>
      <c r="S685" s="241"/>
    </row>
    <row r="686" spans="1:19" ht="18" customHeight="1">
      <c r="A686" s="298"/>
      <c r="B686" s="299"/>
      <c r="C686" s="241"/>
      <c r="D686" s="298"/>
      <c r="E686" s="300"/>
      <c r="F686" s="298"/>
      <c r="G686" s="241"/>
      <c r="H686" s="302"/>
      <c r="J686" s="241"/>
      <c r="M686" s="303"/>
      <c r="N686" s="281"/>
      <c r="O686" s="304"/>
      <c r="P686" s="305"/>
      <c r="Q686" s="306"/>
      <c r="R686" s="289" t="str">
        <f t="shared" si="13"/>
        <v/>
      </c>
      <c r="S686" s="241"/>
    </row>
    <row r="687" spans="1:19" ht="18" customHeight="1">
      <c r="A687" s="298"/>
      <c r="B687" s="299"/>
      <c r="C687" s="241"/>
      <c r="D687" s="298"/>
      <c r="E687" s="300"/>
      <c r="F687" s="298"/>
      <c r="G687" s="241"/>
      <c r="H687" s="302"/>
      <c r="J687" s="241"/>
      <c r="M687" s="303"/>
      <c r="N687" s="281"/>
      <c r="O687" s="304"/>
      <c r="P687" s="305"/>
      <c r="Q687" s="306"/>
      <c r="R687" s="289" t="str">
        <f t="shared" si="13"/>
        <v/>
      </c>
      <c r="S687" s="241"/>
    </row>
    <row r="688" spans="1:19" ht="18" customHeight="1">
      <c r="A688" s="298"/>
      <c r="B688" s="299"/>
      <c r="C688" s="241"/>
      <c r="D688" s="298"/>
      <c r="E688" s="300"/>
      <c r="F688" s="298"/>
      <c r="G688" s="241"/>
      <c r="H688" s="302"/>
      <c r="J688" s="241"/>
      <c r="M688" s="303"/>
      <c r="N688" s="281"/>
      <c r="O688" s="304"/>
      <c r="P688" s="305"/>
      <c r="Q688" s="306"/>
      <c r="R688" s="289" t="str">
        <f t="shared" si="13"/>
        <v/>
      </c>
      <c r="S688" s="241"/>
    </row>
    <row r="689" spans="1:19" ht="18" customHeight="1">
      <c r="A689" s="298"/>
      <c r="B689" s="299"/>
      <c r="C689" s="241"/>
      <c r="D689" s="298"/>
      <c r="E689" s="300"/>
      <c r="F689" s="298"/>
      <c r="G689" s="241"/>
      <c r="H689" s="302"/>
      <c r="J689" s="241"/>
      <c r="M689" s="303"/>
      <c r="N689" s="281"/>
      <c r="O689" s="304"/>
      <c r="P689" s="305"/>
      <c r="Q689" s="306"/>
      <c r="R689" s="289" t="str">
        <f t="shared" si="13"/>
        <v/>
      </c>
      <c r="S689" s="241"/>
    </row>
    <row r="690" spans="1:19" ht="18" customHeight="1">
      <c r="A690" s="298"/>
      <c r="B690" s="299"/>
      <c r="C690" s="241"/>
      <c r="D690" s="298"/>
      <c r="E690" s="300"/>
      <c r="F690" s="298"/>
      <c r="G690" s="241"/>
      <c r="H690" s="302"/>
      <c r="J690" s="241"/>
      <c r="M690" s="303"/>
      <c r="N690" s="281"/>
      <c r="O690" s="304"/>
      <c r="P690" s="305"/>
      <c r="Q690" s="306"/>
      <c r="R690" s="289" t="str">
        <f t="shared" si="13"/>
        <v/>
      </c>
      <c r="S690" s="241"/>
    </row>
    <row r="691" spans="1:19" ht="18" customHeight="1">
      <c r="A691" s="298"/>
      <c r="B691" s="299"/>
      <c r="C691" s="241"/>
      <c r="D691" s="298"/>
      <c r="E691" s="300"/>
      <c r="F691" s="298"/>
      <c r="G691" s="241"/>
      <c r="H691" s="302"/>
      <c r="J691" s="241"/>
      <c r="M691" s="303"/>
      <c r="N691" s="281"/>
      <c r="O691" s="304"/>
      <c r="P691" s="305"/>
      <c r="Q691" s="306"/>
      <c r="R691" s="289" t="str">
        <f t="shared" si="13"/>
        <v/>
      </c>
      <c r="S691" s="241"/>
    </row>
    <row r="692" spans="1:19" ht="18" customHeight="1">
      <c r="A692" s="298"/>
      <c r="B692" s="299"/>
      <c r="C692" s="241"/>
      <c r="D692" s="298"/>
      <c r="E692" s="300"/>
      <c r="F692" s="298"/>
      <c r="G692" s="241"/>
      <c r="H692" s="302"/>
      <c r="J692" s="241"/>
      <c r="M692" s="303"/>
      <c r="N692" s="281"/>
      <c r="O692" s="304"/>
      <c r="P692" s="305"/>
      <c r="Q692" s="306"/>
      <c r="R692" s="289" t="str">
        <f t="shared" si="13"/>
        <v/>
      </c>
      <c r="S692" s="241"/>
    </row>
    <row r="693" spans="1:19" ht="18" customHeight="1">
      <c r="A693" s="298"/>
      <c r="B693" s="299"/>
      <c r="C693" s="241"/>
      <c r="D693" s="298"/>
      <c r="E693" s="300"/>
      <c r="F693" s="298"/>
      <c r="G693" s="241"/>
      <c r="H693" s="302"/>
      <c r="J693" s="241"/>
      <c r="M693" s="303"/>
      <c r="N693" s="281"/>
      <c r="O693" s="304"/>
      <c r="P693" s="305"/>
      <c r="Q693" s="306"/>
      <c r="R693" s="289" t="str">
        <f t="shared" si="13"/>
        <v/>
      </c>
      <c r="S693" s="241"/>
    </row>
    <row r="694" spans="1:19" ht="18" customHeight="1">
      <c r="A694" s="298"/>
      <c r="B694" s="299"/>
      <c r="C694" s="241"/>
      <c r="D694" s="298"/>
      <c r="E694" s="300"/>
      <c r="F694" s="298"/>
      <c r="G694" s="241"/>
      <c r="H694" s="302"/>
      <c r="J694" s="241"/>
      <c r="M694" s="303"/>
      <c r="N694" s="281"/>
      <c r="O694" s="304"/>
      <c r="P694" s="305"/>
      <c r="Q694" s="306"/>
      <c r="R694" s="289" t="str">
        <f t="shared" si="13"/>
        <v/>
      </c>
      <c r="S694" s="241"/>
    </row>
    <row r="695" spans="1:19" ht="18" customHeight="1">
      <c r="A695" s="298"/>
      <c r="B695" s="299"/>
      <c r="C695" s="241"/>
      <c r="D695" s="298"/>
      <c r="E695" s="300"/>
      <c r="F695" s="298"/>
      <c r="G695" s="241"/>
      <c r="H695" s="302"/>
      <c r="J695" s="241"/>
      <c r="M695" s="303"/>
      <c r="N695" s="281"/>
      <c r="O695" s="304"/>
      <c r="P695" s="305"/>
      <c r="Q695" s="306"/>
      <c r="R695" s="289" t="str">
        <f t="shared" si="13"/>
        <v/>
      </c>
      <c r="S695" s="241"/>
    </row>
    <row r="696" spans="1:19" ht="18" customHeight="1">
      <c r="A696" s="298"/>
      <c r="B696" s="299"/>
      <c r="C696" s="241"/>
      <c r="D696" s="298"/>
      <c r="E696" s="300"/>
      <c r="F696" s="298"/>
      <c r="G696" s="241"/>
      <c r="H696" s="302"/>
      <c r="J696" s="241"/>
      <c r="M696" s="303"/>
      <c r="N696" s="281"/>
      <c r="O696" s="304"/>
      <c r="P696" s="305"/>
      <c r="Q696" s="306"/>
      <c r="R696" s="289" t="str">
        <f t="shared" si="13"/>
        <v/>
      </c>
      <c r="S696" s="241"/>
    </row>
    <row r="697" spans="1:19" ht="18" customHeight="1">
      <c r="A697" s="298"/>
      <c r="B697" s="299"/>
      <c r="C697" s="241"/>
      <c r="D697" s="298"/>
      <c r="E697" s="300"/>
      <c r="F697" s="298"/>
      <c r="G697" s="241"/>
      <c r="H697" s="302"/>
      <c r="J697" s="241"/>
      <c r="M697" s="303"/>
      <c r="N697" s="281"/>
      <c r="O697" s="304"/>
      <c r="P697" s="305"/>
      <c r="Q697" s="306"/>
      <c r="R697" s="289" t="str">
        <f t="shared" si="13"/>
        <v/>
      </c>
      <c r="S697" s="241"/>
    </row>
    <row r="698" spans="1:19" ht="18" customHeight="1">
      <c r="A698" s="298"/>
      <c r="B698" s="299"/>
      <c r="C698" s="241"/>
      <c r="D698" s="298"/>
      <c r="E698" s="300"/>
      <c r="F698" s="298"/>
      <c r="G698" s="241"/>
      <c r="H698" s="302"/>
      <c r="J698" s="241"/>
      <c r="M698" s="303"/>
      <c r="N698" s="281"/>
      <c r="O698" s="304"/>
      <c r="P698" s="305"/>
      <c r="Q698" s="306"/>
      <c r="R698" s="289" t="str">
        <f t="shared" si="13"/>
        <v/>
      </c>
      <c r="S698" s="241"/>
    </row>
    <row r="699" spans="1:19" ht="18" customHeight="1">
      <c r="A699" s="298"/>
      <c r="B699" s="299"/>
      <c r="C699" s="241"/>
      <c r="D699" s="298"/>
      <c r="E699" s="300"/>
      <c r="F699" s="298"/>
      <c r="G699" s="241"/>
      <c r="H699" s="302"/>
      <c r="J699" s="241"/>
      <c r="M699" s="303"/>
      <c r="N699" s="281"/>
      <c r="O699" s="304"/>
      <c r="P699" s="305"/>
      <c r="Q699" s="306"/>
      <c r="R699" s="289" t="str">
        <f t="shared" si="13"/>
        <v/>
      </c>
      <c r="S699" s="241"/>
    </row>
    <row r="700" spans="1:19" ht="18" customHeight="1">
      <c r="A700" s="298"/>
      <c r="B700" s="299"/>
      <c r="C700" s="241"/>
      <c r="D700" s="298"/>
      <c r="E700" s="300"/>
      <c r="F700" s="298"/>
      <c r="G700" s="241"/>
      <c r="H700" s="302"/>
      <c r="J700" s="241"/>
      <c r="M700" s="303"/>
      <c r="N700" s="281"/>
      <c r="O700" s="304"/>
      <c r="P700" s="305"/>
      <c r="Q700" s="306"/>
      <c r="R700" s="289" t="str">
        <f t="shared" si="13"/>
        <v/>
      </c>
      <c r="S700" s="241"/>
    </row>
    <row r="701" spans="1:19" ht="18" customHeight="1">
      <c r="A701" s="298"/>
      <c r="B701" s="299"/>
      <c r="C701" s="241"/>
      <c r="D701" s="298"/>
      <c r="E701" s="300"/>
      <c r="F701" s="298"/>
      <c r="G701" s="241"/>
      <c r="H701" s="302"/>
      <c r="J701" s="241"/>
      <c r="M701" s="303"/>
      <c r="N701" s="281"/>
      <c r="O701" s="304"/>
      <c r="P701" s="305"/>
      <c r="Q701" s="306"/>
      <c r="R701" s="289" t="str">
        <f t="shared" si="13"/>
        <v/>
      </c>
      <c r="S701" s="241"/>
    </row>
    <row r="702" spans="1:19" ht="18" customHeight="1">
      <c r="A702" s="298"/>
      <c r="B702" s="299"/>
      <c r="C702" s="241"/>
      <c r="D702" s="298"/>
      <c r="E702" s="300"/>
      <c r="F702" s="298"/>
      <c r="G702" s="241"/>
      <c r="H702" s="302"/>
      <c r="J702" s="241"/>
      <c r="M702" s="303"/>
      <c r="N702" s="281"/>
      <c r="O702" s="304"/>
      <c r="P702" s="305"/>
      <c r="Q702" s="306"/>
      <c r="R702" s="289" t="str">
        <f t="shared" si="13"/>
        <v/>
      </c>
      <c r="S702" s="241"/>
    </row>
    <row r="703" spans="1:19" ht="18" customHeight="1">
      <c r="A703" s="298"/>
      <c r="B703" s="299"/>
      <c r="C703" s="241"/>
      <c r="D703" s="298"/>
      <c r="E703" s="300"/>
      <c r="F703" s="298"/>
      <c r="G703" s="241"/>
      <c r="H703" s="302"/>
      <c r="J703" s="241"/>
      <c r="M703" s="303"/>
      <c r="N703" s="281"/>
      <c r="O703" s="304"/>
      <c r="P703" s="305"/>
      <c r="Q703" s="306"/>
      <c r="R703" s="289" t="str">
        <f t="shared" si="13"/>
        <v/>
      </c>
      <c r="S703" s="241"/>
    </row>
    <row r="704" spans="1:19" ht="18" customHeight="1">
      <c r="A704" s="298"/>
      <c r="B704" s="299"/>
      <c r="C704" s="241"/>
      <c r="D704" s="298"/>
      <c r="E704" s="300"/>
      <c r="F704" s="298"/>
      <c r="G704" s="241"/>
      <c r="H704" s="302"/>
      <c r="J704" s="241"/>
      <c r="M704" s="303"/>
      <c r="N704" s="281"/>
      <c r="O704" s="304"/>
      <c r="P704" s="305"/>
      <c r="Q704" s="306"/>
      <c r="R704" s="289" t="str">
        <f t="shared" si="13"/>
        <v/>
      </c>
      <c r="S704" s="241"/>
    </row>
    <row r="705" spans="1:19" ht="18" customHeight="1">
      <c r="A705" s="298"/>
      <c r="B705" s="299"/>
      <c r="C705" s="241"/>
      <c r="D705" s="298"/>
      <c r="E705" s="300"/>
      <c r="F705" s="298"/>
      <c r="G705" s="241"/>
      <c r="H705" s="302"/>
      <c r="J705" s="241"/>
      <c r="M705" s="303"/>
      <c r="N705" s="281"/>
      <c r="O705" s="304"/>
      <c r="P705" s="305"/>
      <c r="Q705" s="306"/>
      <c r="R705" s="289" t="str">
        <f t="shared" si="13"/>
        <v/>
      </c>
      <c r="S705" s="241"/>
    </row>
    <row r="706" spans="1:19" ht="18" customHeight="1">
      <c r="A706" s="298"/>
      <c r="B706" s="299"/>
      <c r="C706" s="241"/>
      <c r="D706" s="298"/>
      <c r="E706" s="300"/>
      <c r="F706" s="298"/>
      <c r="G706" s="241"/>
      <c r="H706" s="302"/>
      <c r="J706" s="241"/>
      <c r="M706" s="303"/>
      <c r="N706" s="281"/>
      <c r="O706" s="304"/>
      <c r="P706" s="305"/>
      <c r="Q706" s="306"/>
      <c r="R706" s="289" t="str">
        <f t="shared" si="13"/>
        <v/>
      </c>
      <c r="S706" s="241"/>
    </row>
    <row r="707" spans="1:19" ht="18" customHeight="1">
      <c r="A707" s="298"/>
      <c r="B707" s="299"/>
      <c r="C707" s="241"/>
      <c r="D707" s="298"/>
      <c r="E707" s="300"/>
      <c r="F707" s="298"/>
      <c r="G707" s="241"/>
      <c r="H707" s="302"/>
      <c r="J707" s="241"/>
      <c r="M707" s="303"/>
      <c r="N707" s="281"/>
      <c r="O707" s="304"/>
      <c r="P707" s="305"/>
      <c r="Q707" s="306"/>
      <c r="R707" s="289" t="str">
        <f t="shared" si="13"/>
        <v/>
      </c>
      <c r="S707" s="241"/>
    </row>
    <row r="708" spans="1:19" ht="18" customHeight="1">
      <c r="A708" s="298"/>
      <c r="B708" s="299"/>
      <c r="C708" s="241"/>
      <c r="D708" s="298"/>
      <c r="E708" s="300"/>
      <c r="F708" s="298"/>
      <c r="G708" s="241"/>
      <c r="H708" s="302"/>
      <c r="J708" s="241"/>
      <c r="M708" s="303"/>
      <c r="N708" s="281"/>
      <c r="O708" s="304"/>
      <c r="P708" s="305"/>
      <c r="Q708" s="306"/>
      <c r="R708" s="289" t="str">
        <f t="shared" si="13"/>
        <v/>
      </c>
      <c r="S708" s="241"/>
    </row>
    <row r="709" spans="1:19" ht="18" customHeight="1">
      <c r="A709" s="298"/>
      <c r="B709" s="299"/>
      <c r="C709" s="241"/>
      <c r="D709" s="298"/>
      <c r="E709" s="300"/>
      <c r="F709" s="298"/>
      <c r="G709" s="241"/>
      <c r="H709" s="302"/>
      <c r="J709" s="241"/>
      <c r="M709" s="303"/>
      <c r="N709" s="281"/>
      <c r="O709" s="304"/>
      <c r="P709" s="305"/>
      <c r="Q709" s="306"/>
      <c r="R709" s="289" t="str">
        <f t="shared" si="13"/>
        <v/>
      </c>
      <c r="S709" s="241"/>
    </row>
    <row r="710" spans="1:19" ht="18" customHeight="1">
      <c r="A710" s="298"/>
      <c r="B710" s="299"/>
      <c r="C710" s="241"/>
      <c r="D710" s="298"/>
      <c r="E710" s="300"/>
      <c r="F710" s="298"/>
      <c r="G710" s="241"/>
      <c r="H710" s="302"/>
      <c r="J710" s="241"/>
      <c r="M710" s="303"/>
      <c r="N710" s="281"/>
      <c r="O710" s="304"/>
      <c r="P710" s="305"/>
      <c r="Q710" s="306"/>
      <c r="R710" s="289" t="str">
        <f t="shared" si="13"/>
        <v/>
      </c>
      <c r="S710" s="241"/>
    </row>
    <row r="711" spans="1:19" ht="18" customHeight="1">
      <c r="A711" s="298"/>
      <c r="B711" s="299"/>
      <c r="C711" s="241"/>
      <c r="D711" s="298"/>
      <c r="E711" s="300"/>
      <c r="F711" s="298"/>
      <c r="G711" s="241"/>
      <c r="H711" s="302"/>
      <c r="J711" s="241"/>
      <c r="M711" s="303"/>
      <c r="N711" s="281"/>
      <c r="O711" s="304"/>
      <c r="P711" s="305"/>
      <c r="Q711" s="306"/>
      <c r="R711" s="289" t="str">
        <f t="shared" si="13"/>
        <v/>
      </c>
      <c r="S711" s="241"/>
    </row>
    <row r="712" spans="1:19" ht="18" customHeight="1">
      <c r="A712" s="298"/>
      <c r="B712" s="299"/>
      <c r="C712" s="241"/>
      <c r="D712" s="298"/>
      <c r="E712" s="300"/>
      <c r="F712" s="298"/>
      <c r="G712" s="241"/>
      <c r="H712" s="302"/>
      <c r="J712" s="241"/>
      <c r="M712" s="303"/>
      <c r="N712" s="281"/>
      <c r="O712" s="304"/>
      <c r="P712" s="305"/>
      <c r="Q712" s="306"/>
      <c r="R712" s="289" t="str">
        <f t="shared" si="13"/>
        <v/>
      </c>
      <c r="S712" s="241"/>
    </row>
    <row r="713" spans="1:19" ht="18" customHeight="1">
      <c r="A713" s="298"/>
      <c r="B713" s="299"/>
      <c r="C713" s="241"/>
      <c r="D713" s="298"/>
      <c r="E713" s="300"/>
      <c r="F713" s="298"/>
      <c r="G713" s="241"/>
      <c r="H713" s="302"/>
      <c r="J713" s="241"/>
      <c r="M713" s="303"/>
      <c r="N713" s="281"/>
      <c r="O713" s="304"/>
      <c r="P713" s="305"/>
      <c r="Q713" s="306"/>
      <c r="R713" s="289" t="str">
        <f t="shared" si="13"/>
        <v/>
      </c>
      <c r="S713" s="241"/>
    </row>
    <row r="714" spans="1:19" ht="18" customHeight="1">
      <c r="A714" s="298"/>
      <c r="B714" s="299"/>
      <c r="C714" s="241"/>
      <c r="D714" s="298"/>
      <c r="E714" s="300"/>
      <c r="F714" s="298"/>
      <c r="G714" s="241"/>
      <c r="H714" s="302"/>
      <c r="J714" s="241"/>
      <c r="M714" s="303"/>
      <c r="N714" s="281"/>
      <c r="O714" s="304"/>
      <c r="P714" s="305"/>
      <c r="Q714" s="306"/>
      <c r="R714" s="289" t="str">
        <f t="shared" si="13"/>
        <v/>
      </c>
      <c r="S714" s="241"/>
    </row>
    <row r="715" spans="1:19" ht="18" customHeight="1">
      <c r="A715" s="298"/>
      <c r="B715" s="299"/>
      <c r="C715" s="241"/>
      <c r="D715" s="298"/>
      <c r="E715" s="300"/>
      <c r="F715" s="298"/>
      <c r="G715" s="241"/>
      <c r="H715" s="302"/>
      <c r="J715" s="241"/>
      <c r="M715" s="303"/>
      <c r="N715" s="281"/>
      <c r="O715" s="304"/>
      <c r="P715" s="305"/>
      <c r="Q715" s="306"/>
      <c r="R715" s="289" t="str">
        <f t="shared" si="13"/>
        <v/>
      </c>
      <c r="S715" s="241"/>
    </row>
    <row r="716" spans="1:19" ht="18" customHeight="1">
      <c r="A716" s="298"/>
      <c r="B716" s="299"/>
      <c r="C716" s="241"/>
      <c r="D716" s="298"/>
      <c r="E716" s="300"/>
      <c r="F716" s="298"/>
      <c r="G716" s="241"/>
      <c r="H716" s="302"/>
      <c r="J716" s="241"/>
      <c r="M716" s="303"/>
      <c r="N716" s="281"/>
      <c r="O716" s="304"/>
      <c r="P716" s="305"/>
      <c r="Q716" s="306"/>
      <c r="R716" s="289" t="str">
        <f t="shared" si="13"/>
        <v/>
      </c>
      <c r="S716" s="241"/>
    </row>
    <row r="717" spans="1:19" ht="18" customHeight="1">
      <c r="A717" s="298"/>
      <c r="B717" s="299"/>
      <c r="C717" s="241"/>
      <c r="D717" s="298"/>
      <c r="E717" s="300"/>
      <c r="F717" s="298"/>
      <c r="G717" s="241"/>
      <c r="H717" s="302"/>
      <c r="J717" s="241"/>
      <c r="M717" s="303"/>
      <c r="N717" s="281"/>
      <c r="O717" s="304"/>
      <c r="P717" s="305"/>
      <c r="Q717" s="306"/>
      <c r="R717" s="289" t="str">
        <f t="shared" si="13"/>
        <v/>
      </c>
      <c r="S717" s="241"/>
    </row>
    <row r="718" spans="1:19" ht="18" customHeight="1">
      <c r="A718" s="298"/>
      <c r="B718" s="299"/>
      <c r="C718" s="241"/>
      <c r="D718" s="298"/>
      <c r="E718" s="300"/>
      <c r="F718" s="298"/>
      <c r="G718" s="241"/>
      <c r="H718" s="302"/>
      <c r="J718" s="241"/>
      <c r="M718" s="303"/>
      <c r="N718" s="281"/>
      <c r="O718" s="304"/>
      <c r="P718" s="305"/>
      <c r="Q718" s="306"/>
      <c r="R718" s="289" t="str">
        <f t="shared" si="13"/>
        <v/>
      </c>
      <c r="S718" s="241"/>
    </row>
    <row r="719" spans="1:19" ht="18" customHeight="1">
      <c r="A719" s="298"/>
      <c r="B719" s="299"/>
      <c r="C719" s="241"/>
      <c r="D719" s="298"/>
      <c r="E719" s="300"/>
      <c r="F719" s="298"/>
      <c r="G719" s="241"/>
      <c r="H719" s="302"/>
      <c r="J719" s="241"/>
      <c r="M719" s="303"/>
      <c r="N719" s="281"/>
      <c r="O719" s="304"/>
      <c r="P719" s="305"/>
      <c r="Q719" s="306"/>
      <c r="R719" s="289" t="str">
        <f t="shared" si="13"/>
        <v/>
      </c>
      <c r="S719" s="241"/>
    </row>
    <row r="720" spans="1:19" ht="18" customHeight="1">
      <c r="A720" s="298"/>
      <c r="B720" s="299"/>
      <c r="C720" s="241"/>
      <c r="D720" s="298"/>
      <c r="E720" s="300"/>
      <c r="F720" s="298"/>
      <c r="G720" s="241"/>
      <c r="H720" s="302"/>
      <c r="J720" s="241"/>
      <c r="M720" s="303"/>
      <c r="N720" s="281"/>
      <c r="O720" s="304"/>
      <c r="P720" s="305"/>
      <c r="Q720" s="306"/>
      <c r="R720" s="289" t="str">
        <f t="shared" si="13"/>
        <v/>
      </c>
      <c r="S720" s="241"/>
    </row>
    <row r="721" spans="1:19" ht="18" customHeight="1">
      <c r="A721" s="298"/>
      <c r="B721" s="299"/>
      <c r="C721" s="241"/>
      <c r="D721" s="298"/>
      <c r="E721" s="300"/>
      <c r="F721" s="298"/>
      <c r="G721" s="241"/>
      <c r="H721" s="302"/>
      <c r="J721" s="241"/>
      <c r="M721" s="303"/>
      <c r="N721" s="281"/>
      <c r="O721" s="304"/>
      <c r="P721" s="305"/>
      <c r="Q721" s="306"/>
      <c r="R721" s="289" t="str">
        <f t="shared" si="13"/>
        <v/>
      </c>
      <c r="S721" s="241"/>
    </row>
    <row r="722" spans="1:19" ht="18" customHeight="1">
      <c r="A722" s="298"/>
      <c r="B722" s="299"/>
      <c r="C722" s="241"/>
      <c r="D722" s="298"/>
      <c r="E722" s="300"/>
      <c r="F722" s="298"/>
      <c r="G722" s="241"/>
      <c r="H722" s="302"/>
      <c r="J722" s="241"/>
      <c r="M722" s="303"/>
      <c r="N722" s="281"/>
      <c r="O722" s="304"/>
      <c r="P722" s="305"/>
      <c r="Q722" s="306"/>
      <c r="R722" s="289" t="str">
        <f t="shared" si="13"/>
        <v/>
      </c>
      <c r="S722" s="241"/>
    </row>
    <row r="723" spans="1:19" ht="18" customHeight="1">
      <c r="A723" s="298"/>
      <c r="B723" s="299"/>
      <c r="C723" s="241"/>
      <c r="D723" s="298"/>
      <c r="E723" s="300"/>
      <c r="F723" s="298"/>
      <c r="G723" s="241"/>
      <c r="H723" s="302"/>
      <c r="J723" s="241"/>
      <c r="M723" s="303"/>
      <c r="N723" s="281"/>
      <c r="O723" s="304"/>
      <c r="P723" s="305"/>
      <c r="Q723" s="306"/>
      <c r="R723" s="289" t="str">
        <f t="shared" si="13"/>
        <v/>
      </c>
      <c r="S723" s="241"/>
    </row>
    <row r="724" spans="1:19" ht="18" customHeight="1">
      <c r="A724" s="298"/>
      <c r="B724" s="299"/>
      <c r="C724" s="241"/>
      <c r="D724" s="298"/>
      <c r="E724" s="300"/>
      <c r="F724" s="298"/>
      <c r="G724" s="241"/>
      <c r="H724" s="302"/>
      <c r="J724" s="241"/>
      <c r="M724" s="303"/>
      <c r="N724" s="281"/>
      <c r="O724" s="304"/>
      <c r="P724" s="305"/>
      <c r="Q724" s="306"/>
      <c r="R724" s="289" t="str">
        <f t="shared" si="13"/>
        <v/>
      </c>
      <c r="S724" s="241"/>
    </row>
    <row r="725" spans="1:19" ht="18" customHeight="1">
      <c r="A725" s="298"/>
      <c r="B725" s="299"/>
      <c r="C725" s="241"/>
      <c r="D725" s="298"/>
      <c r="E725" s="300"/>
      <c r="F725" s="298"/>
      <c r="G725" s="241"/>
      <c r="H725" s="302"/>
      <c r="J725" s="241"/>
      <c r="M725" s="303"/>
      <c r="N725" s="281"/>
      <c r="O725" s="304"/>
      <c r="P725" s="305"/>
      <c r="Q725" s="306"/>
      <c r="R725" s="289" t="str">
        <f t="shared" si="13"/>
        <v/>
      </c>
      <c r="S725" s="241"/>
    </row>
    <row r="726" spans="1:19" ht="18" customHeight="1">
      <c r="A726" s="298"/>
      <c r="B726" s="299"/>
      <c r="C726" s="241"/>
      <c r="D726" s="298"/>
      <c r="E726" s="300"/>
      <c r="F726" s="298"/>
      <c r="G726" s="241"/>
      <c r="H726" s="302"/>
      <c r="J726" s="241"/>
      <c r="M726" s="303"/>
      <c r="N726" s="281"/>
      <c r="O726" s="304"/>
      <c r="P726" s="305"/>
      <c r="Q726" s="306"/>
      <c r="R726" s="289" t="str">
        <f t="shared" si="13"/>
        <v/>
      </c>
      <c r="S726" s="241"/>
    </row>
    <row r="727" spans="1:19" ht="18" customHeight="1">
      <c r="A727" s="298"/>
      <c r="B727" s="299"/>
      <c r="C727" s="241"/>
      <c r="D727" s="298"/>
      <c r="E727" s="300"/>
      <c r="F727" s="298"/>
      <c r="G727" s="241"/>
      <c r="H727" s="302"/>
      <c r="J727" s="241"/>
      <c r="M727" s="303"/>
      <c r="N727" s="281"/>
      <c r="O727" s="304"/>
      <c r="P727" s="305"/>
      <c r="Q727" s="306"/>
      <c r="R727" s="289" t="str">
        <f t="shared" si="13"/>
        <v/>
      </c>
      <c r="S727" s="241"/>
    </row>
    <row r="728" spans="1:19" ht="18" customHeight="1">
      <c r="A728" s="298"/>
      <c r="B728" s="299"/>
      <c r="C728" s="241"/>
      <c r="D728" s="298"/>
      <c r="E728" s="300"/>
      <c r="F728" s="298"/>
      <c r="G728" s="241"/>
      <c r="H728" s="302"/>
      <c r="J728" s="241"/>
      <c r="M728" s="303"/>
      <c r="N728" s="281"/>
      <c r="O728" s="304"/>
      <c r="P728" s="305"/>
      <c r="Q728" s="306"/>
      <c r="R728" s="289" t="str">
        <f t="shared" si="13"/>
        <v/>
      </c>
      <c r="S728" s="241"/>
    </row>
    <row r="729" spans="1:19" ht="18" customHeight="1">
      <c r="A729" s="298"/>
      <c r="B729" s="299"/>
      <c r="C729" s="241"/>
      <c r="D729" s="298"/>
      <c r="E729" s="300"/>
      <c r="F729" s="298"/>
      <c r="G729" s="241"/>
      <c r="H729" s="302"/>
      <c r="J729" s="241"/>
      <c r="M729" s="303"/>
      <c r="N729" s="281"/>
      <c r="O729" s="304"/>
      <c r="P729" s="305"/>
      <c r="Q729" s="306"/>
      <c r="R729" s="289" t="str">
        <f t="shared" si="13"/>
        <v/>
      </c>
      <c r="S729" s="241"/>
    </row>
    <row r="730" spans="1:19" ht="18" customHeight="1">
      <c r="A730" s="298"/>
      <c r="B730" s="299"/>
      <c r="C730" s="241"/>
      <c r="D730" s="298"/>
      <c r="E730" s="300"/>
      <c r="F730" s="298"/>
      <c r="G730" s="241"/>
      <c r="H730" s="302"/>
      <c r="J730" s="241"/>
      <c r="M730" s="303"/>
      <c r="N730" s="281"/>
      <c r="O730" s="304"/>
      <c r="P730" s="305"/>
      <c r="Q730" s="306"/>
      <c r="R730" s="289" t="str">
        <f t="shared" ref="R730:R793" si="14">IF(SUM(Q730)&gt;0,SUM(Q730-P730),"")</f>
        <v/>
      </c>
      <c r="S730" s="241"/>
    </row>
    <row r="731" spans="1:19" ht="18" customHeight="1">
      <c r="A731" s="298"/>
      <c r="B731" s="299"/>
      <c r="C731" s="241"/>
      <c r="D731" s="298"/>
      <c r="E731" s="300"/>
      <c r="F731" s="298"/>
      <c r="G731" s="241"/>
      <c r="H731" s="302"/>
      <c r="J731" s="241"/>
      <c r="M731" s="303"/>
      <c r="N731" s="281"/>
      <c r="O731" s="304"/>
      <c r="P731" s="305"/>
      <c r="Q731" s="306"/>
      <c r="R731" s="289" t="str">
        <f t="shared" si="14"/>
        <v/>
      </c>
      <c r="S731" s="241"/>
    </row>
    <row r="732" spans="1:19" ht="18" customHeight="1">
      <c r="A732" s="298"/>
      <c r="B732" s="299"/>
      <c r="C732" s="241"/>
      <c r="D732" s="298"/>
      <c r="E732" s="300"/>
      <c r="F732" s="298"/>
      <c r="G732" s="241"/>
      <c r="H732" s="302"/>
      <c r="J732" s="241"/>
      <c r="M732" s="303"/>
      <c r="N732" s="281"/>
      <c r="O732" s="304"/>
      <c r="P732" s="305"/>
      <c r="Q732" s="306"/>
      <c r="R732" s="289" t="str">
        <f t="shared" si="14"/>
        <v/>
      </c>
      <c r="S732" s="241"/>
    </row>
    <row r="733" spans="1:19" ht="18" customHeight="1">
      <c r="A733" s="298"/>
      <c r="B733" s="299"/>
      <c r="C733" s="241"/>
      <c r="D733" s="298"/>
      <c r="E733" s="300"/>
      <c r="F733" s="298"/>
      <c r="G733" s="241"/>
      <c r="H733" s="302"/>
      <c r="J733" s="241"/>
      <c r="M733" s="303"/>
      <c r="N733" s="281"/>
      <c r="O733" s="304"/>
      <c r="P733" s="305"/>
      <c r="Q733" s="306"/>
      <c r="R733" s="289" t="str">
        <f t="shared" si="14"/>
        <v/>
      </c>
      <c r="S733" s="241"/>
    </row>
    <row r="734" spans="1:19" ht="18" customHeight="1">
      <c r="A734" s="298"/>
      <c r="B734" s="299"/>
      <c r="C734" s="241"/>
      <c r="D734" s="298"/>
      <c r="E734" s="300"/>
      <c r="F734" s="298"/>
      <c r="G734" s="241"/>
      <c r="H734" s="302"/>
      <c r="J734" s="241"/>
      <c r="M734" s="303"/>
      <c r="N734" s="281"/>
      <c r="O734" s="304"/>
      <c r="P734" s="305"/>
      <c r="Q734" s="306"/>
      <c r="R734" s="289" t="str">
        <f t="shared" si="14"/>
        <v/>
      </c>
      <c r="S734" s="241"/>
    </row>
    <row r="735" spans="1:19" ht="18" customHeight="1">
      <c r="A735" s="298"/>
      <c r="B735" s="299"/>
      <c r="C735" s="241"/>
      <c r="D735" s="298"/>
      <c r="E735" s="300"/>
      <c r="F735" s="298"/>
      <c r="G735" s="241"/>
      <c r="H735" s="302"/>
      <c r="J735" s="241"/>
      <c r="M735" s="303"/>
      <c r="N735" s="281"/>
      <c r="O735" s="304"/>
      <c r="P735" s="305"/>
      <c r="Q735" s="306"/>
      <c r="R735" s="289" t="str">
        <f t="shared" si="14"/>
        <v/>
      </c>
      <c r="S735" s="241"/>
    </row>
    <row r="736" spans="1:19" ht="18" customHeight="1">
      <c r="A736" s="298"/>
      <c r="B736" s="299"/>
      <c r="C736" s="241"/>
      <c r="D736" s="298"/>
      <c r="E736" s="300"/>
      <c r="F736" s="298"/>
      <c r="G736" s="241"/>
      <c r="H736" s="302"/>
      <c r="J736" s="241"/>
      <c r="M736" s="303"/>
      <c r="N736" s="281"/>
      <c r="O736" s="304"/>
      <c r="P736" s="305"/>
      <c r="Q736" s="306"/>
      <c r="R736" s="289" t="str">
        <f t="shared" si="14"/>
        <v/>
      </c>
      <c r="S736" s="241"/>
    </row>
    <row r="737" spans="1:19" ht="18" customHeight="1">
      <c r="A737" s="298"/>
      <c r="B737" s="299"/>
      <c r="C737" s="241"/>
      <c r="D737" s="298"/>
      <c r="E737" s="300"/>
      <c r="F737" s="298"/>
      <c r="G737" s="241"/>
      <c r="H737" s="302"/>
      <c r="J737" s="241"/>
      <c r="M737" s="303"/>
      <c r="N737" s="281"/>
      <c r="O737" s="304"/>
      <c r="P737" s="305"/>
      <c r="Q737" s="306"/>
      <c r="R737" s="289" t="str">
        <f t="shared" si="14"/>
        <v/>
      </c>
      <c r="S737" s="241"/>
    </row>
    <row r="738" spans="1:19" ht="18" customHeight="1">
      <c r="A738" s="298"/>
      <c r="B738" s="299"/>
      <c r="C738" s="241"/>
      <c r="D738" s="298"/>
      <c r="E738" s="300"/>
      <c r="F738" s="298"/>
      <c r="G738" s="241"/>
      <c r="H738" s="302"/>
      <c r="J738" s="241"/>
      <c r="M738" s="303"/>
      <c r="N738" s="281"/>
      <c r="O738" s="304"/>
      <c r="P738" s="305"/>
      <c r="Q738" s="306"/>
      <c r="R738" s="289" t="str">
        <f t="shared" si="14"/>
        <v/>
      </c>
      <c r="S738" s="241"/>
    </row>
    <row r="739" spans="1:19" ht="18" customHeight="1">
      <c r="A739" s="298"/>
      <c r="B739" s="299"/>
      <c r="C739" s="241"/>
      <c r="D739" s="298"/>
      <c r="E739" s="300"/>
      <c r="F739" s="298"/>
      <c r="G739" s="241"/>
      <c r="H739" s="302"/>
      <c r="J739" s="241"/>
      <c r="M739" s="303"/>
      <c r="N739" s="281"/>
      <c r="O739" s="304"/>
      <c r="P739" s="305"/>
      <c r="Q739" s="306"/>
      <c r="R739" s="289" t="str">
        <f t="shared" si="14"/>
        <v/>
      </c>
      <c r="S739" s="241"/>
    </row>
    <row r="740" spans="1:19" ht="18" customHeight="1">
      <c r="A740" s="298"/>
      <c r="B740" s="299"/>
      <c r="C740" s="241"/>
      <c r="D740" s="298"/>
      <c r="E740" s="300"/>
      <c r="F740" s="298"/>
      <c r="G740" s="241"/>
      <c r="H740" s="302"/>
      <c r="J740" s="241"/>
      <c r="M740" s="303"/>
      <c r="N740" s="281"/>
      <c r="O740" s="304"/>
      <c r="P740" s="305"/>
      <c r="Q740" s="306"/>
      <c r="R740" s="289" t="str">
        <f t="shared" si="14"/>
        <v/>
      </c>
      <c r="S740" s="241"/>
    </row>
    <row r="741" spans="1:19" ht="18" customHeight="1">
      <c r="A741" s="298"/>
      <c r="B741" s="299"/>
      <c r="C741" s="241"/>
      <c r="D741" s="298"/>
      <c r="E741" s="300"/>
      <c r="F741" s="298"/>
      <c r="G741" s="241"/>
      <c r="H741" s="302"/>
      <c r="J741" s="241"/>
      <c r="M741" s="303"/>
      <c r="N741" s="281"/>
      <c r="O741" s="304"/>
      <c r="P741" s="305"/>
      <c r="Q741" s="306"/>
      <c r="R741" s="289" t="str">
        <f t="shared" si="14"/>
        <v/>
      </c>
      <c r="S741" s="241"/>
    </row>
    <row r="742" spans="1:19" ht="18" customHeight="1">
      <c r="A742" s="298"/>
      <c r="B742" s="299"/>
      <c r="C742" s="241"/>
      <c r="D742" s="298"/>
      <c r="E742" s="300"/>
      <c r="F742" s="298"/>
      <c r="G742" s="241"/>
      <c r="H742" s="302"/>
      <c r="J742" s="241"/>
      <c r="M742" s="303"/>
      <c r="N742" s="281"/>
      <c r="O742" s="304"/>
      <c r="P742" s="305"/>
      <c r="Q742" s="306"/>
      <c r="R742" s="289" t="str">
        <f t="shared" si="14"/>
        <v/>
      </c>
      <c r="S742" s="241"/>
    </row>
    <row r="743" spans="1:19" ht="18" customHeight="1">
      <c r="A743" s="298"/>
      <c r="B743" s="299"/>
      <c r="C743" s="241"/>
      <c r="D743" s="298"/>
      <c r="E743" s="300"/>
      <c r="F743" s="298"/>
      <c r="G743" s="241"/>
      <c r="H743" s="302"/>
      <c r="J743" s="241"/>
      <c r="M743" s="303"/>
      <c r="N743" s="281"/>
      <c r="O743" s="304"/>
      <c r="P743" s="305"/>
      <c r="Q743" s="306"/>
      <c r="R743" s="289" t="str">
        <f t="shared" si="14"/>
        <v/>
      </c>
      <c r="S743" s="241"/>
    </row>
    <row r="744" spans="1:19" ht="18" customHeight="1">
      <c r="A744" s="298"/>
      <c r="B744" s="299"/>
      <c r="C744" s="241"/>
      <c r="D744" s="298"/>
      <c r="E744" s="300"/>
      <c r="F744" s="298"/>
      <c r="G744" s="241"/>
      <c r="H744" s="302"/>
      <c r="J744" s="241"/>
      <c r="M744" s="303"/>
      <c r="N744" s="281"/>
      <c r="O744" s="304"/>
      <c r="P744" s="305"/>
      <c r="Q744" s="306"/>
      <c r="R744" s="289" t="str">
        <f t="shared" si="14"/>
        <v/>
      </c>
      <c r="S744" s="241"/>
    </row>
    <row r="745" spans="1:19" ht="18" customHeight="1">
      <c r="A745" s="298"/>
      <c r="B745" s="299"/>
      <c r="C745" s="241"/>
      <c r="D745" s="298"/>
      <c r="E745" s="300"/>
      <c r="F745" s="298"/>
      <c r="G745" s="241"/>
      <c r="H745" s="302"/>
      <c r="J745" s="241"/>
      <c r="M745" s="303"/>
      <c r="N745" s="281"/>
      <c r="O745" s="304"/>
      <c r="P745" s="305"/>
      <c r="Q745" s="306"/>
      <c r="R745" s="289" t="str">
        <f t="shared" si="14"/>
        <v/>
      </c>
      <c r="S745" s="241"/>
    </row>
    <row r="746" spans="1:19" ht="18" customHeight="1">
      <c r="A746" s="298"/>
      <c r="B746" s="299"/>
      <c r="C746" s="241"/>
      <c r="D746" s="298"/>
      <c r="E746" s="300"/>
      <c r="F746" s="298"/>
      <c r="G746" s="241"/>
      <c r="H746" s="302"/>
      <c r="J746" s="241"/>
      <c r="M746" s="303"/>
      <c r="N746" s="281"/>
      <c r="O746" s="304"/>
      <c r="P746" s="305"/>
      <c r="Q746" s="306"/>
      <c r="R746" s="289" t="str">
        <f t="shared" si="14"/>
        <v/>
      </c>
      <c r="S746" s="241"/>
    </row>
    <row r="747" spans="1:19" ht="18" customHeight="1">
      <c r="A747" s="298"/>
      <c r="B747" s="299"/>
      <c r="C747" s="241"/>
      <c r="D747" s="298"/>
      <c r="E747" s="300"/>
      <c r="F747" s="298"/>
      <c r="G747" s="241"/>
      <c r="H747" s="302"/>
      <c r="J747" s="241"/>
      <c r="M747" s="303"/>
      <c r="N747" s="281"/>
      <c r="O747" s="304"/>
      <c r="P747" s="305"/>
      <c r="Q747" s="306"/>
      <c r="R747" s="289" t="str">
        <f t="shared" si="14"/>
        <v/>
      </c>
      <c r="S747" s="241"/>
    </row>
    <row r="748" spans="1:19" ht="18" customHeight="1">
      <c r="A748" s="298"/>
      <c r="B748" s="299"/>
      <c r="C748" s="241"/>
      <c r="D748" s="298"/>
      <c r="E748" s="300"/>
      <c r="F748" s="298"/>
      <c r="G748" s="241"/>
      <c r="H748" s="302"/>
      <c r="J748" s="241"/>
      <c r="M748" s="303"/>
      <c r="N748" s="281"/>
      <c r="O748" s="304"/>
      <c r="P748" s="305"/>
      <c r="Q748" s="306"/>
      <c r="R748" s="289" t="str">
        <f t="shared" si="14"/>
        <v/>
      </c>
      <c r="S748" s="241"/>
    </row>
    <row r="749" spans="1:19" ht="18" customHeight="1">
      <c r="A749" s="298"/>
      <c r="B749" s="299"/>
      <c r="C749" s="241"/>
      <c r="D749" s="298"/>
      <c r="E749" s="300"/>
      <c r="F749" s="298"/>
      <c r="G749" s="241"/>
      <c r="H749" s="302"/>
      <c r="J749" s="241"/>
      <c r="M749" s="303"/>
      <c r="N749" s="281"/>
      <c r="O749" s="304"/>
      <c r="P749" s="305"/>
      <c r="Q749" s="306"/>
      <c r="R749" s="289" t="str">
        <f t="shared" si="14"/>
        <v/>
      </c>
      <c r="S749" s="241"/>
    </row>
    <row r="750" spans="1:19" ht="18" customHeight="1">
      <c r="A750" s="298"/>
      <c r="B750" s="299"/>
      <c r="C750" s="241"/>
      <c r="D750" s="298"/>
      <c r="E750" s="300"/>
      <c r="F750" s="298"/>
      <c r="G750" s="241"/>
      <c r="H750" s="302"/>
      <c r="J750" s="241"/>
      <c r="M750" s="303"/>
      <c r="N750" s="281"/>
      <c r="O750" s="304"/>
      <c r="P750" s="305"/>
      <c r="Q750" s="306"/>
      <c r="R750" s="289" t="str">
        <f t="shared" si="14"/>
        <v/>
      </c>
      <c r="S750" s="241"/>
    </row>
    <row r="751" spans="1:19" ht="18" customHeight="1">
      <c r="A751" s="298"/>
      <c r="B751" s="299"/>
      <c r="C751" s="241"/>
      <c r="D751" s="298"/>
      <c r="E751" s="300"/>
      <c r="F751" s="298"/>
      <c r="G751" s="241"/>
      <c r="H751" s="302"/>
      <c r="J751" s="241"/>
      <c r="M751" s="303"/>
      <c r="N751" s="281"/>
      <c r="O751" s="304"/>
      <c r="P751" s="305"/>
      <c r="Q751" s="306"/>
      <c r="R751" s="289" t="str">
        <f t="shared" si="14"/>
        <v/>
      </c>
      <c r="S751" s="241"/>
    </row>
    <row r="752" spans="1:19" ht="18" customHeight="1">
      <c r="A752" s="298"/>
      <c r="B752" s="299"/>
      <c r="C752" s="241"/>
      <c r="D752" s="298"/>
      <c r="E752" s="300"/>
      <c r="F752" s="298"/>
      <c r="G752" s="241"/>
      <c r="H752" s="302"/>
      <c r="J752" s="241"/>
      <c r="M752" s="303"/>
      <c r="N752" s="281"/>
      <c r="O752" s="304"/>
      <c r="P752" s="305"/>
      <c r="Q752" s="306"/>
      <c r="R752" s="289" t="str">
        <f t="shared" si="14"/>
        <v/>
      </c>
      <c r="S752" s="241"/>
    </row>
    <row r="753" spans="1:19" ht="18" customHeight="1">
      <c r="A753" s="298"/>
      <c r="B753" s="299"/>
      <c r="C753" s="241"/>
      <c r="D753" s="298"/>
      <c r="E753" s="300"/>
      <c r="F753" s="298"/>
      <c r="G753" s="241"/>
      <c r="H753" s="302"/>
      <c r="J753" s="241"/>
      <c r="M753" s="303"/>
      <c r="N753" s="281"/>
      <c r="O753" s="304"/>
      <c r="P753" s="305"/>
      <c r="Q753" s="306"/>
      <c r="R753" s="289" t="str">
        <f t="shared" si="14"/>
        <v/>
      </c>
      <c r="S753" s="241"/>
    </row>
    <row r="754" spans="1:19" ht="18" customHeight="1">
      <c r="A754" s="298"/>
      <c r="B754" s="299"/>
      <c r="C754" s="241"/>
      <c r="D754" s="298"/>
      <c r="E754" s="300"/>
      <c r="F754" s="298"/>
      <c r="G754" s="241"/>
      <c r="H754" s="302"/>
      <c r="J754" s="241"/>
      <c r="M754" s="303"/>
      <c r="N754" s="281"/>
      <c r="O754" s="304"/>
      <c r="P754" s="305"/>
      <c r="Q754" s="306"/>
      <c r="R754" s="289" t="str">
        <f t="shared" si="14"/>
        <v/>
      </c>
      <c r="S754" s="241"/>
    </row>
    <row r="755" spans="1:19" ht="18" customHeight="1">
      <c r="A755" s="298"/>
      <c r="B755" s="299"/>
      <c r="C755" s="241"/>
      <c r="D755" s="298"/>
      <c r="E755" s="300"/>
      <c r="F755" s="298"/>
      <c r="G755" s="241"/>
      <c r="H755" s="302"/>
      <c r="J755" s="241"/>
      <c r="M755" s="303"/>
      <c r="N755" s="281"/>
      <c r="O755" s="304"/>
      <c r="P755" s="305"/>
      <c r="Q755" s="306"/>
      <c r="R755" s="289" t="str">
        <f t="shared" si="14"/>
        <v/>
      </c>
      <c r="S755" s="241"/>
    </row>
    <row r="756" spans="1:19" ht="18" customHeight="1">
      <c r="A756" s="298"/>
      <c r="B756" s="299"/>
      <c r="C756" s="241"/>
      <c r="D756" s="298"/>
      <c r="E756" s="300"/>
      <c r="F756" s="298"/>
      <c r="G756" s="241"/>
      <c r="H756" s="302"/>
      <c r="J756" s="241"/>
      <c r="M756" s="303"/>
      <c r="N756" s="281"/>
      <c r="O756" s="304"/>
      <c r="P756" s="305"/>
      <c r="Q756" s="306"/>
      <c r="R756" s="289" t="str">
        <f t="shared" si="14"/>
        <v/>
      </c>
      <c r="S756" s="241"/>
    </row>
    <row r="757" spans="1:19" ht="18" customHeight="1">
      <c r="A757" s="298"/>
      <c r="B757" s="299"/>
      <c r="C757" s="241"/>
      <c r="D757" s="298"/>
      <c r="E757" s="300"/>
      <c r="F757" s="298"/>
      <c r="G757" s="241"/>
      <c r="H757" s="302"/>
      <c r="J757" s="241"/>
      <c r="M757" s="303"/>
      <c r="N757" s="281"/>
      <c r="O757" s="304"/>
      <c r="P757" s="305"/>
      <c r="Q757" s="306"/>
      <c r="R757" s="289" t="str">
        <f t="shared" si="14"/>
        <v/>
      </c>
      <c r="S757" s="241"/>
    </row>
    <row r="758" spans="1:19" ht="18" customHeight="1">
      <c r="A758" s="298"/>
      <c r="B758" s="299"/>
      <c r="C758" s="241"/>
      <c r="D758" s="298"/>
      <c r="E758" s="300"/>
      <c r="F758" s="298"/>
      <c r="G758" s="241"/>
      <c r="H758" s="302"/>
      <c r="J758" s="241"/>
      <c r="M758" s="303"/>
      <c r="N758" s="281"/>
      <c r="O758" s="304"/>
      <c r="P758" s="305"/>
      <c r="Q758" s="306"/>
      <c r="R758" s="289" t="str">
        <f t="shared" si="14"/>
        <v/>
      </c>
      <c r="S758" s="241"/>
    </row>
    <row r="759" spans="1:19" ht="18" customHeight="1">
      <c r="A759" s="298"/>
      <c r="B759" s="299"/>
      <c r="C759" s="241"/>
      <c r="D759" s="298"/>
      <c r="E759" s="300"/>
      <c r="F759" s="298"/>
      <c r="G759" s="241"/>
      <c r="H759" s="302"/>
      <c r="J759" s="241"/>
      <c r="M759" s="303"/>
      <c r="N759" s="281"/>
      <c r="O759" s="304"/>
      <c r="P759" s="305"/>
      <c r="Q759" s="306"/>
      <c r="R759" s="289" t="str">
        <f t="shared" si="14"/>
        <v/>
      </c>
      <c r="S759" s="241"/>
    </row>
    <row r="760" spans="1:19" ht="18" customHeight="1">
      <c r="A760" s="298"/>
      <c r="B760" s="299"/>
      <c r="C760" s="241"/>
      <c r="D760" s="298"/>
      <c r="E760" s="300"/>
      <c r="F760" s="298"/>
      <c r="G760" s="241"/>
      <c r="H760" s="302"/>
      <c r="J760" s="241"/>
      <c r="M760" s="303"/>
      <c r="N760" s="281"/>
      <c r="O760" s="304"/>
      <c r="P760" s="305"/>
      <c r="Q760" s="306"/>
      <c r="R760" s="289" t="str">
        <f t="shared" si="14"/>
        <v/>
      </c>
      <c r="S760" s="241"/>
    </row>
    <row r="761" spans="1:19" ht="18" customHeight="1">
      <c r="A761" s="298"/>
      <c r="B761" s="299"/>
      <c r="C761" s="241"/>
      <c r="D761" s="298"/>
      <c r="E761" s="300"/>
      <c r="F761" s="298"/>
      <c r="G761" s="241"/>
      <c r="H761" s="302"/>
      <c r="J761" s="241"/>
      <c r="M761" s="303"/>
      <c r="N761" s="281"/>
      <c r="O761" s="304"/>
      <c r="P761" s="305"/>
      <c r="Q761" s="306"/>
      <c r="R761" s="289" t="str">
        <f t="shared" si="14"/>
        <v/>
      </c>
      <c r="S761" s="241"/>
    </row>
    <row r="762" spans="1:19" ht="18" customHeight="1">
      <c r="A762" s="298"/>
      <c r="B762" s="299"/>
      <c r="C762" s="241"/>
      <c r="D762" s="298"/>
      <c r="E762" s="300"/>
      <c r="F762" s="298"/>
      <c r="G762" s="241"/>
      <c r="H762" s="302"/>
      <c r="J762" s="241"/>
      <c r="M762" s="303"/>
      <c r="N762" s="281"/>
      <c r="O762" s="304"/>
      <c r="P762" s="305"/>
      <c r="Q762" s="306"/>
      <c r="R762" s="289" t="str">
        <f t="shared" si="14"/>
        <v/>
      </c>
      <c r="S762" s="241"/>
    </row>
    <row r="763" spans="1:19" ht="18" customHeight="1">
      <c r="A763" s="298"/>
      <c r="B763" s="299"/>
      <c r="C763" s="241"/>
      <c r="D763" s="298"/>
      <c r="E763" s="300"/>
      <c r="F763" s="298"/>
      <c r="G763" s="241"/>
      <c r="H763" s="302"/>
      <c r="J763" s="241"/>
      <c r="M763" s="303"/>
      <c r="N763" s="281"/>
      <c r="O763" s="304"/>
      <c r="P763" s="305"/>
      <c r="Q763" s="306"/>
      <c r="R763" s="289" t="str">
        <f t="shared" si="14"/>
        <v/>
      </c>
      <c r="S763" s="241"/>
    </row>
    <row r="764" spans="1:19" ht="18" customHeight="1">
      <c r="A764" s="298"/>
      <c r="B764" s="299"/>
      <c r="C764" s="241"/>
      <c r="D764" s="298"/>
      <c r="E764" s="300"/>
      <c r="F764" s="298"/>
      <c r="G764" s="241"/>
      <c r="H764" s="302"/>
      <c r="J764" s="241"/>
      <c r="M764" s="303"/>
      <c r="N764" s="281"/>
      <c r="O764" s="304"/>
      <c r="P764" s="305"/>
      <c r="Q764" s="306"/>
      <c r="R764" s="289" t="str">
        <f t="shared" si="14"/>
        <v/>
      </c>
      <c r="S764" s="241"/>
    </row>
    <row r="765" spans="1:19" ht="18" customHeight="1">
      <c r="A765" s="298"/>
      <c r="B765" s="299"/>
      <c r="C765" s="241"/>
      <c r="D765" s="298"/>
      <c r="E765" s="300"/>
      <c r="F765" s="298"/>
      <c r="G765" s="241"/>
      <c r="H765" s="302"/>
      <c r="J765" s="241"/>
      <c r="M765" s="303"/>
      <c r="N765" s="281"/>
      <c r="O765" s="304"/>
      <c r="P765" s="305"/>
      <c r="Q765" s="306"/>
      <c r="R765" s="289" t="str">
        <f t="shared" si="14"/>
        <v/>
      </c>
      <c r="S765" s="241"/>
    </row>
    <row r="766" spans="1:19" ht="18" customHeight="1">
      <c r="A766" s="298"/>
      <c r="B766" s="299"/>
      <c r="C766" s="241"/>
      <c r="D766" s="298"/>
      <c r="E766" s="300"/>
      <c r="F766" s="298"/>
      <c r="G766" s="241"/>
      <c r="H766" s="302"/>
      <c r="J766" s="241"/>
      <c r="M766" s="303"/>
      <c r="N766" s="281"/>
      <c r="O766" s="304"/>
      <c r="P766" s="305"/>
      <c r="Q766" s="306"/>
      <c r="R766" s="289" t="str">
        <f t="shared" si="14"/>
        <v/>
      </c>
      <c r="S766" s="241"/>
    </row>
    <row r="767" spans="1:19" ht="18" customHeight="1">
      <c r="A767" s="298"/>
      <c r="B767" s="299"/>
      <c r="C767" s="241"/>
      <c r="D767" s="298"/>
      <c r="E767" s="300"/>
      <c r="F767" s="298"/>
      <c r="G767" s="241"/>
      <c r="H767" s="302"/>
      <c r="J767" s="241"/>
      <c r="M767" s="303"/>
      <c r="N767" s="281"/>
      <c r="O767" s="304"/>
      <c r="P767" s="305"/>
      <c r="Q767" s="306"/>
      <c r="R767" s="289" t="str">
        <f t="shared" si="14"/>
        <v/>
      </c>
      <c r="S767" s="241"/>
    </row>
    <row r="768" spans="1:19" ht="18" customHeight="1">
      <c r="A768" s="298"/>
      <c r="B768" s="299"/>
      <c r="C768" s="241"/>
      <c r="D768" s="298"/>
      <c r="E768" s="300"/>
      <c r="F768" s="298"/>
      <c r="G768" s="241"/>
      <c r="H768" s="302"/>
      <c r="J768" s="241"/>
      <c r="M768" s="303"/>
      <c r="N768" s="281"/>
      <c r="O768" s="304"/>
      <c r="P768" s="305"/>
      <c r="Q768" s="306"/>
      <c r="R768" s="289" t="str">
        <f t="shared" si="14"/>
        <v/>
      </c>
      <c r="S768" s="241"/>
    </row>
    <row r="769" spans="1:19" ht="18" customHeight="1">
      <c r="A769" s="298"/>
      <c r="B769" s="299"/>
      <c r="C769" s="241"/>
      <c r="D769" s="298"/>
      <c r="E769" s="300"/>
      <c r="F769" s="298"/>
      <c r="G769" s="241"/>
      <c r="H769" s="302"/>
      <c r="J769" s="241"/>
      <c r="M769" s="303"/>
      <c r="N769" s="281"/>
      <c r="O769" s="304"/>
      <c r="P769" s="305"/>
      <c r="Q769" s="306"/>
      <c r="R769" s="289" t="str">
        <f t="shared" si="14"/>
        <v/>
      </c>
      <c r="S769" s="241"/>
    </row>
    <row r="770" spans="1:19" ht="18" customHeight="1">
      <c r="A770" s="298"/>
      <c r="B770" s="299"/>
      <c r="C770" s="241"/>
      <c r="D770" s="298"/>
      <c r="E770" s="300"/>
      <c r="F770" s="298"/>
      <c r="G770" s="241"/>
      <c r="H770" s="302"/>
      <c r="J770" s="241"/>
      <c r="M770" s="303"/>
      <c r="N770" s="281"/>
      <c r="O770" s="304"/>
      <c r="P770" s="305"/>
      <c r="Q770" s="306"/>
      <c r="R770" s="289" t="str">
        <f t="shared" si="14"/>
        <v/>
      </c>
      <c r="S770" s="241"/>
    </row>
    <row r="771" spans="1:19" ht="18" customHeight="1">
      <c r="A771" s="298"/>
      <c r="B771" s="299"/>
      <c r="C771" s="241"/>
      <c r="D771" s="298"/>
      <c r="E771" s="300"/>
      <c r="F771" s="298"/>
      <c r="G771" s="241"/>
      <c r="H771" s="302"/>
      <c r="J771" s="241"/>
      <c r="M771" s="303"/>
      <c r="N771" s="281"/>
      <c r="O771" s="304"/>
      <c r="P771" s="305"/>
      <c r="Q771" s="306"/>
      <c r="R771" s="289" t="str">
        <f t="shared" si="14"/>
        <v/>
      </c>
      <c r="S771" s="241"/>
    </row>
    <row r="772" spans="1:19" ht="18" customHeight="1">
      <c r="A772" s="298"/>
      <c r="B772" s="299"/>
      <c r="C772" s="241"/>
      <c r="D772" s="298"/>
      <c r="E772" s="300"/>
      <c r="F772" s="298"/>
      <c r="G772" s="241"/>
      <c r="H772" s="302"/>
      <c r="J772" s="241"/>
      <c r="M772" s="303"/>
      <c r="N772" s="281"/>
      <c r="O772" s="304"/>
      <c r="P772" s="305"/>
      <c r="Q772" s="306"/>
      <c r="R772" s="289" t="str">
        <f t="shared" si="14"/>
        <v/>
      </c>
      <c r="S772" s="241"/>
    </row>
    <row r="773" spans="1:19" ht="18" customHeight="1">
      <c r="A773" s="298"/>
      <c r="B773" s="299"/>
      <c r="C773" s="241"/>
      <c r="D773" s="298"/>
      <c r="E773" s="300"/>
      <c r="F773" s="298"/>
      <c r="G773" s="241"/>
      <c r="H773" s="302"/>
      <c r="J773" s="241"/>
      <c r="M773" s="303"/>
      <c r="N773" s="281"/>
      <c r="O773" s="304"/>
      <c r="P773" s="305"/>
      <c r="Q773" s="306"/>
      <c r="R773" s="289" t="str">
        <f t="shared" si="14"/>
        <v/>
      </c>
      <c r="S773" s="241"/>
    </row>
    <row r="774" spans="1:19" ht="18" customHeight="1">
      <c r="A774" s="298"/>
      <c r="B774" s="299"/>
      <c r="C774" s="241"/>
      <c r="D774" s="298"/>
      <c r="E774" s="300"/>
      <c r="F774" s="298"/>
      <c r="G774" s="241"/>
      <c r="H774" s="302"/>
      <c r="J774" s="241"/>
      <c r="M774" s="303"/>
      <c r="N774" s="281"/>
      <c r="O774" s="304"/>
      <c r="P774" s="305"/>
      <c r="Q774" s="306"/>
      <c r="R774" s="289" t="str">
        <f t="shared" si="14"/>
        <v/>
      </c>
      <c r="S774" s="241"/>
    </row>
    <row r="775" spans="1:19" ht="18" customHeight="1">
      <c r="A775" s="298"/>
      <c r="B775" s="299"/>
      <c r="C775" s="241"/>
      <c r="D775" s="298"/>
      <c r="E775" s="300"/>
      <c r="F775" s="298"/>
      <c r="G775" s="241"/>
      <c r="H775" s="302"/>
      <c r="J775" s="241"/>
      <c r="M775" s="303"/>
      <c r="N775" s="281"/>
      <c r="O775" s="304"/>
      <c r="P775" s="305"/>
      <c r="Q775" s="306"/>
      <c r="R775" s="289" t="str">
        <f t="shared" si="14"/>
        <v/>
      </c>
      <c r="S775" s="241"/>
    </row>
    <row r="776" spans="1:19" ht="18" customHeight="1">
      <c r="A776" s="298"/>
      <c r="B776" s="299"/>
      <c r="C776" s="241"/>
      <c r="D776" s="298"/>
      <c r="E776" s="300"/>
      <c r="F776" s="298"/>
      <c r="G776" s="241"/>
      <c r="H776" s="302"/>
      <c r="J776" s="241"/>
      <c r="M776" s="303"/>
      <c r="N776" s="281"/>
      <c r="O776" s="304"/>
      <c r="P776" s="305"/>
      <c r="Q776" s="306"/>
      <c r="R776" s="289" t="str">
        <f t="shared" si="14"/>
        <v/>
      </c>
      <c r="S776" s="241"/>
    </row>
    <row r="777" spans="1:19" ht="18" customHeight="1">
      <c r="A777" s="298"/>
      <c r="B777" s="299"/>
      <c r="C777" s="241"/>
      <c r="D777" s="298"/>
      <c r="E777" s="300"/>
      <c r="F777" s="298"/>
      <c r="G777" s="241"/>
      <c r="H777" s="302"/>
      <c r="J777" s="241"/>
      <c r="M777" s="303"/>
      <c r="N777" s="281"/>
      <c r="O777" s="304"/>
      <c r="P777" s="305"/>
      <c r="Q777" s="306"/>
      <c r="R777" s="289" t="str">
        <f t="shared" si="14"/>
        <v/>
      </c>
      <c r="S777" s="241"/>
    </row>
    <row r="778" spans="1:19" ht="18" customHeight="1">
      <c r="A778" s="298"/>
      <c r="B778" s="299"/>
      <c r="C778" s="241"/>
      <c r="D778" s="298"/>
      <c r="E778" s="300"/>
      <c r="F778" s="298"/>
      <c r="G778" s="241"/>
      <c r="H778" s="302"/>
      <c r="J778" s="241"/>
      <c r="M778" s="303"/>
      <c r="N778" s="281"/>
      <c r="O778" s="304"/>
      <c r="P778" s="305"/>
      <c r="Q778" s="306"/>
      <c r="R778" s="289" t="str">
        <f t="shared" si="14"/>
        <v/>
      </c>
      <c r="S778" s="241"/>
    </row>
    <row r="779" spans="1:19" ht="18" customHeight="1">
      <c r="A779" s="298"/>
      <c r="B779" s="299"/>
      <c r="C779" s="241"/>
      <c r="D779" s="298"/>
      <c r="E779" s="300"/>
      <c r="F779" s="298"/>
      <c r="G779" s="241"/>
      <c r="H779" s="302"/>
      <c r="J779" s="241"/>
      <c r="M779" s="303"/>
      <c r="N779" s="281"/>
      <c r="O779" s="304"/>
      <c r="P779" s="305"/>
      <c r="Q779" s="306"/>
      <c r="R779" s="289" t="str">
        <f t="shared" si="14"/>
        <v/>
      </c>
      <c r="S779" s="241"/>
    </row>
    <row r="780" spans="1:19" ht="18" customHeight="1">
      <c r="A780" s="298"/>
      <c r="B780" s="299"/>
      <c r="C780" s="241"/>
      <c r="D780" s="298"/>
      <c r="E780" s="300"/>
      <c r="F780" s="298"/>
      <c r="G780" s="241"/>
      <c r="H780" s="302"/>
      <c r="J780" s="241"/>
      <c r="M780" s="303"/>
      <c r="N780" s="281"/>
      <c r="O780" s="304"/>
      <c r="P780" s="305"/>
      <c r="Q780" s="306"/>
      <c r="R780" s="289" t="str">
        <f t="shared" si="14"/>
        <v/>
      </c>
      <c r="S780" s="241"/>
    </row>
    <row r="781" spans="1:19" ht="18" customHeight="1">
      <c r="A781" s="298"/>
      <c r="B781" s="299"/>
      <c r="C781" s="241"/>
      <c r="D781" s="298"/>
      <c r="E781" s="300"/>
      <c r="F781" s="298"/>
      <c r="G781" s="241"/>
      <c r="H781" s="302"/>
      <c r="J781" s="241"/>
      <c r="M781" s="303"/>
      <c r="N781" s="281"/>
      <c r="O781" s="304"/>
      <c r="P781" s="305"/>
      <c r="Q781" s="306"/>
      <c r="R781" s="289" t="str">
        <f t="shared" si="14"/>
        <v/>
      </c>
      <c r="S781" s="241"/>
    </row>
    <row r="782" spans="1:19" ht="18" customHeight="1">
      <c r="A782" s="298"/>
      <c r="B782" s="299"/>
      <c r="C782" s="241"/>
      <c r="D782" s="298"/>
      <c r="E782" s="300"/>
      <c r="F782" s="298"/>
      <c r="G782" s="241"/>
      <c r="H782" s="302"/>
      <c r="J782" s="241"/>
      <c r="M782" s="303"/>
      <c r="N782" s="281"/>
      <c r="O782" s="304"/>
      <c r="P782" s="305"/>
      <c r="Q782" s="306"/>
      <c r="R782" s="289" t="str">
        <f t="shared" si="14"/>
        <v/>
      </c>
      <c r="S782" s="241"/>
    </row>
    <row r="783" spans="1:19" ht="18" customHeight="1">
      <c r="A783" s="298"/>
      <c r="B783" s="299"/>
      <c r="C783" s="241"/>
      <c r="D783" s="298"/>
      <c r="E783" s="300"/>
      <c r="F783" s="298"/>
      <c r="G783" s="241"/>
      <c r="H783" s="302"/>
      <c r="J783" s="241"/>
      <c r="M783" s="303"/>
      <c r="N783" s="281"/>
      <c r="O783" s="304"/>
      <c r="P783" s="305"/>
      <c r="Q783" s="306"/>
      <c r="R783" s="289" t="str">
        <f t="shared" si="14"/>
        <v/>
      </c>
      <c r="S783" s="241"/>
    </row>
    <row r="784" spans="1:19" ht="18" customHeight="1">
      <c r="A784" s="298"/>
      <c r="B784" s="299"/>
      <c r="C784" s="241"/>
      <c r="D784" s="298"/>
      <c r="E784" s="300"/>
      <c r="F784" s="298"/>
      <c r="G784" s="241"/>
      <c r="H784" s="302"/>
      <c r="J784" s="241"/>
      <c r="M784" s="303"/>
      <c r="N784" s="281"/>
      <c r="O784" s="304"/>
      <c r="P784" s="305"/>
      <c r="Q784" s="306"/>
      <c r="R784" s="289" t="str">
        <f t="shared" si="14"/>
        <v/>
      </c>
      <c r="S784" s="241"/>
    </row>
    <row r="785" spans="1:19" ht="18" customHeight="1">
      <c r="A785" s="298"/>
      <c r="B785" s="299"/>
      <c r="C785" s="241"/>
      <c r="D785" s="298"/>
      <c r="E785" s="300"/>
      <c r="F785" s="298"/>
      <c r="G785" s="241"/>
      <c r="H785" s="302"/>
      <c r="J785" s="241"/>
      <c r="M785" s="303"/>
      <c r="N785" s="281"/>
      <c r="O785" s="304"/>
      <c r="P785" s="305"/>
      <c r="Q785" s="306"/>
      <c r="R785" s="289" t="str">
        <f t="shared" si="14"/>
        <v/>
      </c>
      <c r="S785" s="241"/>
    </row>
    <row r="786" spans="1:19" ht="18" customHeight="1">
      <c r="A786" s="298"/>
      <c r="B786" s="299"/>
      <c r="C786" s="241"/>
      <c r="D786" s="298"/>
      <c r="E786" s="300"/>
      <c r="F786" s="298"/>
      <c r="G786" s="241"/>
      <c r="H786" s="302"/>
      <c r="J786" s="241"/>
      <c r="M786" s="303"/>
      <c r="N786" s="281"/>
      <c r="O786" s="304"/>
      <c r="P786" s="305"/>
      <c r="Q786" s="306"/>
      <c r="R786" s="289" t="str">
        <f t="shared" si="14"/>
        <v/>
      </c>
      <c r="S786" s="241"/>
    </row>
    <row r="787" spans="1:19" ht="18" customHeight="1">
      <c r="A787" s="298"/>
      <c r="B787" s="299"/>
      <c r="C787" s="241"/>
      <c r="D787" s="298"/>
      <c r="E787" s="300"/>
      <c r="F787" s="298"/>
      <c r="G787" s="241"/>
      <c r="H787" s="302"/>
      <c r="J787" s="241"/>
      <c r="M787" s="303"/>
      <c r="N787" s="281"/>
      <c r="O787" s="304"/>
      <c r="P787" s="305"/>
      <c r="Q787" s="306"/>
      <c r="R787" s="289" t="str">
        <f t="shared" si="14"/>
        <v/>
      </c>
      <c r="S787" s="241"/>
    </row>
    <row r="788" spans="1:19" ht="18" customHeight="1">
      <c r="A788" s="298"/>
      <c r="B788" s="299"/>
      <c r="C788" s="241"/>
      <c r="D788" s="298"/>
      <c r="E788" s="300"/>
      <c r="F788" s="298"/>
      <c r="G788" s="241"/>
      <c r="H788" s="302"/>
      <c r="J788" s="241"/>
      <c r="M788" s="303"/>
      <c r="N788" s="281"/>
      <c r="O788" s="304"/>
      <c r="P788" s="305"/>
      <c r="Q788" s="306"/>
      <c r="R788" s="289" t="str">
        <f t="shared" si="14"/>
        <v/>
      </c>
      <c r="S788" s="241"/>
    </row>
    <row r="789" spans="1:19" ht="18" customHeight="1">
      <c r="A789" s="298"/>
      <c r="B789" s="299"/>
      <c r="C789" s="241"/>
      <c r="D789" s="298"/>
      <c r="E789" s="300"/>
      <c r="F789" s="298"/>
      <c r="G789" s="241"/>
      <c r="H789" s="302"/>
      <c r="J789" s="241"/>
      <c r="M789" s="303"/>
      <c r="N789" s="281"/>
      <c r="O789" s="304"/>
      <c r="P789" s="305"/>
      <c r="Q789" s="306"/>
      <c r="R789" s="289" t="str">
        <f t="shared" si="14"/>
        <v/>
      </c>
      <c r="S789" s="241"/>
    </row>
    <row r="790" spans="1:19" ht="18" customHeight="1">
      <c r="A790" s="298"/>
      <c r="B790" s="299"/>
      <c r="C790" s="241"/>
      <c r="D790" s="298"/>
      <c r="E790" s="300"/>
      <c r="F790" s="298"/>
      <c r="G790" s="241"/>
      <c r="H790" s="302"/>
      <c r="J790" s="241"/>
      <c r="M790" s="303"/>
      <c r="N790" s="281"/>
      <c r="O790" s="304"/>
      <c r="P790" s="305"/>
      <c r="Q790" s="306"/>
      <c r="R790" s="289" t="str">
        <f t="shared" si="14"/>
        <v/>
      </c>
      <c r="S790" s="241"/>
    </row>
    <row r="791" spans="1:19" ht="18" customHeight="1">
      <c r="A791" s="298"/>
      <c r="B791" s="299"/>
      <c r="C791" s="241"/>
      <c r="D791" s="298"/>
      <c r="E791" s="300"/>
      <c r="F791" s="298"/>
      <c r="G791" s="241"/>
      <c r="H791" s="302"/>
      <c r="J791" s="241"/>
      <c r="M791" s="303"/>
      <c r="N791" s="281"/>
      <c r="O791" s="304"/>
      <c r="P791" s="305"/>
      <c r="Q791" s="306"/>
      <c r="R791" s="289" t="str">
        <f t="shared" si="14"/>
        <v/>
      </c>
      <c r="S791" s="241"/>
    </row>
    <row r="792" spans="1:19" ht="18" customHeight="1">
      <c r="A792" s="298"/>
      <c r="B792" s="299"/>
      <c r="C792" s="241"/>
      <c r="D792" s="298"/>
      <c r="E792" s="300"/>
      <c r="F792" s="298"/>
      <c r="G792" s="241"/>
      <c r="H792" s="302"/>
      <c r="J792" s="241"/>
      <c r="M792" s="303"/>
      <c r="N792" s="281"/>
      <c r="O792" s="304"/>
      <c r="P792" s="305"/>
      <c r="Q792" s="306"/>
      <c r="R792" s="289" t="str">
        <f t="shared" si="14"/>
        <v/>
      </c>
      <c r="S792" s="241"/>
    </row>
    <row r="793" spans="1:19" ht="18" customHeight="1">
      <c r="A793" s="298"/>
      <c r="B793" s="299"/>
      <c r="C793" s="241"/>
      <c r="D793" s="298"/>
      <c r="E793" s="300"/>
      <c r="F793" s="298"/>
      <c r="G793" s="241"/>
      <c r="H793" s="302"/>
      <c r="J793" s="241"/>
      <c r="M793" s="303"/>
      <c r="N793" s="281"/>
      <c r="O793" s="304"/>
      <c r="P793" s="305"/>
      <c r="Q793" s="306"/>
      <c r="R793" s="289" t="str">
        <f t="shared" si="14"/>
        <v/>
      </c>
      <c r="S793" s="241"/>
    </row>
    <row r="794" spans="1:19" ht="18" customHeight="1">
      <c r="A794" s="298"/>
      <c r="B794" s="299"/>
      <c r="C794" s="241"/>
      <c r="D794" s="298"/>
      <c r="E794" s="300"/>
      <c r="F794" s="298"/>
      <c r="G794" s="241"/>
      <c r="H794" s="302"/>
      <c r="J794" s="241"/>
      <c r="M794" s="303"/>
      <c r="N794" s="281"/>
      <c r="O794" s="304"/>
      <c r="P794" s="305"/>
      <c r="Q794" s="306"/>
      <c r="R794" s="289" t="str">
        <f t="shared" ref="R794:R857" si="15">IF(SUM(Q794)&gt;0,SUM(Q794-P794),"")</f>
        <v/>
      </c>
      <c r="S794" s="241"/>
    </row>
    <row r="795" spans="1:19" ht="18" customHeight="1">
      <c r="A795" s="298"/>
      <c r="B795" s="299"/>
      <c r="C795" s="241"/>
      <c r="D795" s="298"/>
      <c r="E795" s="300"/>
      <c r="F795" s="298"/>
      <c r="G795" s="241"/>
      <c r="H795" s="302"/>
      <c r="J795" s="241"/>
      <c r="M795" s="303"/>
      <c r="N795" s="281"/>
      <c r="O795" s="304"/>
      <c r="P795" s="305"/>
      <c r="Q795" s="306"/>
      <c r="R795" s="289" t="str">
        <f t="shared" si="15"/>
        <v/>
      </c>
      <c r="S795" s="241"/>
    </row>
    <row r="796" spans="1:19" ht="18" customHeight="1">
      <c r="A796" s="298"/>
      <c r="B796" s="299"/>
      <c r="C796" s="241"/>
      <c r="D796" s="298"/>
      <c r="E796" s="300"/>
      <c r="F796" s="298"/>
      <c r="G796" s="241"/>
      <c r="H796" s="302"/>
      <c r="J796" s="241"/>
      <c r="M796" s="303"/>
      <c r="N796" s="281"/>
      <c r="O796" s="304"/>
      <c r="P796" s="305"/>
      <c r="Q796" s="306"/>
      <c r="R796" s="289" t="str">
        <f t="shared" si="15"/>
        <v/>
      </c>
      <c r="S796" s="241"/>
    </row>
    <row r="797" spans="1:19" ht="18" customHeight="1">
      <c r="A797" s="298"/>
      <c r="B797" s="299"/>
      <c r="C797" s="241"/>
      <c r="D797" s="298"/>
      <c r="E797" s="300"/>
      <c r="F797" s="298"/>
      <c r="G797" s="241"/>
      <c r="H797" s="302"/>
      <c r="J797" s="241"/>
      <c r="M797" s="303"/>
      <c r="N797" s="281"/>
      <c r="O797" s="304"/>
      <c r="P797" s="305"/>
      <c r="Q797" s="306"/>
      <c r="R797" s="289" t="str">
        <f t="shared" si="15"/>
        <v/>
      </c>
      <c r="S797" s="241"/>
    </row>
    <row r="798" spans="1:19" ht="18" customHeight="1">
      <c r="A798" s="298"/>
      <c r="B798" s="299"/>
      <c r="C798" s="241"/>
      <c r="D798" s="298"/>
      <c r="E798" s="300"/>
      <c r="F798" s="298"/>
      <c r="G798" s="241"/>
      <c r="H798" s="302"/>
      <c r="J798" s="241"/>
      <c r="M798" s="303"/>
      <c r="N798" s="281"/>
      <c r="O798" s="304"/>
      <c r="P798" s="305"/>
      <c r="Q798" s="306"/>
      <c r="R798" s="289" t="str">
        <f t="shared" si="15"/>
        <v/>
      </c>
      <c r="S798" s="241"/>
    </row>
    <row r="799" spans="1:19" ht="18" customHeight="1">
      <c r="A799" s="298"/>
      <c r="B799" s="299"/>
      <c r="C799" s="241"/>
      <c r="D799" s="298"/>
      <c r="E799" s="300"/>
      <c r="F799" s="298"/>
      <c r="G799" s="241"/>
      <c r="H799" s="302"/>
      <c r="J799" s="241"/>
      <c r="M799" s="303"/>
      <c r="N799" s="281"/>
      <c r="O799" s="304"/>
      <c r="P799" s="305"/>
      <c r="Q799" s="306"/>
      <c r="R799" s="289" t="str">
        <f t="shared" si="15"/>
        <v/>
      </c>
      <c r="S799" s="241"/>
    </row>
    <row r="800" spans="1:19" ht="18" customHeight="1">
      <c r="A800" s="298"/>
      <c r="B800" s="299"/>
      <c r="C800" s="241"/>
      <c r="D800" s="298"/>
      <c r="E800" s="300"/>
      <c r="F800" s="298"/>
      <c r="G800" s="241"/>
      <c r="H800" s="302"/>
      <c r="J800" s="241"/>
      <c r="M800" s="303"/>
      <c r="N800" s="281"/>
      <c r="O800" s="304"/>
      <c r="P800" s="305"/>
      <c r="Q800" s="306"/>
      <c r="R800" s="289" t="str">
        <f t="shared" si="15"/>
        <v/>
      </c>
      <c r="S800" s="241"/>
    </row>
    <row r="801" spans="1:19" ht="18" customHeight="1">
      <c r="A801" s="298"/>
      <c r="B801" s="299"/>
      <c r="C801" s="241"/>
      <c r="D801" s="298"/>
      <c r="E801" s="300"/>
      <c r="F801" s="298"/>
      <c r="G801" s="241"/>
      <c r="H801" s="302"/>
      <c r="J801" s="241"/>
      <c r="M801" s="303"/>
      <c r="N801" s="281"/>
      <c r="O801" s="304"/>
      <c r="P801" s="305"/>
      <c r="Q801" s="306"/>
      <c r="R801" s="289" t="str">
        <f t="shared" si="15"/>
        <v/>
      </c>
      <c r="S801" s="241"/>
    </row>
    <row r="802" spans="1:19" ht="18" customHeight="1">
      <c r="A802" s="298"/>
      <c r="B802" s="299"/>
      <c r="C802" s="241"/>
      <c r="D802" s="298"/>
      <c r="E802" s="300"/>
      <c r="F802" s="298"/>
      <c r="G802" s="241"/>
      <c r="H802" s="302"/>
      <c r="J802" s="241"/>
      <c r="M802" s="303"/>
      <c r="N802" s="281"/>
      <c r="O802" s="304"/>
      <c r="P802" s="305"/>
      <c r="Q802" s="306"/>
      <c r="R802" s="289" t="str">
        <f t="shared" si="15"/>
        <v/>
      </c>
      <c r="S802" s="241"/>
    </row>
    <row r="803" spans="1:19" ht="18" customHeight="1">
      <c r="A803" s="298"/>
      <c r="B803" s="299"/>
      <c r="C803" s="241"/>
      <c r="D803" s="298"/>
      <c r="E803" s="300"/>
      <c r="F803" s="298"/>
      <c r="G803" s="241"/>
      <c r="H803" s="302"/>
      <c r="J803" s="241"/>
      <c r="M803" s="303"/>
      <c r="N803" s="281"/>
      <c r="O803" s="304"/>
      <c r="P803" s="305"/>
      <c r="Q803" s="306"/>
      <c r="R803" s="289" t="str">
        <f t="shared" si="15"/>
        <v/>
      </c>
      <c r="S803" s="241"/>
    </row>
    <row r="804" spans="1:19" ht="18" customHeight="1">
      <c r="A804" s="298"/>
      <c r="B804" s="299"/>
      <c r="C804" s="241"/>
      <c r="D804" s="298"/>
      <c r="E804" s="300"/>
      <c r="F804" s="298"/>
      <c r="G804" s="241"/>
      <c r="H804" s="302"/>
      <c r="J804" s="241"/>
      <c r="M804" s="303"/>
      <c r="N804" s="281"/>
      <c r="O804" s="304"/>
      <c r="P804" s="305"/>
      <c r="Q804" s="306"/>
      <c r="R804" s="289" t="str">
        <f t="shared" si="15"/>
        <v/>
      </c>
      <c r="S804" s="241"/>
    </row>
    <row r="805" spans="1:19" ht="18" customHeight="1">
      <c r="A805" s="298"/>
      <c r="B805" s="299"/>
      <c r="C805" s="241"/>
      <c r="D805" s="298"/>
      <c r="E805" s="300"/>
      <c r="F805" s="298"/>
      <c r="G805" s="241"/>
      <c r="H805" s="302"/>
      <c r="J805" s="241"/>
      <c r="M805" s="303"/>
      <c r="N805" s="281"/>
      <c r="O805" s="304"/>
      <c r="P805" s="305"/>
      <c r="Q805" s="306"/>
      <c r="R805" s="289" t="str">
        <f t="shared" si="15"/>
        <v/>
      </c>
      <c r="S805" s="241"/>
    </row>
    <row r="806" spans="1:19" ht="18" customHeight="1">
      <c r="A806" s="298"/>
      <c r="B806" s="299"/>
      <c r="C806" s="241"/>
      <c r="D806" s="298"/>
      <c r="E806" s="300"/>
      <c r="F806" s="298"/>
      <c r="G806" s="241"/>
      <c r="H806" s="302"/>
      <c r="J806" s="241"/>
      <c r="M806" s="303"/>
      <c r="N806" s="281"/>
      <c r="O806" s="304"/>
      <c r="P806" s="305"/>
      <c r="Q806" s="306"/>
      <c r="R806" s="289" t="str">
        <f t="shared" si="15"/>
        <v/>
      </c>
      <c r="S806" s="241"/>
    </row>
    <row r="807" spans="1:19" ht="18" customHeight="1">
      <c r="A807" s="298"/>
      <c r="B807" s="299"/>
      <c r="C807" s="241"/>
      <c r="D807" s="298"/>
      <c r="E807" s="300"/>
      <c r="F807" s="298"/>
      <c r="G807" s="241"/>
      <c r="H807" s="302"/>
      <c r="J807" s="241"/>
      <c r="M807" s="303"/>
      <c r="N807" s="281"/>
      <c r="O807" s="304"/>
      <c r="P807" s="305"/>
      <c r="Q807" s="306"/>
      <c r="R807" s="289" t="str">
        <f t="shared" si="15"/>
        <v/>
      </c>
      <c r="S807" s="241"/>
    </row>
    <row r="808" spans="1:19" ht="18" customHeight="1">
      <c r="A808" s="298"/>
      <c r="B808" s="299"/>
      <c r="C808" s="241"/>
      <c r="D808" s="298"/>
      <c r="E808" s="300"/>
      <c r="F808" s="298"/>
      <c r="G808" s="241"/>
      <c r="H808" s="302"/>
      <c r="J808" s="241"/>
      <c r="M808" s="303"/>
      <c r="N808" s="281"/>
      <c r="O808" s="304"/>
      <c r="P808" s="305"/>
      <c r="Q808" s="306"/>
      <c r="R808" s="289" t="str">
        <f t="shared" si="15"/>
        <v/>
      </c>
      <c r="S808" s="241"/>
    </row>
    <row r="809" spans="1:19" ht="18" customHeight="1">
      <c r="A809" s="298"/>
      <c r="B809" s="299"/>
      <c r="C809" s="241"/>
      <c r="D809" s="298"/>
      <c r="E809" s="300"/>
      <c r="F809" s="298"/>
      <c r="G809" s="241"/>
      <c r="H809" s="302"/>
      <c r="J809" s="241"/>
      <c r="M809" s="303"/>
      <c r="N809" s="281"/>
      <c r="O809" s="304"/>
      <c r="P809" s="305"/>
      <c r="Q809" s="306"/>
      <c r="R809" s="289" t="str">
        <f t="shared" si="15"/>
        <v/>
      </c>
      <c r="S809" s="241"/>
    </row>
    <row r="810" spans="1:19" ht="18" customHeight="1">
      <c r="A810" s="298"/>
      <c r="B810" s="299"/>
      <c r="C810" s="241"/>
      <c r="D810" s="298"/>
      <c r="E810" s="300"/>
      <c r="F810" s="298"/>
      <c r="G810" s="241"/>
      <c r="H810" s="302"/>
      <c r="J810" s="241"/>
      <c r="M810" s="303"/>
      <c r="N810" s="281"/>
      <c r="O810" s="304"/>
      <c r="P810" s="305"/>
      <c r="Q810" s="306"/>
      <c r="R810" s="289" t="str">
        <f t="shared" si="15"/>
        <v/>
      </c>
      <c r="S810" s="241"/>
    </row>
    <row r="811" spans="1:19" ht="18" customHeight="1">
      <c r="A811" s="298"/>
      <c r="B811" s="299"/>
      <c r="C811" s="241"/>
      <c r="D811" s="298"/>
      <c r="E811" s="300"/>
      <c r="F811" s="298"/>
      <c r="G811" s="241"/>
      <c r="H811" s="302"/>
      <c r="J811" s="241"/>
      <c r="M811" s="303"/>
      <c r="N811" s="281"/>
      <c r="O811" s="304"/>
      <c r="P811" s="305"/>
      <c r="Q811" s="306"/>
      <c r="R811" s="289" t="str">
        <f t="shared" si="15"/>
        <v/>
      </c>
      <c r="S811" s="241"/>
    </row>
    <row r="812" spans="1:19" ht="18" customHeight="1">
      <c r="A812" s="298"/>
      <c r="B812" s="299"/>
      <c r="C812" s="241"/>
      <c r="D812" s="298"/>
      <c r="E812" s="300"/>
      <c r="F812" s="298"/>
      <c r="G812" s="241"/>
      <c r="H812" s="302"/>
      <c r="J812" s="241"/>
      <c r="M812" s="303"/>
      <c r="N812" s="281"/>
      <c r="O812" s="304"/>
      <c r="P812" s="305"/>
      <c r="Q812" s="306"/>
      <c r="R812" s="289" t="str">
        <f t="shared" si="15"/>
        <v/>
      </c>
      <c r="S812" s="241"/>
    </row>
    <row r="813" spans="1:19" ht="18" customHeight="1">
      <c r="A813" s="298"/>
      <c r="B813" s="299"/>
      <c r="C813" s="241"/>
      <c r="D813" s="298"/>
      <c r="E813" s="300"/>
      <c r="F813" s="298"/>
      <c r="G813" s="241"/>
      <c r="H813" s="302"/>
      <c r="J813" s="241"/>
      <c r="M813" s="303"/>
      <c r="N813" s="281"/>
      <c r="O813" s="304"/>
      <c r="P813" s="305"/>
      <c r="Q813" s="306"/>
      <c r="R813" s="289" t="str">
        <f t="shared" si="15"/>
        <v/>
      </c>
      <c r="S813" s="241"/>
    </row>
    <row r="814" spans="1:19" ht="18" customHeight="1">
      <c r="A814" s="298"/>
      <c r="B814" s="299"/>
      <c r="C814" s="241"/>
      <c r="D814" s="298"/>
      <c r="E814" s="300"/>
      <c r="F814" s="298"/>
      <c r="G814" s="241"/>
      <c r="H814" s="302"/>
      <c r="J814" s="241"/>
      <c r="M814" s="303"/>
      <c r="N814" s="281"/>
      <c r="O814" s="304"/>
      <c r="P814" s="305"/>
      <c r="Q814" s="306"/>
      <c r="R814" s="289" t="str">
        <f t="shared" si="15"/>
        <v/>
      </c>
      <c r="S814" s="241"/>
    </row>
    <row r="815" spans="1:19" ht="18" customHeight="1">
      <c r="A815" s="298"/>
      <c r="B815" s="299"/>
      <c r="C815" s="241"/>
      <c r="D815" s="298"/>
      <c r="E815" s="300"/>
      <c r="F815" s="298"/>
      <c r="G815" s="241"/>
      <c r="H815" s="302"/>
      <c r="J815" s="241"/>
      <c r="M815" s="303"/>
      <c r="N815" s="281"/>
      <c r="O815" s="304"/>
      <c r="P815" s="305"/>
      <c r="Q815" s="306"/>
      <c r="R815" s="289" t="str">
        <f t="shared" si="15"/>
        <v/>
      </c>
      <c r="S815" s="241"/>
    </row>
    <row r="816" spans="1:19" ht="18" customHeight="1">
      <c r="A816" s="298"/>
      <c r="B816" s="299"/>
      <c r="C816" s="241"/>
      <c r="D816" s="298"/>
      <c r="E816" s="300"/>
      <c r="F816" s="298"/>
      <c r="G816" s="241"/>
      <c r="H816" s="302"/>
      <c r="J816" s="241"/>
      <c r="M816" s="303"/>
      <c r="N816" s="281"/>
      <c r="O816" s="304"/>
      <c r="P816" s="305"/>
      <c r="Q816" s="306"/>
      <c r="R816" s="289" t="str">
        <f t="shared" si="15"/>
        <v/>
      </c>
      <c r="S816" s="241"/>
    </row>
    <row r="817" spans="1:19" ht="18" customHeight="1">
      <c r="A817" s="298"/>
      <c r="B817" s="299"/>
      <c r="C817" s="241"/>
      <c r="D817" s="298"/>
      <c r="E817" s="300"/>
      <c r="F817" s="298"/>
      <c r="G817" s="241"/>
      <c r="H817" s="302"/>
      <c r="J817" s="241"/>
      <c r="M817" s="303"/>
      <c r="N817" s="281"/>
      <c r="O817" s="304"/>
      <c r="P817" s="305"/>
      <c r="Q817" s="306"/>
      <c r="R817" s="289" t="str">
        <f t="shared" si="15"/>
        <v/>
      </c>
      <c r="S817" s="241"/>
    </row>
    <row r="818" spans="1:19" ht="18" customHeight="1">
      <c r="A818" s="298"/>
      <c r="B818" s="299"/>
      <c r="C818" s="241"/>
      <c r="D818" s="298"/>
      <c r="E818" s="300"/>
      <c r="F818" s="298"/>
      <c r="G818" s="241"/>
      <c r="H818" s="302"/>
      <c r="J818" s="241"/>
      <c r="M818" s="303"/>
      <c r="N818" s="281"/>
      <c r="O818" s="304"/>
      <c r="P818" s="305"/>
      <c r="Q818" s="306"/>
      <c r="R818" s="289" t="str">
        <f t="shared" si="15"/>
        <v/>
      </c>
      <c r="S818" s="241"/>
    </row>
    <row r="819" spans="1:19" ht="18" customHeight="1">
      <c r="A819" s="298"/>
      <c r="B819" s="299"/>
      <c r="C819" s="241"/>
      <c r="D819" s="298"/>
      <c r="E819" s="300"/>
      <c r="F819" s="298"/>
      <c r="G819" s="241"/>
      <c r="H819" s="302"/>
      <c r="J819" s="241"/>
      <c r="M819" s="303"/>
      <c r="N819" s="281"/>
      <c r="O819" s="304"/>
      <c r="P819" s="305"/>
      <c r="Q819" s="306"/>
      <c r="R819" s="289" t="str">
        <f t="shared" si="15"/>
        <v/>
      </c>
      <c r="S819" s="241"/>
    </row>
    <row r="820" spans="1:19" ht="18" customHeight="1">
      <c r="A820" s="298"/>
      <c r="B820" s="299"/>
      <c r="C820" s="241"/>
      <c r="D820" s="298"/>
      <c r="E820" s="300"/>
      <c r="F820" s="298"/>
      <c r="G820" s="241"/>
      <c r="H820" s="302"/>
      <c r="J820" s="241"/>
      <c r="M820" s="303"/>
      <c r="N820" s="281"/>
      <c r="O820" s="304"/>
      <c r="P820" s="305"/>
      <c r="Q820" s="306"/>
      <c r="R820" s="289" t="str">
        <f t="shared" si="15"/>
        <v/>
      </c>
      <c r="S820" s="241"/>
    </row>
    <row r="821" spans="1:19" ht="18" customHeight="1">
      <c r="A821" s="298"/>
      <c r="B821" s="299"/>
      <c r="C821" s="241"/>
      <c r="D821" s="298"/>
      <c r="E821" s="300"/>
      <c r="F821" s="298"/>
      <c r="G821" s="241"/>
      <c r="H821" s="302"/>
      <c r="J821" s="241"/>
      <c r="M821" s="303"/>
      <c r="N821" s="281"/>
      <c r="O821" s="304"/>
      <c r="P821" s="305"/>
      <c r="Q821" s="306"/>
      <c r="R821" s="289" t="str">
        <f t="shared" si="15"/>
        <v/>
      </c>
      <c r="S821" s="241"/>
    </row>
    <row r="822" spans="1:19" ht="18" customHeight="1">
      <c r="A822" s="298"/>
      <c r="B822" s="299"/>
      <c r="C822" s="241"/>
      <c r="D822" s="298"/>
      <c r="E822" s="300"/>
      <c r="F822" s="298"/>
      <c r="G822" s="241"/>
      <c r="H822" s="302"/>
      <c r="J822" s="241"/>
      <c r="M822" s="303"/>
      <c r="N822" s="281"/>
      <c r="O822" s="304"/>
      <c r="P822" s="305"/>
      <c r="Q822" s="306"/>
      <c r="R822" s="289" t="str">
        <f t="shared" si="15"/>
        <v/>
      </c>
      <c r="S822" s="241"/>
    </row>
    <row r="823" spans="1:19" ht="18" customHeight="1">
      <c r="A823" s="298"/>
      <c r="B823" s="299"/>
      <c r="C823" s="241"/>
      <c r="D823" s="298"/>
      <c r="E823" s="300"/>
      <c r="F823" s="298"/>
      <c r="G823" s="241"/>
      <c r="H823" s="302"/>
      <c r="J823" s="241"/>
      <c r="M823" s="303"/>
      <c r="N823" s="281"/>
      <c r="O823" s="304"/>
      <c r="P823" s="305"/>
      <c r="Q823" s="306"/>
      <c r="R823" s="289" t="str">
        <f t="shared" si="15"/>
        <v/>
      </c>
      <c r="S823" s="241"/>
    </row>
    <row r="824" spans="1:19" ht="18" customHeight="1">
      <c r="A824" s="298"/>
      <c r="B824" s="299"/>
      <c r="C824" s="241"/>
      <c r="D824" s="298"/>
      <c r="E824" s="300"/>
      <c r="F824" s="298"/>
      <c r="G824" s="241"/>
      <c r="H824" s="302"/>
      <c r="J824" s="241"/>
      <c r="M824" s="303"/>
      <c r="N824" s="281"/>
      <c r="O824" s="304"/>
      <c r="P824" s="305"/>
      <c r="Q824" s="306"/>
      <c r="R824" s="289" t="str">
        <f t="shared" si="15"/>
        <v/>
      </c>
      <c r="S824" s="241"/>
    </row>
    <row r="825" spans="1:19" ht="18" customHeight="1">
      <c r="A825" s="298"/>
      <c r="B825" s="299"/>
      <c r="C825" s="241"/>
      <c r="D825" s="298"/>
      <c r="E825" s="300"/>
      <c r="F825" s="298"/>
      <c r="G825" s="241"/>
      <c r="H825" s="302"/>
      <c r="J825" s="241"/>
      <c r="M825" s="303"/>
      <c r="N825" s="281"/>
      <c r="O825" s="304"/>
      <c r="P825" s="305"/>
      <c r="Q825" s="306"/>
      <c r="R825" s="289" t="str">
        <f t="shared" si="15"/>
        <v/>
      </c>
      <c r="S825" s="241"/>
    </row>
    <row r="826" spans="1:19" ht="18" customHeight="1">
      <c r="A826" s="298"/>
      <c r="B826" s="299"/>
      <c r="C826" s="241"/>
      <c r="D826" s="298"/>
      <c r="E826" s="300"/>
      <c r="F826" s="298"/>
      <c r="G826" s="241"/>
      <c r="H826" s="302"/>
      <c r="J826" s="241"/>
      <c r="M826" s="303"/>
      <c r="N826" s="281"/>
      <c r="O826" s="304"/>
      <c r="P826" s="305"/>
      <c r="Q826" s="306"/>
      <c r="R826" s="289" t="str">
        <f t="shared" si="15"/>
        <v/>
      </c>
      <c r="S826" s="241"/>
    </row>
    <row r="827" spans="1:19" ht="18" customHeight="1">
      <c r="A827" s="298"/>
      <c r="B827" s="299"/>
      <c r="C827" s="241"/>
      <c r="D827" s="298"/>
      <c r="E827" s="300"/>
      <c r="F827" s="298"/>
      <c r="G827" s="241"/>
      <c r="H827" s="302"/>
      <c r="J827" s="241"/>
      <c r="M827" s="303"/>
      <c r="N827" s="281"/>
      <c r="O827" s="304"/>
      <c r="P827" s="305"/>
      <c r="Q827" s="306"/>
      <c r="R827" s="289" t="str">
        <f t="shared" si="15"/>
        <v/>
      </c>
      <c r="S827" s="241"/>
    </row>
    <row r="828" spans="1:19" ht="18" customHeight="1">
      <c r="A828" s="298"/>
      <c r="B828" s="299"/>
      <c r="C828" s="241"/>
      <c r="D828" s="298"/>
      <c r="E828" s="300"/>
      <c r="F828" s="298"/>
      <c r="G828" s="241"/>
      <c r="H828" s="302"/>
      <c r="J828" s="241"/>
      <c r="M828" s="303"/>
      <c r="N828" s="281"/>
      <c r="O828" s="304"/>
      <c r="P828" s="305"/>
      <c r="Q828" s="306"/>
      <c r="R828" s="289" t="str">
        <f t="shared" si="15"/>
        <v/>
      </c>
      <c r="S828" s="241"/>
    </row>
    <row r="829" spans="1:19" ht="18" customHeight="1">
      <c r="A829" s="298"/>
      <c r="B829" s="299"/>
      <c r="C829" s="241"/>
      <c r="D829" s="298"/>
      <c r="E829" s="300"/>
      <c r="F829" s="298"/>
      <c r="G829" s="241"/>
      <c r="H829" s="302"/>
      <c r="J829" s="241"/>
      <c r="M829" s="303"/>
      <c r="N829" s="281"/>
      <c r="O829" s="304"/>
      <c r="P829" s="305"/>
      <c r="Q829" s="306"/>
      <c r="R829" s="289" t="str">
        <f t="shared" si="15"/>
        <v/>
      </c>
      <c r="S829" s="241"/>
    </row>
    <row r="830" spans="1:19" ht="18" customHeight="1">
      <c r="A830" s="298"/>
      <c r="B830" s="299"/>
      <c r="C830" s="241"/>
      <c r="D830" s="298"/>
      <c r="E830" s="300"/>
      <c r="F830" s="298"/>
      <c r="G830" s="241"/>
      <c r="H830" s="302"/>
      <c r="J830" s="241"/>
      <c r="M830" s="303"/>
      <c r="N830" s="281"/>
      <c r="O830" s="304"/>
      <c r="P830" s="305"/>
      <c r="Q830" s="306"/>
      <c r="R830" s="289" t="str">
        <f t="shared" si="15"/>
        <v/>
      </c>
      <c r="S830" s="241"/>
    </row>
    <row r="831" spans="1:19" ht="18" customHeight="1">
      <c r="A831" s="298"/>
      <c r="B831" s="299"/>
      <c r="C831" s="241"/>
      <c r="D831" s="298"/>
      <c r="E831" s="300"/>
      <c r="F831" s="298"/>
      <c r="G831" s="241"/>
      <c r="H831" s="302"/>
      <c r="J831" s="241"/>
      <c r="M831" s="303"/>
      <c r="N831" s="281"/>
      <c r="O831" s="304"/>
      <c r="P831" s="305"/>
      <c r="Q831" s="306"/>
      <c r="R831" s="289" t="str">
        <f t="shared" si="15"/>
        <v/>
      </c>
      <c r="S831" s="241"/>
    </row>
    <row r="832" spans="1:19" ht="18" customHeight="1">
      <c r="A832" s="298"/>
      <c r="B832" s="299"/>
      <c r="C832" s="241"/>
      <c r="D832" s="298"/>
      <c r="E832" s="300"/>
      <c r="F832" s="298"/>
      <c r="G832" s="241"/>
      <c r="H832" s="302"/>
      <c r="J832" s="241"/>
      <c r="M832" s="303"/>
      <c r="N832" s="281"/>
      <c r="O832" s="304"/>
      <c r="P832" s="305"/>
      <c r="Q832" s="306"/>
      <c r="R832" s="289" t="str">
        <f t="shared" si="15"/>
        <v/>
      </c>
      <c r="S832" s="241"/>
    </row>
    <row r="833" spans="1:19" ht="18" customHeight="1">
      <c r="A833" s="298"/>
      <c r="B833" s="299"/>
      <c r="C833" s="241"/>
      <c r="D833" s="298"/>
      <c r="E833" s="300"/>
      <c r="F833" s="298"/>
      <c r="G833" s="241"/>
      <c r="H833" s="302"/>
      <c r="J833" s="241"/>
      <c r="M833" s="303"/>
      <c r="N833" s="281"/>
      <c r="O833" s="304"/>
      <c r="P833" s="305"/>
      <c r="Q833" s="306"/>
      <c r="R833" s="289" t="str">
        <f t="shared" si="15"/>
        <v/>
      </c>
      <c r="S833" s="241"/>
    </row>
    <row r="834" spans="1:19" ht="18" customHeight="1">
      <c r="A834" s="298"/>
      <c r="B834" s="299"/>
      <c r="C834" s="241"/>
      <c r="D834" s="298"/>
      <c r="E834" s="300"/>
      <c r="F834" s="298"/>
      <c r="G834" s="241"/>
      <c r="H834" s="302"/>
      <c r="J834" s="241"/>
      <c r="M834" s="303"/>
      <c r="N834" s="281"/>
      <c r="O834" s="304"/>
      <c r="P834" s="305"/>
      <c r="Q834" s="306"/>
      <c r="R834" s="289" t="str">
        <f t="shared" si="15"/>
        <v/>
      </c>
      <c r="S834" s="241"/>
    </row>
    <row r="835" spans="1:19" ht="18" customHeight="1">
      <c r="A835" s="298"/>
      <c r="B835" s="299"/>
      <c r="C835" s="241"/>
      <c r="D835" s="298"/>
      <c r="E835" s="300"/>
      <c r="F835" s="298"/>
      <c r="G835" s="241"/>
      <c r="H835" s="302"/>
      <c r="J835" s="241"/>
      <c r="M835" s="303"/>
      <c r="N835" s="281"/>
      <c r="O835" s="304"/>
      <c r="P835" s="305"/>
      <c r="Q835" s="306"/>
      <c r="R835" s="289" t="str">
        <f t="shared" si="15"/>
        <v/>
      </c>
      <c r="S835" s="241"/>
    </row>
    <row r="836" spans="1:19" ht="18" customHeight="1">
      <c r="A836" s="298"/>
      <c r="B836" s="299"/>
      <c r="C836" s="241"/>
      <c r="D836" s="298"/>
      <c r="E836" s="300"/>
      <c r="F836" s="298"/>
      <c r="G836" s="241"/>
      <c r="H836" s="302"/>
      <c r="J836" s="241"/>
      <c r="M836" s="303"/>
      <c r="N836" s="281"/>
      <c r="O836" s="304"/>
      <c r="P836" s="305"/>
      <c r="Q836" s="306"/>
      <c r="R836" s="289" t="str">
        <f t="shared" si="15"/>
        <v/>
      </c>
      <c r="S836" s="241"/>
    </row>
    <row r="837" spans="1:19" ht="18" customHeight="1">
      <c r="A837" s="298"/>
      <c r="B837" s="299"/>
      <c r="C837" s="241"/>
      <c r="D837" s="298"/>
      <c r="E837" s="300"/>
      <c r="F837" s="298"/>
      <c r="G837" s="241"/>
      <c r="H837" s="302"/>
      <c r="J837" s="241"/>
      <c r="M837" s="303"/>
      <c r="N837" s="281"/>
      <c r="O837" s="304"/>
      <c r="P837" s="305"/>
      <c r="Q837" s="306"/>
      <c r="R837" s="289" t="str">
        <f t="shared" si="15"/>
        <v/>
      </c>
      <c r="S837" s="241"/>
    </row>
    <row r="838" spans="1:19" ht="18" customHeight="1">
      <c r="A838" s="298"/>
      <c r="B838" s="299"/>
      <c r="C838" s="241"/>
      <c r="D838" s="298"/>
      <c r="E838" s="300"/>
      <c r="F838" s="298"/>
      <c r="G838" s="241"/>
      <c r="H838" s="302"/>
      <c r="J838" s="241"/>
      <c r="M838" s="303"/>
      <c r="N838" s="281"/>
      <c r="O838" s="304"/>
      <c r="P838" s="305"/>
      <c r="Q838" s="306"/>
      <c r="R838" s="289" t="str">
        <f t="shared" si="15"/>
        <v/>
      </c>
      <c r="S838" s="241"/>
    </row>
    <row r="839" spans="1:19" ht="18" customHeight="1">
      <c r="A839" s="298"/>
      <c r="B839" s="299"/>
      <c r="C839" s="241"/>
      <c r="D839" s="298"/>
      <c r="E839" s="300"/>
      <c r="F839" s="298"/>
      <c r="G839" s="241"/>
      <c r="H839" s="302"/>
      <c r="J839" s="241"/>
      <c r="M839" s="303"/>
      <c r="N839" s="281"/>
      <c r="O839" s="304"/>
      <c r="P839" s="305"/>
      <c r="Q839" s="306"/>
      <c r="R839" s="289" t="str">
        <f t="shared" si="15"/>
        <v/>
      </c>
      <c r="S839" s="241"/>
    </row>
    <row r="840" spans="1:19" ht="18" customHeight="1">
      <c r="A840" s="298"/>
      <c r="B840" s="299"/>
      <c r="C840" s="241"/>
      <c r="D840" s="298"/>
      <c r="E840" s="300"/>
      <c r="F840" s="298"/>
      <c r="G840" s="241"/>
      <c r="H840" s="302"/>
      <c r="J840" s="241"/>
      <c r="M840" s="303"/>
      <c r="N840" s="281"/>
      <c r="O840" s="304"/>
      <c r="P840" s="305"/>
      <c r="Q840" s="306"/>
      <c r="R840" s="289" t="str">
        <f t="shared" si="15"/>
        <v/>
      </c>
      <c r="S840" s="241"/>
    </row>
    <row r="841" spans="1:19" ht="18" customHeight="1">
      <c r="A841" s="298"/>
      <c r="B841" s="299"/>
      <c r="C841" s="241"/>
      <c r="D841" s="298"/>
      <c r="E841" s="300"/>
      <c r="F841" s="298"/>
      <c r="G841" s="241"/>
      <c r="H841" s="302"/>
      <c r="J841" s="241"/>
      <c r="M841" s="303"/>
      <c r="N841" s="281"/>
      <c r="O841" s="304"/>
      <c r="P841" s="305"/>
      <c r="Q841" s="306"/>
      <c r="R841" s="289" t="str">
        <f t="shared" si="15"/>
        <v/>
      </c>
      <c r="S841" s="241"/>
    </row>
    <row r="842" spans="1:19" ht="18" customHeight="1">
      <c r="A842" s="298"/>
      <c r="B842" s="299"/>
      <c r="C842" s="241"/>
      <c r="D842" s="298"/>
      <c r="E842" s="300"/>
      <c r="F842" s="298"/>
      <c r="G842" s="241"/>
      <c r="H842" s="302"/>
      <c r="J842" s="241"/>
      <c r="M842" s="303"/>
      <c r="N842" s="281"/>
      <c r="O842" s="304"/>
      <c r="P842" s="305"/>
      <c r="Q842" s="306"/>
      <c r="R842" s="289" t="str">
        <f t="shared" si="15"/>
        <v/>
      </c>
      <c r="S842" s="241"/>
    </row>
    <row r="843" spans="1:19" ht="18" customHeight="1">
      <c r="A843" s="298"/>
      <c r="B843" s="299"/>
      <c r="C843" s="241"/>
      <c r="D843" s="298"/>
      <c r="E843" s="300"/>
      <c r="F843" s="298"/>
      <c r="G843" s="241"/>
      <c r="H843" s="302"/>
      <c r="J843" s="241"/>
      <c r="M843" s="303"/>
      <c r="N843" s="281"/>
      <c r="O843" s="304"/>
      <c r="P843" s="305"/>
      <c r="Q843" s="306"/>
      <c r="R843" s="289" t="str">
        <f t="shared" si="15"/>
        <v/>
      </c>
      <c r="S843" s="241"/>
    </row>
    <row r="844" spans="1:19" ht="18" customHeight="1">
      <c r="A844" s="298"/>
      <c r="B844" s="299"/>
      <c r="C844" s="241"/>
      <c r="D844" s="298"/>
      <c r="E844" s="300"/>
      <c r="F844" s="298"/>
      <c r="G844" s="241"/>
      <c r="H844" s="302"/>
      <c r="J844" s="241"/>
      <c r="M844" s="303"/>
      <c r="N844" s="281"/>
      <c r="O844" s="304"/>
      <c r="P844" s="305"/>
      <c r="Q844" s="306"/>
      <c r="R844" s="289" t="str">
        <f t="shared" si="15"/>
        <v/>
      </c>
      <c r="S844" s="241"/>
    </row>
    <row r="845" spans="1:19" ht="18" customHeight="1">
      <c r="A845" s="298"/>
      <c r="B845" s="299"/>
      <c r="C845" s="241"/>
      <c r="D845" s="298"/>
      <c r="E845" s="300"/>
      <c r="F845" s="298"/>
      <c r="G845" s="241"/>
      <c r="H845" s="302"/>
      <c r="J845" s="241"/>
      <c r="M845" s="303"/>
      <c r="N845" s="281"/>
      <c r="O845" s="304"/>
      <c r="P845" s="305"/>
      <c r="Q845" s="306"/>
      <c r="R845" s="289" t="str">
        <f t="shared" si="15"/>
        <v/>
      </c>
      <c r="S845" s="241"/>
    </row>
    <row r="846" spans="1:19" ht="18" customHeight="1">
      <c r="A846" s="298"/>
      <c r="B846" s="299"/>
      <c r="C846" s="241"/>
      <c r="D846" s="298"/>
      <c r="E846" s="300"/>
      <c r="F846" s="298"/>
      <c r="G846" s="241"/>
      <c r="H846" s="302"/>
      <c r="J846" s="241"/>
      <c r="M846" s="303"/>
      <c r="N846" s="281"/>
      <c r="O846" s="304"/>
      <c r="P846" s="305"/>
      <c r="Q846" s="306"/>
      <c r="R846" s="289" t="str">
        <f t="shared" si="15"/>
        <v/>
      </c>
      <c r="S846" s="241"/>
    </row>
    <row r="847" spans="1:19" ht="18" customHeight="1">
      <c r="A847" s="298"/>
      <c r="B847" s="299"/>
      <c r="C847" s="241"/>
      <c r="D847" s="298"/>
      <c r="E847" s="300"/>
      <c r="F847" s="298"/>
      <c r="G847" s="241"/>
      <c r="H847" s="302"/>
      <c r="J847" s="241"/>
      <c r="M847" s="303"/>
      <c r="N847" s="281"/>
      <c r="O847" s="304"/>
      <c r="P847" s="305"/>
      <c r="Q847" s="306"/>
      <c r="R847" s="289" t="str">
        <f t="shared" si="15"/>
        <v/>
      </c>
      <c r="S847" s="241"/>
    </row>
    <row r="848" spans="1:19" ht="18" customHeight="1">
      <c r="A848" s="298"/>
      <c r="B848" s="299"/>
      <c r="C848" s="241"/>
      <c r="D848" s="298"/>
      <c r="E848" s="300"/>
      <c r="F848" s="298"/>
      <c r="G848" s="241"/>
      <c r="H848" s="302"/>
      <c r="J848" s="241"/>
      <c r="M848" s="303"/>
      <c r="N848" s="281"/>
      <c r="O848" s="304"/>
      <c r="P848" s="305"/>
      <c r="Q848" s="306"/>
      <c r="R848" s="289" t="str">
        <f t="shared" si="15"/>
        <v/>
      </c>
      <c r="S848" s="241"/>
    </row>
    <row r="849" spans="1:19" ht="18" customHeight="1">
      <c r="A849" s="298"/>
      <c r="B849" s="299"/>
      <c r="C849" s="241"/>
      <c r="D849" s="298"/>
      <c r="E849" s="300"/>
      <c r="F849" s="298"/>
      <c r="G849" s="241"/>
      <c r="H849" s="302"/>
      <c r="J849" s="241"/>
      <c r="M849" s="303"/>
      <c r="N849" s="281"/>
      <c r="O849" s="304"/>
      <c r="P849" s="305"/>
      <c r="Q849" s="306"/>
      <c r="R849" s="289" t="str">
        <f t="shared" si="15"/>
        <v/>
      </c>
      <c r="S849" s="241"/>
    </row>
    <row r="850" spans="1:19" ht="18" customHeight="1">
      <c r="A850" s="298"/>
      <c r="B850" s="299"/>
      <c r="C850" s="241"/>
      <c r="D850" s="298"/>
      <c r="E850" s="300"/>
      <c r="F850" s="298"/>
      <c r="G850" s="241"/>
      <c r="H850" s="302"/>
      <c r="J850" s="241"/>
      <c r="M850" s="303"/>
      <c r="N850" s="281"/>
      <c r="O850" s="304"/>
      <c r="P850" s="305"/>
      <c r="Q850" s="306"/>
      <c r="R850" s="289" t="str">
        <f t="shared" si="15"/>
        <v/>
      </c>
      <c r="S850" s="241"/>
    </row>
    <row r="851" spans="1:19" ht="18" customHeight="1">
      <c r="A851" s="298"/>
      <c r="B851" s="299"/>
      <c r="C851" s="241"/>
      <c r="D851" s="298"/>
      <c r="E851" s="300"/>
      <c r="F851" s="298"/>
      <c r="G851" s="241"/>
      <c r="H851" s="302"/>
      <c r="J851" s="241"/>
      <c r="M851" s="303"/>
      <c r="N851" s="281"/>
      <c r="O851" s="304"/>
      <c r="P851" s="305"/>
      <c r="Q851" s="306"/>
      <c r="R851" s="289" t="str">
        <f t="shared" si="15"/>
        <v/>
      </c>
      <c r="S851" s="241"/>
    </row>
    <row r="852" spans="1:19" ht="18" customHeight="1">
      <c r="A852" s="298"/>
      <c r="B852" s="299"/>
      <c r="C852" s="241"/>
      <c r="D852" s="298"/>
      <c r="E852" s="300"/>
      <c r="F852" s="298"/>
      <c r="G852" s="241"/>
      <c r="H852" s="302"/>
      <c r="J852" s="241"/>
      <c r="M852" s="303"/>
      <c r="N852" s="281"/>
      <c r="O852" s="304"/>
      <c r="P852" s="305"/>
      <c r="Q852" s="306"/>
      <c r="R852" s="289" t="str">
        <f t="shared" si="15"/>
        <v/>
      </c>
      <c r="S852" s="241"/>
    </row>
    <row r="853" spans="1:19" ht="18" customHeight="1">
      <c r="A853" s="298"/>
      <c r="B853" s="299"/>
      <c r="C853" s="241"/>
      <c r="D853" s="298"/>
      <c r="E853" s="300"/>
      <c r="F853" s="298"/>
      <c r="G853" s="241"/>
      <c r="H853" s="302"/>
      <c r="J853" s="241"/>
      <c r="M853" s="303"/>
      <c r="N853" s="281"/>
      <c r="O853" s="304"/>
      <c r="P853" s="305"/>
      <c r="Q853" s="306"/>
      <c r="R853" s="289" t="str">
        <f t="shared" si="15"/>
        <v/>
      </c>
      <c r="S853" s="241"/>
    </row>
    <row r="854" spans="1:19" ht="18" customHeight="1">
      <c r="A854" s="298"/>
      <c r="B854" s="299"/>
      <c r="C854" s="241"/>
      <c r="D854" s="298"/>
      <c r="E854" s="300"/>
      <c r="F854" s="298"/>
      <c r="G854" s="241"/>
      <c r="H854" s="302"/>
      <c r="J854" s="241"/>
      <c r="M854" s="303"/>
      <c r="N854" s="281"/>
      <c r="O854" s="304"/>
      <c r="P854" s="305"/>
      <c r="Q854" s="306"/>
      <c r="R854" s="289" t="str">
        <f t="shared" si="15"/>
        <v/>
      </c>
      <c r="S854" s="241"/>
    </row>
    <row r="855" spans="1:19" ht="18" customHeight="1">
      <c r="A855" s="298"/>
      <c r="B855" s="299"/>
      <c r="C855" s="241"/>
      <c r="D855" s="298"/>
      <c r="E855" s="300"/>
      <c r="F855" s="298"/>
      <c r="G855" s="241"/>
      <c r="H855" s="302"/>
      <c r="J855" s="241"/>
      <c r="M855" s="303"/>
      <c r="N855" s="281"/>
      <c r="O855" s="304"/>
      <c r="P855" s="305"/>
      <c r="Q855" s="306"/>
      <c r="R855" s="289" t="str">
        <f t="shared" si="15"/>
        <v/>
      </c>
      <c r="S855" s="241"/>
    </row>
    <row r="856" spans="1:19" ht="18" customHeight="1">
      <c r="A856" s="298"/>
      <c r="B856" s="299"/>
      <c r="C856" s="241"/>
      <c r="D856" s="298"/>
      <c r="E856" s="300"/>
      <c r="F856" s="298"/>
      <c r="G856" s="241"/>
      <c r="H856" s="302"/>
      <c r="J856" s="241"/>
      <c r="M856" s="303"/>
      <c r="N856" s="281"/>
      <c r="O856" s="304"/>
      <c r="P856" s="305"/>
      <c r="Q856" s="306"/>
      <c r="R856" s="289" t="str">
        <f t="shared" si="15"/>
        <v/>
      </c>
      <c r="S856" s="241"/>
    </row>
    <row r="857" spans="1:19" ht="18" customHeight="1">
      <c r="A857" s="298"/>
      <c r="B857" s="299"/>
      <c r="C857" s="241"/>
      <c r="D857" s="298"/>
      <c r="E857" s="300"/>
      <c r="F857" s="298"/>
      <c r="G857" s="241"/>
      <c r="H857" s="302"/>
      <c r="J857" s="241"/>
      <c r="M857" s="303"/>
      <c r="N857" s="281"/>
      <c r="O857" s="304"/>
      <c r="P857" s="305"/>
      <c r="Q857" s="306"/>
      <c r="R857" s="289" t="str">
        <f t="shared" si="15"/>
        <v/>
      </c>
      <c r="S857" s="241"/>
    </row>
    <row r="858" spans="1:19" ht="18" customHeight="1">
      <c r="A858" s="298"/>
      <c r="B858" s="299"/>
      <c r="C858" s="241"/>
      <c r="D858" s="298"/>
      <c r="E858" s="300"/>
      <c r="F858" s="298"/>
      <c r="G858" s="241"/>
      <c r="H858" s="302"/>
      <c r="J858" s="241"/>
      <c r="M858" s="303"/>
      <c r="N858" s="281"/>
      <c r="O858" s="304"/>
      <c r="P858" s="305"/>
      <c r="Q858" s="306"/>
      <c r="R858" s="289" t="str">
        <f t="shared" ref="R858:R921" si="16">IF(SUM(Q858)&gt;0,SUM(Q858-P858),"")</f>
        <v/>
      </c>
      <c r="S858" s="241"/>
    </row>
    <row r="859" spans="1:19" ht="18" customHeight="1">
      <c r="A859" s="298"/>
      <c r="B859" s="299"/>
      <c r="C859" s="241"/>
      <c r="D859" s="298"/>
      <c r="E859" s="300"/>
      <c r="F859" s="298"/>
      <c r="G859" s="241"/>
      <c r="H859" s="302"/>
      <c r="J859" s="241"/>
      <c r="M859" s="303"/>
      <c r="N859" s="281"/>
      <c r="O859" s="304"/>
      <c r="P859" s="305"/>
      <c r="Q859" s="306"/>
      <c r="R859" s="289" t="str">
        <f t="shared" si="16"/>
        <v/>
      </c>
      <c r="S859" s="241"/>
    </row>
    <row r="860" spans="1:19" ht="18" customHeight="1">
      <c r="A860" s="298"/>
      <c r="B860" s="299"/>
      <c r="C860" s="241"/>
      <c r="D860" s="298"/>
      <c r="E860" s="300"/>
      <c r="F860" s="298"/>
      <c r="G860" s="241"/>
      <c r="H860" s="302"/>
      <c r="J860" s="241"/>
      <c r="M860" s="303"/>
      <c r="N860" s="281"/>
      <c r="O860" s="304"/>
      <c r="P860" s="305"/>
      <c r="Q860" s="306"/>
      <c r="R860" s="289" t="str">
        <f t="shared" si="16"/>
        <v/>
      </c>
      <c r="S860" s="241"/>
    </row>
    <row r="861" spans="1:19" ht="18" customHeight="1">
      <c r="A861" s="298"/>
      <c r="B861" s="299"/>
      <c r="C861" s="241"/>
      <c r="D861" s="298"/>
      <c r="E861" s="300"/>
      <c r="F861" s="298"/>
      <c r="G861" s="241"/>
      <c r="H861" s="302"/>
      <c r="J861" s="241"/>
      <c r="M861" s="303"/>
      <c r="N861" s="281"/>
      <c r="O861" s="304"/>
      <c r="P861" s="305"/>
      <c r="Q861" s="306"/>
      <c r="R861" s="289" t="str">
        <f t="shared" si="16"/>
        <v/>
      </c>
      <c r="S861" s="241"/>
    </row>
    <row r="862" spans="1:19" ht="18" customHeight="1">
      <c r="A862" s="298"/>
      <c r="B862" s="299"/>
      <c r="C862" s="241"/>
      <c r="D862" s="298"/>
      <c r="E862" s="300"/>
      <c r="F862" s="298"/>
      <c r="G862" s="241"/>
      <c r="H862" s="302"/>
      <c r="J862" s="241"/>
      <c r="M862" s="303"/>
      <c r="N862" s="281"/>
      <c r="O862" s="304"/>
      <c r="P862" s="305"/>
      <c r="Q862" s="306"/>
      <c r="R862" s="289" t="str">
        <f t="shared" si="16"/>
        <v/>
      </c>
      <c r="S862" s="241"/>
    </row>
    <row r="863" spans="1:19" ht="18" customHeight="1">
      <c r="A863" s="298"/>
      <c r="B863" s="299"/>
      <c r="C863" s="241"/>
      <c r="D863" s="298"/>
      <c r="E863" s="300"/>
      <c r="F863" s="298"/>
      <c r="G863" s="241"/>
      <c r="H863" s="302"/>
      <c r="J863" s="241"/>
      <c r="M863" s="303"/>
      <c r="N863" s="281"/>
      <c r="O863" s="304"/>
      <c r="P863" s="305"/>
      <c r="Q863" s="306"/>
      <c r="R863" s="289" t="str">
        <f t="shared" si="16"/>
        <v/>
      </c>
      <c r="S863" s="241"/>
    </row>
    <row r="864" spans="1:19" ht="18" customHeight="1">
      <c r="A864" s="298"/>
      <c r="B864" s="299"/>
      <c r="C864" s="241"/>
      <c r="D864" s="298"/>
      <c r="E864" s="300"/>
      <c r="F864" s="298"/>
      <c r="G864" s="241"/>
      <c r="H864" s="302"/>
      <c r="J864" s="241"/>
      <c r="M864" s="303"/>
      <c r="N864" s="281"/>
      <c r="O864" s="304"/>
      <c r="P864" s="305"/>
      <c r="Q864" s="306"/>
      <c r="R864" s="289" t="str">
        <f t="shared" si="16"/>
        <v/>
      </c>
      <c r="S864" s="241"/>
    </row>
    <row r="865" spans="1:19" ht="18" customHeight="1">
      <c r="A865" s="298"/>
      <c r="B865" s="299"/>
      <c r="C865" s="241"/>
      <c r="D865" s="298"/>
      <c r="E865" s="300"/>
      <c r="F865" s="298"/>
      <c r="G865" s="241"/>
      <c r="H865" s="302"/>
      <c r="J865" s="241"/>
      <c r="M865" s="303"/>
      <c r="N865" s="281"/>
      <c r="O865" s="304"/>
      <c r="P865" s="305"/>
      <c r="Q865" s="306"/>
      <c r="R865" s="289" t="str">
        <f t="shared" si="16"/>
        <v/>
      </c>
      <c r="S865" s="241"/>
    </row>
    <row r="866" spans="1:19" ht="18" customHeight="1">
      <c r="A866" s="298"/>
      <c r="B866" s="299"/>
      <c r="C866" s="241"/>
      <c r="D866" s="298"/>
      <c r="E866" s="300"/>
      <c r="F866" s="298"/>
      <c r="G866" s="241"/>
      <c r="H866" s="302"/>
      <c r="J866" s="241"/>
      <c r="M866" s="303"/>
      <c r="N866" s="281"/>
      <c r="O866" s="304"/>
      <c r="P866" s="305"/>
      <c r="Q866" s="306"/>
      <c r="R866" s="289" t="str">
        <f t="shared" si="16"/>
        <v/>
      </c>
      <c r="S866" s="241"/>
    </row>
    <row r="867" spans="1:19" ht="18" customHeight="1">
      <c r="A867" s="298"/>
      <c r="B867" s="299"/>
      <c r="C867" s="241"/>
      <c r="D867" s="298"/>
      <c r="E867" s="300"/>
      <c r="F867" s="298"/>
      <c r="G867" s="241"/>
      <c r="H867" s="302"/>
      <c r="J867" s="241"/>
      <c r="M867" s="303"/>
      <c r="N867" s="281"/>
      <c r="O867" s="304"/>
      <c r="P867" s="305"/>
      <c r="Q867" s="306"/>
      <c r="R867" s="289" t="str">
        <f t="shared" si="16"/>
        <v/>
      </c>
      <c r="S867" s="241"/>
    </row>
    <row r="868" spans="1:19" ht="18" customHeight="1">
      <c r="A868" s="298"/>
      <c r="B868" s="299"/>
      <c r="C868" s="241"/>
      <c r="D868" s="298"/>
      <c r="E868" s="300"/>
      <c r="F868" s="298"/>
      <c r="G868" s="241"/>
      <c r="H868" s="302"/>
      <c r="J868" s="241"/>
      <c r="M868" s="303"/>
      <c r="N868" s="281"/>
      <c r="O868" s="304"/>
      <c r="P868" s="305"/>
      <c r="Q868" s="306"/>
      <c r="R868" s="289" t="str">
        <f t="shared" si="16"/>
        <v/>
      </c>
      <c r="S868" s="241"/>
    </row>
    <row r="869" spans="1:19" ht="18" customHeight="1">
      <c r="A869" s="298"/>
      <c r="B869" s="299"/>
      <c r="C869" s="241"/>
      <c r="D869" s="298"/>
      <c r="E869" s="300"/>
      <c r="F869" s="298"/>
      <c r="G869" s="241"/>
      <c r="H869" s="302"/>
      <c r="J869" s="241"/>
      <c r="M869" s="303"/>
      <c r="N869" s="281"/>
      <c r="O869" s="304"/>
      <c r="P869" s="305"/>
      <c r="Q869" s="306"/>
      <c r="R869" s="289" t="str">
        <f t="shared" si="16"/>
        <v/>
      </c>
      <c r="S869" s="241"/>
    </row>
    <row r="870" spans="1:19" ht="18" customHeight="1">
      <c r="A870" s="298"/>
      <c r="B870" s="299"/>
      <c r="C870" s="241"/>
      <c r="D870" s="298"/>
      <c r="E870" s="300"/>
      <c r="F870" s="298"/>
      <c r="G870" s="241"/>
      <c r="H870" s="302"/>
      <c r="J870" s="241"/>
      <c r="M870" s="303"/>
      <c r="N870" s="281"/>
      <c r="O870" s="304"/>
      <c r="P870" s="305"/>
      <c r="Q870" s="306"/>
      <c r="R870" s="289" t="str">
        <f t="shared" si="16"/>
        <v/>
      </c>
      <c r="S870" s="241"/>
    </row>
    <row r="871" spans="1:19" ht="18" customHeight="1">
      <c r="A871" s="298"/>
      <c r="B871" s="299"/>
      <c r="C871" s="241"/>
      <c r="D871" s="298"/>
      <c r="E871" s="300"/>
      <c r="F871" s="298"/>
      <c r="G871" s="241"/>
      <c r="H871" s="302"/>
      <c r="J871" s="241"/>
      <c r="M871" s="303"/>
      <c r="N871" s="281"/>
      <c r="O871" s="304"/>
      <c r="P871" s="305"/>
      <c r="Q871" s="306"/>
      <c r="R871" s="289" t="str">
        <f t="shared" si="16"/>
        <v/>
      </c>
      <c r="S871" s="241"/>
    </row>
    <row r="872" spans="1:19" ht="18" customHeight="1">
      <c r="A872" s="298"/>
      <c r="B872" s="299"/>
      <c r="C872" s="241"/>
      <c r="D872" s="298"/>
      <c r="E872" s="300"/>
      <c r="F872" s="298"/>
      <c r="G872" s="241"/>
      <c r="H872" s="302"/>
      <c r="J872" s="241"/>
      <c r="M872" s="303"/>
      <c r="N872" s="281"/>
      <c r="O872" s="304"/>
      <c r="P872" s="305"/>
      <c r="Q872" s="306"/>
      <c r="R872" s="289" t="str">
        <f t="shared" si="16"/>
        <v/>
      </c>
      <c r="S872" s="241"/>
    </row>
    <row r="873" spans="1:19" ht="18" customHeight="1">
      <c r="A873" s="298"/>
      <c r="B873" s="299"/>
      <c r="C873" s="241"/>
      <c r="D873" s="298"/>
      <c r="E873" s="300"/>
      <c r="F873" s="298"/>
      <c r="G873" s="241"/>
      <c r="H873" s="302"/>
      <c r="J873" s="241"/>
      <c r="M873" s="303"/>
      <c r="N873" s="281"/>
      <c r="O873" s="304"/>
      <c r="P873" s="305"/>
      <c r="Q873" s="306"/>
      <c r="R873" s="289" t="str">
        <f t="shared" si="16"/>
        <v/>
      </c>
      <c r="S873" s="241"/>
    </row>
    <row r="874" spans="1:19" ht="18" customHeight="1">
      <c r="A874" s="298"/>
      <c r="B874" s="299"/>
      <c r="C874" s="241"/>
      <c r="D874" s="298"/>
      <c r="E874" s="300"/>
      <c r="F874" s="298"/>
      <c r="G874" s="241"/>
      <c r="H874" s="302"/>
      <c r="J874" s="241"/>
      <c r="M874" s="303"/>
      <c r="N874" s="281"/>
      <c r="O874" s="304"/>
      <c r="P874" s="305"/>
      <c r="Q874" s="306"/>
      <c r="R874" s="289" t="str">
        <f t="shared" si="16"/>
        <v/>
      </c>
      <c r="S874" s="241"/>
    </row>
    <row r="875" spans="1:19" ht="18" customHeight="1">
      <c r="A875" s="298"/>
      <c r="B875" s="299"/>
      <c r="C875" s="241"/>
      <c r="D875" s="298"/>
      <c r="E875" s="300"/>
      <c r="F875" s="298"/>
      <c r="G875" s="241"/>
      <c r="H875" s="302"/>
      <c r="J875" s="241"/>
      <c r="M875" s="303"/>
      <c r="N875" s="281"/>
      <c r="O875" s="304"/>
      <c r="P875" s="305"/>
      <c r="Q875" s="306"/>
      <c r="R875" s="289" t="str">
        <f t="shared" si="16"/>
        <v/>
      </c>
      <c r="S875" s="241"/>
    </row>
    <row r="876" spans="1:19" ht="18" customHeight="1">
      <c r="A876" s="298"/>
      <c r="B876" s="299"/>
      <c r="C876" s="241"/>
      <c r="D876" s="298"/>
      <c r="E876" s="300"/>
      <c r="F876" s="298"/>
      <c r="G876" s="241"/>
      <c r="H876" s="302"/>
      <c r="J876" s="241"/>
      <c r="M876" s="303"/>
      <c r="N876" s="281"/>
      <c r="O876" s="304"/>
      <c r="P876" s="305"/>
      <c r="Q876" s="306"/>
      <c r="R876" s="289" t="str">
        <f t="shared" si="16"/>
        <v/>
      </c>
      <c r="S876" s="241"/>
    </row>
    <row r="877" spans="1:19" ht="18" customHeight="1">
      <c r="A877" s="298"/>
      <c r="B877" s="299"/>
      <c r="C877" s="241"/>
      <c r="D877" s="298"/>
      <c r="E877" s="300"/>
      <c r="F877" s="298"/>
      <c r="G877" s="241"/>
      <c r="H877" s="302"/>
      <c r="J877" s="241"/>
      <c r="M877" s="303"/>
      <c r="N877" s="281"/>
      <c r="O877" s="304"/>
      <c r="P877" s="305"/>
      <c r="Q877" s="306"/>
      <c r="R877" s="289" t="str">
        <f t="shared" si="16"/>
        <v/>
      </c>
      <c r="S877" s="241"/>
    </row>
    <row r="878" spans="1:19" ht="18" customHeight="1">
      <c r="A878" s="298"/>
      <c r="B878" s="299"/>
      <c r="C878" s="241"/>
      <c r="D878" s="298"/>
      <c r="E878" s="300"/>
      <c r="F878" s="298"/>
      <c r="G878" s="241"/>
      <c r="H878" s="302"/>
      <c r="J878" s="241"/>
      <c r="M878" s="303"/>
      <c r="N878" s="281"/>
      <c r="O878" s="304"/>
      <c r="P878" s="305"/>
      <c r="Q878" s="306"/>
      <c r="R878" s="289" t="str">
        <f t="shared" si="16"/>
        <v/>
      </c>
      <c r="S878" s="241"/>
    </row>
    <row r="879" spans="1:19" ht="18" customHeight="1">
      <c r="A879" s="298"/>
      <c r="B879" s="299"/>
      <c r="C879" s="241"/>
      <c r="D879" s="298"/>
      <c r="E879" s="300"/>
      <c r="F879" s="298"/>
      <c r="G879" s="241"/>
      <c r="H879" s="302"/>
      <c r="J879" s="241"/>
      <c r="M879" s="303"/>
      <c r="N879" s="281"/>
      <c r="O879" s="304"/>
      <c r="P879" s="305"/>
      <c r="Q879" s="306"/>
      <c r="R879" s="289" t="str">
        <f t="shared" si="16"/>
        <v/>
      </c>
      <c r="S879" s="241"/>
    </row>
    <row r="880" spans="1:19" ht="18" customHeight="1">
      <c r="A880" s="298"/>
      <c r="B880" s="299"/>
      <c r="C880" s="241"/>
      <c r="D880" s="298"/>
      <c r="E880" s="300"/>
      <c r="F880" s="298"/>
      <c r="G880" s="241"/>
      <c r="H880" s="302"/>
      <c r="J880" s="241"/>
      <c r="M880" s="303"/>
      <c r="N880" s="281"/>
      <c r="O880" s="304"/>
      <c r="P880" s="305"/>
      <c r="Q880" s="306"/>
      <c r="R880" s="289" t="str">
        <f t="shared" si="16"/>
        <v/>
      </c>
      <c r="S880" s="241"/>
    </row>
    <row r="881" spans="1:19" ht="18" customHeight="1">
      <c r="A881" s="298"/>
      <c r="B881" s="299"/>
      <c r="C881" s="241"/>
      <c r="D881" s="298"/>
      <c r="E881" s="300"/>
      <c r="F881" s="298"/>
      <c r="G881" s="241"/>
      <c r="H881" s="302"/>
      <c r="J881" s="241"/>
      <c r="M881" s="303"/>
      <c r="N881" s="281"/>
      <c r="O881" s="304"/>
      <c r="P881" s="305"/>
      <c r="Q881" s="306"/>
      <c r="R881" s="289" t="str">
        <f t="shared" si="16"/>
        <v/>
      </c>
      <c r="S881" s="241"/>
    </row>
    <row r="882" spans="1:19" ht="18" customHeight="1">
      <c r="A882" s="298"/>
      <c r="B882" s="299"/>
      <c r="C882" s="241"/>
      <c r="D882" s="298"/>
      <c r="E882" s="300"/>
      <c r="F882" s="298"/>
      <c r="G882" s="241"/>
      <c r="H882" s="302"/>
      <c r="J882" s="241"/>
      <c r="M882" s="303"/>
      <c r="N882" s="281"/>
      <c r="O882" s="304"/>
      <c r="P882" s="305"/>
      <c r="Q882" s="306"/>
      <c r="R882" s="289" t="str">
        <f t="shared" si="16"/>
        <v/>
      </c>
      <c r="S882" s="241"/>
    </row>
    <row r="883" spans="1:19" ht="18" customHeight="1">
      <c r="A883" s="298"/>
      <c r="B883" s="299"/>
      <c r="C883" s="241"/>
      <c r="D883" s="298"/>
      <c r="E883" s="300"/>
      <c r="F883" s="298"/>
      <c r="G883" s="241"/>
      <c r="H883" s="302"/>
      <c r="J883" s="241"/>
      <c r="M883" s="303"/>
      <c r="N883" s="281"/>
      <c r="O883" s="304"/>
      <c r="P883" s="305"/>
      <c r="Q883" s="306"/>
      <c r="R883" s="289" t="str">
        <f t="shared" si="16"/>
        <v/>
      </c>
      <c r="S883" s="241"/>
    </row>
    <row r="884" spans="1:19" ht="18" customHeight="1">
      <c r="A884" s="298"/>
      <c r="B884" s="299"/>
      <c r="C884" s="241"/>
      <c r="D884" s="298"/>
      <c r="E884" s="300"/>
      <c r="F884" s="298"/>
      <c r="G884" s="241"/>
      <c r="H884" s="302"/>
      <c r="J884" s="241"/>
      <c r="M884" s="303"/>
      <c r="N884" s="281"/>
      <c r="O884" s="304"/>
      <c r="P884" s="305"/>
      <c r="Q884" s="306"/>
      <c r="R884" s="289" t="str">
        <f t="shared" si="16"/>
        <v/>
      </c>
      <c r="S884" s="241"/>
    </row>
    <row r="885" spans="1:19" ht="18" customHeight="1">
      <c r="A885" s="298"/>
      <c r="B885" s="299"/>
      <c r="C885" s="241"/>
      <c r="D885" s="298"/>
      <c r="E885" s="300"/>
      <c r="F885" s="298"/>
      <c r="G885" s="241"/>
      <c r="H885" s="302"/>
      <c r="J885" s="241"/>
      <c r="M885" s="303"/>
      <c r="N885" s="281"/>
      <c r="O885" s="304"/>
      <c r="P885" s="305"/>
      <c r="Q885" s="306"/>
      <c r="R885" s="289" t="str">
        <f t="shared" si="16"/>
        <v/>
      </c>
      <c r="S885" s="241"/>
    </row>
    <row r="886" spans="1:19" ht="18" customHeight="1">
      <c r="A886" s="298"/>
      <c r="B886" s="299"/>
      <c r="C886" s="241"/>
      <c r="D886" s="298"/>
      <c r="E886" s="300"/>
      <c r="F886" s="298"/>
      <c r="G886" s="241"/>
      <c r="H886" s="302"/>
      <c r="J886" s="241"/>
      <c r="M886" s="303"/>
      <c r="N886" s="281"/>
      <c r="O886" s="304"/>
      <c r="P886" s="305"/>
      <c r="Q886" s="306"/>
      <c r="R886" s="289" t="str">
        <f t="shared" si="16"/>
        <v/>
      </c>
      <c r="S886" s="241"/>
    </row>
    <row r="887" spans="1:19" ht="18" customHeight="1">
      <c r="A887" s="298"/>
      <c r="B887" s="299"/>
      <c r="C887" s="241"/>
      <c r="D887" s="298"/>
      <c r="E887" s="300"/>
      <c r="F887" s="298"/>
      <c r="G887" s="241"/>
      <c r="H887" s="302"/>
      <c r="J887" s="241"/>
      <c r="M887" s="303"/>
      <c r="N887" s="281"/>
      <c r="O887" s="304"/>
      <c r="P887" s="305"/>
      <c r="Q887" s="306"/>
      <c r="R887" s="289" t="str">
        <f t="shared" si="16"/>
        <v/>
      </c>
      <c r="S887" s="241"/>
    </row>
    <row r="888" spans="1:19" ht="18" customHeight="1">
      <c r="A888" s="298"/>
      <c r="B888" s="299"/>
      <c r="C888" s="241"/>
      <c r="D888" s="298"/>
      <c r="E888" s="300"/>
      <c r="F888" s="298"/>
      <c r="G888" s="241"/>
      <c r="H888" s="302"/>
      <c r="J888" s="241"/>
      <c r="M888" s="303"/>
      <c r="N888" s="281"/>
      <c r="O888" s="304"/>
      <c r="P888" s="305"/>
      <c r="Q888" s="306"/>
      <c r="R888" s="289" t="str">
        <f t="shared" si="16"/>
        <v/>
      </c>
      <c r="S888" s="241"/>
    </row>
    <row r="889" spans="1:19" ht="18" customHeight="1">
      <c r="A889" s="298"/>
      <c r="B889" s="299"/>
      <c r="C889" s="241"/>
      <c r="D889" s="298"/>
      <c r="E889" s="300"/>
      <c r="F889" s="298"/>
      <c r="G889" s="241"/>
      <c r="H889" s="302"/>
      <c r="J889" s="241"/>
      <c r="M889" s="303"/>
      <c r="N889" s="281"/>
      <c r="O889" s="304"/>
      <c r="P889" s="305"/>
      <c r="Q889" s="306"/>
      <c r="R889" s="289" t="str">
        <f t="shared" si="16"/>
        <v/>
      </c>
      <c r="S889" s="241"/>
    </row>
    <row r="890" spans="1:19" ht="18" customHeight="1">
      <c r="A890" s="298"/>
      <c r="B890" s="299"/>
      <c r="C890" s="241"/>
      <c r="D890" s="298"/>
      <c r="E890" s="300"/>
      <c r="F890" s="298"/>
      <c r="G890" s="241"/>
      <c r="H890" s="302"/>
      <c r="J890" s="241"/>
      <c r="M890" s="303"/>
      <c r="N890" s="281"/>
      <c r="O890" s="304"/>
      <c r="P890" s="305"/>
      <c r="Q890" s="306"/>
      <c r="R890" s="289" t="str">
        <f t="shared" si="16"/>
        <v/>
      </c>
      <c r="S890" s="241"/>
    </row>
    <row r="891" spans="1:19" ht="18" customHeight="1">
      <c r="A891" s="298"/>
      <c r="B891" s="299"/>
      <c r="C891" s="241"/>
      <c r="D891" s="298"/>
      <c r="E891" s="300"/>
      <c r="F891" s="298"/>
      <c r="G891" s="241"/>
      <c r="H891" s="302"/>
      <c r="J891" s="241"/>
      <c r="M891" s="303"/>
      <c r="N891" s="281"/>
      <c r="O891" s="304"/>
      <c r="P891" s="305"/>
      <c r="Q891" s="306"/>
      <c r="R891" s="289" t="str">
        <f t="shared" si="16"/>
        <v/>
      </c>
      <c r="S891" s="241"/>
    </row>
    <row r="892" spans="1:19" ht="18" customHeight="1">
      <c r="A892" s="298"/>
      <c r="B892" s="299"/>
      <c r="C892" s="241"/>
      <c r="D892" s="298"/>
      <c r="E892" s="300"/>
      <c r="F892" s="298"/>
      <c r="G892" s="241"/>
      <c r="H892" s="302"/>
      <c r="J892" s="241"/>
      <c r="M892" s="303"/>
      <c r="N892" s="281"/>
      <c r="O892" s="304"/>
      <c r="P892" s="305"/>
      <c r="Q892" s="306"/>
      <c r="R892" s="289" t="str">
        <f t="shared" si="16"/>
        <v/>
      </c>
      <c r="S892" s="241"/>
    </row>
    <row r="893" spans="1:19" ht="18" customHeight="1">
      <c r="A893" s="298"/>
      <c r="B893" s="299"/>
      <c r="C893" s="241"/>
      <c r="D893" s="298"/>
      <c r="E893" s="300"/>
      <c r="F893" s="298"/>
      <c r="G893" s="241"/>
      <c r="H893" s="302"/>
      <c r="J893" s="241"/>
      <c r="M893" s="303"/>
      <c r="N893" s="281"/>
      <c r="O893" s="304"/>
      <c r="P893" s="305"/>
      <c r="Q893" s="306"/>
      <c r="R893" s="289" t="str">
        <f t="shared" si="16"/>
        <v/>
      </c>
      <c r="S893" s="241"/>
    </row>
    <row r="894" spans="1:19" ht="18" customHeight="1">
      <c r="A894" s="298"/>
      <c r="B894" s="299"/>
      <c r="C894" s="241"/>
      <c r="D894" s="298"/>
      <c r="E894" s="300"/>
      <c r="F894" s="298"/>
      <c r="G894" s="241"/>
      <c r="H894" s="302"/>
      <c r="J894" s="241"/>
      <c r="M894" s="303"/>
      <c r="N894" s="281"/>
      <c r="O894" s="304"/>
      <c r="P894" s="305"/>
      <c r="Q894" s="306"/>
      <c r="R894" s="289" t="str">
        <f t="shared" si="16"/>
        <v/>
      </c>
      <c r="S894" s="241"/>
    </row>
    <row r="895" spans="1:19" ht="18" customHeight="1">
      <c r="A895" s="298"/>
      <c r="B895" s="299"/>
      <c r="C895" s="241"/>
      <c r="D895" s="298"/>
      <c r="E895" s="300"/>
      <c r="F895" s="298"/>
      <c r="G895" s="241"/>
      <c r="H895" s="302"/>
      <c r="J895" s="241"/>
      <c r="M895" s="303"/>
      <c r="N895" s="281"/>
      <c r="O895" s="304"/>
      <c r="P895" s="305"/>
      <c r="Q895" s="306"/>
      <c r="R895" s="289" t="str">
        <f t="shared" si="16"/>
        <v/>
      </c>
      <c r="S895" s="241"/>
    </row>
    <row r="896" spans="1:19" ht="18" customHeight="1">
      <c r="A896" s="298"/>
      <c r="B896" s="299"/>
      <c r="C896" s="241"/>
      <c r="D896" s="298"/>
      <c r="E896" s="300"/>
      <c r="F896" s="298"/>
      <c r="G896" s="241"/>
      <c r="H896" s="302"/>
      <c r="J896" s="241"/>
      <c r="M896" s="303"/>
      <c r="N896" s="281"/>
      <c r="O896" s="304"/>
      <c r="P896" s="305"/>
      <c r="Q896" s="306"/>
      <c r="R896" s="289" t="str">
        <f t="shared" si="16"/>
        <v/>
      </c>
      <c r="S896" s="241"/>
    </row>
    <row r="897" spans="1:19" ht="18" customHeight="1">
      <c r="A897" s="298"/>
      <c r="B897" s="299"/>
      <c r="C897" s="241"/>
      <c r="D897" s="298"/>
      <c r="E897" s="300"/>
      <c r="F897" s="298"/>
      <c r="G897" s="241"/>
      <c r="H897" s="302"/>
      <c r="J897" s="241"/>
      <c r="M897" s="303"/>
      <c r="N897" s="281"/>
      <c r="O897" s="304"/>
      <c r="P897" s="305"/>
      <c r="Q897" s="306"/>
      <c r="R897" s="289" t="str">
        <f t="shared" si="16"/>
        <v/>
      </c>
      <c r="S897" s="241"/>
    </row>
    <row r="898" spans="1:19" ht="18" customHeight="1">
      <c r="A898" s="298"/>
      <c r="B898" s="299"/>
      <c r="C898" s="241"/>
      <c r="D898" s="298"/>
      <c r="E898" s="300"/>
      <c r="F898" s="298"/>
      <c r="G898" s="241"/>
      <c r="H898" s="302"/>
      <c r="J898" s="241"/>
      <c r="M898" s="303"/>
      <c r="N898" s="281"/>
      <c r="O898" s="304"/>
      <c r="P898" s="305"/>
      <c r="Q898" s="306"/>
      <c r="R898" s="289" t="str">
        <f t="shared" si="16"/>
        <v/>
      </c>
      <c r="S898" s="241"/>
    </row>
    <row r="899" spans="1:19" ht="18" customHeight="1">
      <c r="A899" s="298"/>
      <c r="B899" s="299"/>
      <c r="C899" s="241"/>
      <c r="D899" s="298"/>
      <c r="E899" s="300"/>
      <c r="F899" s="298"/>
      <c r="G899" s="241"/>
      <c r="H899" s="302"/>
      <c r="J899" s="241"/>
      <c r="M899" s="303"/>
      <c r="N899" s="281"/>
      <c r="O899" s="304"/>
      <c r="P899" s="305"/>
      <c r="Q899" s="306"/>
      <c r="R899" s="289" t="str">
        <f t="shared" si="16"/>
        <v/>
      </c>
      <c r="S899" s="241"/>
    </row>
    <row r="900" spans="1:19" ht="18" customHeight="1">
      <c r="A900" s="298"/>
      <c r="B900" s="299"/>
      <c r="C900" s="241"/>
      <c r="D900" s="298"/>
      <c r="E900" s="300"/>
      <c r="F900" s="298"/>
      <c r="G900" s="241"/>
      <c r="H900" s="302"/>
      <c r="J900" s="241"/>
      <c r="M900" s="303"/>
      <c r="N900" s="281"/>
      <c r="O900" s="304"/>
      <c r="P900" s="305"/>
      <c r="Q900" s="306"/>
      <c r="R900" s="289" t="str">
        <f t="shared" si="16"/>
        <v/>
      </c>
      <c r="S900" s="241"/>
    </row>
    <row r="901" spans="1:19" ht="18" customHeight="1">
      <c r="A901" s="298"/>
      <c r="B901" s="299"/>
      <c r="C901" s="241"/>
      <c r="D901" s="298"/>
      <c r="E901" s="300"/>
      <c r="F901" s="298"/>
      <c r="G901" s="241"/>
      <c r="H901" s="302"/>
      <c r="J901" s="241"/>
      <c r="M901" s="303"/>
      <c r="N901" s="281"/>
      <c r="O901" s="304"/>
      <c r="P901" s="305"/>
      <c r="Q901" s="306"/>
      <c r="R901" s="289" t="str">
        <f t="shared" si="16"/>
        <v/>
      </c>
      <c r="S901" s="241"/>
    </row>
    <row r="902" spans="1:19" ht="18" customHeight="1">
      <c r="A902" s="298"/>
      <c r="B902" s="299"/>
      <c r="C902" s="241"/>
      <c r="D902" s="298"/>
      <c r="E902" s="300"/>
      <c r="F902" s="298"/>
      <c r="G902" s="241"/>
      <c r="H902" s="302"/>
      <c r="J902" s="241"/>
      <c r="M902" s="303"/>
      <c r="N902" s="281"/>
      <c r="O902" s="304"/>
      <c r="P902" s="305"/>
      <c r="Q902" s="306"/>
      <c r="R902" s="289" t="str">
        <f t="shared" si="16"/>
        <v/>
      </c>
      <c r="S902" s="241"/>
    </row>
    <row r="903" spans="1:19" ht="18" customHeight="1">
      <c r="A903" s="298"/>
      <c r="B903" s="299"/>
      <c r="C903" s="241"/>
      <c r="D903" s="298"/>
      <c r="E903" s="300"/>
      <c r="F903" s="298"/>
      <c r="G903" s="241"/>
      <c r="H903" s="302"/>
      <c r="J903" s="241"/>
      <c r="M903" s="303"/>
      <c r="N903" s="281"/>
      <c r="O903" s="304"/>
      <c r="P903" s="305"/>
      <c r="Q903" s="306"/>
      <c r="R903" s="289" t="str">
        <f t="shared" si="16"/>
        <v/>
      </c>
      <c r="S903" s="241"/>
    </row>
    <row r="904" spans="1:19" ht="18" customHeight="1">
      <c r="A904" s="298"/>
      <c r="B904" s="299"/>
      <c r="C904" s="241"/>
      <c r="D904" s="298"/>
      <c r="E904" s="300"/>
      <c r="F904" s="298"/>
      <c r="G904" s="241"/>
      <c r="H904" s="302"/>
      <c r="J904" s="241"/>
      <c r="M904" s="303"/>
      <c r="N904" s="281"/>
      <c r="O904" s="304"/>
      <c r="P904" s="305"/>
      <c r="Q904" s="306"/>
      <c r="R904" s="289" t="str">
        <f t="shared" si="16"/>
        <v/>
      </c>
      <c r="S904" s="241"/>
    </row>
    <row r="905" spans="1:19" ht="18" customHeight="1">
      <c r="A905" s="298"/>
      <c r="B905" s="299"/>
      <c r="C905" s="241"/>
      <c r="D905" s="298"/>
      <c r="E905" s="300"/>
      <c r="F905" s="298"/>
      <c r="G905" s="241"/>
      <c r="H905" s="302"/>
      <c r="J905" s="241"/>
      <c r="M905" s="303"/>
      <c r="N905" s="281"/>
      <c r="O905" s="304"/>
      <c r="P905" s="305"/>
      <c r="Q905" s="306"/>
      <c r="R905" s="289" t="str">
        <f t="shared" si="16"/>
        <v/>
      </c>
      <c r="S905" s="241"/>
    </row>
    <row r="906" spans="1:19" ht="18" customHeight="1">
      <c r="A906" s="298"/>
      <c r="B906" s="299"/>
      <c r="C906" s="241"/>
      <c r="D906" s="298"/>
      <c r="E906" s="300"/>
      <c r="F906" s="298"/>
      <c r="G906" s="241"/>
      <c r="H906" s="302"/>
      <c r="J906" s="241"/>
      <c r="M906" s="303"/>
      <c r="N906" s="281"/>
      <c r="O906" s="304"/>
      <c r="P906" s="305"/>
      <c r="Q906" s="306"/>
      <c r="R906" s="289" t="str">
        <f t="shared" si="16"/>
        <v/>
      </c>
      <c r="S906" s="241"/>
    </row>
    <row r="907" spans="1:19" ht="18" customHeight="1">
      <c r="A907" s="298"/>
      <c r="B907" s="299"/>
      <c r="C907" s="241"/>
      <c r="D907" s="298"/>
      <c r="E907" s="300"/>
      <c r="F907" s="298"/>
      <c r="G907" s="241"/>
      <c r="H907" s="302"/>
      <c r="J907" s="241"/>
      <c r="M907" s="303"/>
      <c r="N907" s="281"/>
      <c r="O907" s="304"/>
      <c r="P907" s="305"/>
      <c r="Q907" s="306"/>
      <c r="R907" s="289" t="str">
        <f t="shared" si="16"/>
        <v/>
      </c>
      <c r="S907" s="241"/>
    </row>
    <row r="908" spans="1:19" ht="18" customHeight="1">
      <c r="A908" s="298"/>
      <c r="B908" s="299"/>
      <c r="C908" s="241"/>
      <c r="D908" s="298"/>
      <c r="E908" s="300"/>
      <c r="F908" s="298"/>
      <c r="G908" s="241"/>
      <c r="H908" s="302"/>
      <c r="J908" s="241"/>
      <c r="M908" s="303"/>
      <c r="N908" s="281"/>
      <c r="O908" s="304"/>
      <c r="P908" s="305"/>
      <c r="Q908" s="306"/>
      <c r="R908" s="289" t="str">
        <f t="shared" si="16"/>
        <v/>
      </c>
      <c r="S908" s="241"/>
    </row>
    <row r="909" spans="1:19" ht="18" customHeight="1">
      <c r="A909" s="298"/>
      <c r="B909" s="299"/>
      <c r="C909" s="241"/>
      <c r="D909" s="298"/>
      <c r="E909" s="300"/>
      <c r="F909" s="298"/>
      <c r="G909" s="241"/>
      <c r="H909" s="302"/>
      <c r="J909" s="241"/>
      <c r="M909" s="303"/>
      <c r="N909" s="281"/>
      <c r="O909" s="304"/>
      <c r="P909" s="305"/>
      <c r="Q909" s="306"/>
      <c r="R909" s="289" t="str">
        <f t="shared" si="16"/>
        <v/>
      </c>
      <c r="S909" s="241"/>
    </row>
    <row r="910" spans="1:19" ht="18" customHeight="1">
      <c r="A910" s="298"/>
      <c r="B910" s="299"/>
      <c r="C910" s="241"/>
      <c r="D910" s="298"/>
      <c r="E910" s="300"/>
      <c r="F910" s="298"/>
      <c r="G910" s="241"/>
      <c r="H910" s="302"/>
      <c r="J910" s="241"/>
      <c r="M910" s="303"/>
      <c r="N910" s="281"/>
      <c r="O910" s="304"/>
      <c r="P910" s="305"/>
      <c r="Q910" s="306"/>
      <c r="R910" s="289" t="str">
        <f t="shared" si="16"/>
        <v/>
      </c>
      <c r="S910" s="241"/>
    </row>
    <row r="911" spans="1:19" ht="18" customHeight="1">
      <c r="A911" s="298"/>
      <c r="B911" s="299"/>
      <c r="C911" s="241"/>
      <c r="D911" s="298"/>
      <c r="E911" s="300"/>
      <c r="F911" s="298"/>
      <c r="G911" s="241"/>
      <c r="H911" s="302"/>
      <c r="J911" s="241"/>
      <c r="M911" s="303"/>
      <c r="N911" s="281"/>
      <c r="O911" s="304"/>
      <c r="P911" s="305"/>
      <c r="Q911" s="306"/>
      <c r="R911" s="289" t="str">
        <f t="shared" si="16"/>
        <v/>
      </c>
      <c r="S911" s="241"/>
    </row>
    <row r="912" spans="1:19" ht="18" customHeight="1">
      <c r="A912" s="298"/>
      <c r="B912" s="299"/>
      <c r="C912" s="241"/>
      <c r="D912" s="298"/>
      <c r="E912" s="300"/>
      <c r="F912" s="298"/>
      <c r="G912" s="241"/>
      <c r="H912" s="302"/>
      <c r="J912" s="241"/>
      <c r="M912" s="303"/>
      <c r="N912" s="281"/>
      <c r="O912" s="304"/>
      <c r="P912" s="305"/>
      <c r="Q912" s="306"/>
      <c r="R912" s="289" t="str">
        <f t="shared" si="16"/>
        <v/>
      </c>
      <c r="S912" s="241"/>
    </row>
    <row r="913" spans="1:19" ht="18" customHeight="1">
      <c r="A913" s="298"/>
      <c r="B913" s="299"/>
      <c r="C913" s="241"/>
      <c r="D913" s="298"/>
      <c r="E913" s="300"/>
      <c r="F913" s="298"/>
      <c r="G913" s="241"/>
      <c r="H913" s="302"/>
      <c r="J913" s="241"/>
      <c r="M913" s="303"/>
      <c r="N913" s="281"/>
      <c r="O913" s="304"/>
      <c r="P913" s="305"/>
      <c r="Q913" s="306"/>
      <c r="R913" s="289" t="str">
        <f t="shared" si="16"/>
        <v/>
      </c>
      <c r="S913" s="241"/>
    </row>
    <row r="914" spans="1:19" ht="18" customHeight="1">
      <c r="A914" s="298"/>
      <c r="B914" s="299"/>
      <c r="C914" s="241"/>
      <c r="D914" s="298"/>
      <c r="E914" s="300"/>
      <c r="F914" s="298"/>
      <c r="G914" s="241"/>
      <c r="H914" s="302"/>
      <c r="J914" s="241"/>
      <c r="M914" s="303"/>
      <c r="N914" s="281"/>
      <c r="O914" s="304"/>
      <c r="P914" s="305"/>
      <c r="Q914" s="306"/>
      <c r="R914" s="289" t="str">
        <f t="shared" si="16"/>
        <v/>
      </c>
      <c r="S914" s="241"/>
    </row>
    <row r="915" spans="1:19" ht="18" customHeight="1">
      <c r="A915" s="298"/>
      <c r="B915" s="299"/>
      <c r="C915" s="241"/>
      <c r="D915" s="298"/>
      <c r="E915" s="300"/>
      <c r="F915" s="298"/>
      <c r="G915" s="241"/>
      <c r="H915" s="302"/>
      <c r="J915" s="241"/>
      <c r="M915" s="303"/>
      <c r="N915" s="281"/>
      <c r="O915" s="304"/>
      <c r="P915" s="305"/>
      <c r="Q915" s="306"/>
      <c r="R915" s="289" t="str">
        <f t="shared" si="16"/>
        <v/>
      </c>
      <c r="S915" s="241"/>
    </row>
    <row r="916" spans="1:19" ht="18" customHeight="1">
      <c r="A916" s="298"/>
      <c r="B916" s="299"/>
      <c r="C916" s="241"/>
      <c r="D916" s="298"/>
      <c r="E916" s="300"/>
      <c r="F916" s="298"/>
      <c r="G916" s="241"/>
      <c r="H916" s="302"/>
      <c r="J916" s="241"/>
      <c r="M916" s="303"/>
      <c r="N916" s="281"/>
      <c r="O916" s="304"/>
      <c r="P916" s="305"/>
      <c r="Q916" s="306"/>
      <c r="R916" s="289" t="str">
        <f t="shared" si="16"/>
        <v/>
      </c>
      <c r="S916" s="241"/>
    </row>
    <row r="917" spans="1:19" ht="18" customHeight="1">
      <c r="A917" s="298"/>
      <c r="B917" s="299"/>
      <c r="C917" s="241"/>
      <c r="D917" s="298"/>
      <c r="E917" s="300"/>
      <c r="F917" s="298"/>
      <c r="G917" s="241"/>
      <c r="H917" s="302"/>
      <c r="J917" s="241"/>
      <c r="M917" s="303"/>
      <c r="N917" s="281"/>
      <c r="O917" s="304"/>
      <c r="P917" s="305"/>
      <c r="Q917" s="306"/>
      <c r="R917" s="289" t="str">
        <f t="shared" si="16"/>
        <v/>
      </c>
      <c r="S917" s="241"/>
    </row>
    <row r="918" spans="1:19" ht="18" customHeight="1">
      <c r="A918" s="298"/>
      <c r="B918" s="299"/>
      <c r="C918" s="241"/>
      <c r="D918" s="298"/>
      <c r="E918" s="300"/>
      <c r="F918" s="298"/>
      <c r="G918" s="241"/>
      <c r="H918" s="302"/>
      <c r="J918" s="241"/>
      <c r="M918" s="303"/>
      <c r="N918" s="281"/>
      <c r="O918" s="304"/>
      <c r="P918" s="305"/>
      <c r="Q918" s="306"/>
      <c r="R918" s="289" t="str">
        <f t="shared" si="16"/>
        <v/>
      </c>
      <c r="S918" s="241"/>
    </row>
    <row r="919" spans="1:19" ht="18" customHeight="1">
      <c r="A919" s="298"/>
      <c r="B919" s="299"/>
      <c r="C919" s="241"/>
      <c r="D919" s="298"/>
      <c r="E919" s="300"/>
      <c r="F919" s="298"/>
      <c r="G919" s="241"/>
      <c r="H919" s="302"/>
      <c r="J919" s="241"/>
      <c r="M919" s="303"/>
      <c r="N919" s="281"/>
      <c r="O919" s="304"/>
      <c r="P919" s="305"/>
      <c r="Q919" s="306"/>
      <c r="R919" s="289" t="str">
        <f t="shared" si="16"/>
        <v/>
      </c>
      <c r="S919" s="241"/>
    </row>
    <row r="920" spans="1:19" ht="18" customHeight="1">
      <c r="A920" s="298"/>
      <c r="B920" s="299"/>
      <c r="C920" s="241"/>
      <c r="D920" s="298"/>
      <c r="E920" s="300"/>
      <c r="F920" s="298"/>
      <c r="G920" s="241"/>
      <c r="H920" s="302"/>
      <c r="J920" s="241"/>
      <c r="M920" s="303"/>
      <c r="N920" s="281"/>
      <c r="O920" s="304"/>
      <c r="P920" s="305"/>
      <c r="Q920" s="306"/>
      <c r="R920" s="289" t="str">
        <f t="shared" si="16"/>
        <v/>
      </c>
      <c r="S920" s="241"/>
    </row>
    <row r="921" spans="1:19" ht="18" customHeight="1">
      <c r="A921" s="298"/>
      <c r="B921" s="299"/>
      <c r="C921" s="241"/>
      <c r="D921" s="298"/>
      <c r="E921" s="300"/>
      <c r="F921" s="298"/>
      <c r="G921" s="241"/>
      <c r="H921" s="302"/>
      <c r="J921" s="241"/>
      <c r="M921" s="303"/>
      <c r="N921" s="281"/>
      <c r="O921" s="304"/>
      <c r="P921" s="305"/>
      <c r="Q921" s="306"/>
      <c r="R921" s="289" t="str">
        <f t="shared" si="16"/>
        <v/>
      </c>
      <c r="S921" s="241"/>
    </row>
    <row r="922" spans="1:19" ht="18" customHeight="1">
      <c r="A922" s="298"/>
      <c r="B922" s="299"/>
      <c r="C922" s="241"/>
      <c r="D922" s="298"/>
      <c r="E922" s="300"/>
      <c r="F922" s="298"/>
      <c r="G922" s="241"/>
      <c r="H922" s="302"/>
      <c r="J922" s="241"/>
      <c r="M922" s="303"/>
      <c r="N922" s="281"/>
      <c r="O922" s="304"/>
      <c r="P922" s="305"/>
      <c r="Q922" s="306"/>
      <c r="R922" s="289" t="str">
        <f t="shared" ref="R922:R985" si="17">IF(SUM(Q922)&gt;0,SUM(Q922-P922),"")</f>
        <v/>
      </c>
      <c r="S922" s="241"/>
    </row>
    <row r="923" spans="1:19" ht="18" customHeight="1">
      <c r="A923" s="298"/>
      <c r="B923" s="299"/>
      <c r="C923" s="241"/>
      <c r="D923" s="298"/>
      <c r="E923" s="300"/>
      <c r="F923" s="298"/>
      <c r="G923" s="241"/>
      <c r="H923" s="302"/>
      <c r="J923" s="241"/>
      <c r="M923" s="303"/>
      <c r="N923" s="281"/>
      <c r="O923" s="304"/>
      <c r="P923" s="305"/>
      <c r="Q923" s="306"/>
      <c r="R923" s="289" t="str">
        <f t="shared" si="17"/>
        <v/>
      </c>
      <c r="S923" s="241"/>
    </row>
    <row r="924" spans="1:19" ht="18" customHeight="1">
      <c r="A924" s="298"/>
      <c r="B924" s="299"/>
      <c r="C924" s="241"/>
      <c r="D924" s="298"/>
      <c r="E924" s="300"/>
      <c r="F924" s="298"/>
      <c r="G924" s="241"/>
      <c r="H924" s="302"/>
      <c r="J924" s="241"/>
      <c r="M924" s="303"/>
      <c r="N924" s="281"/>
      <c r="O924" s="304"/>
      <c r="P924" s="305"/>
      <c r="Q924" s="306"/>
      <c r="R924" s="289" t="str">
        <f t="shared" si="17"/>
        <v/>
      </c>
      <c r="S924" s="241"/>
    </row>
    <row r="925" spans="1:19" ht="18" customHeight="1">
      <c r="A925" s="298"/>
      <c r="B925" s="299"/>
      <c r="C925" s="241"/>
      <c r="D925" s="298"/>
      <c r="E925" s="300"/>
      <c r="F925" s="298"/>
      <c r="G925" s="241"/>
      <c r="H925" s="302"/>
      <c r="J925" s="241"/>
      <c r="M925" s="303"/>
      <c r="N925" s="281"/>
      <c r="O925" s="304"/>
      <c r="P925" s="305"/>
      <c r="Q925" s="306"/>
      <c r="R925" s="289" t="str">
        <f t="shared" si="17"/>
        <v/>
      </c>
      <c r="S925" s="241"/>
    </row>
    <row r="926" spans="1:19" ht="18" customHeight="1">
      <c r="A926" s="298"/>
      <c r="B926" s="299"/>
      <c r="C926" s="241"/>
      <c r="D926" s="298"/>
      <c r="E926" s="300"/>
      <c r="F926" s="298"/>
      <c r="G926" s="241"/>
      <c r="H926" s="302"/>
      <c r="J926" s="241"/>
      <c r="M926" s="303"/>
      <c r="N926" s="281"/>
      <c r="O926" s="304"/>
      <c r="P926" s="305"/>
      <c r="Q926" s="306"/>
      <c r="R926" s="289" t="str">
        <f t="shared" si="17"/>
        <v/>
      </c>
      <c r="S926" s="241"/>
    </row>
    <row r="927" spans="1:19" ht="18" customHeight="1">
      <c r="A927" s="298"/>
      <c r="B927" s="299"/>
      <c r="C927" s="241"/>
      <c r="D927" s="298"/>
      <c r="E927" s="300"/>
      <c r="F927" s="298"/>
      <c r="G927" s="241"/>
      <c r="H927" s="302"/>
      <c r="J927" s="241"/>
      <c r="M927" s="303"/>
      <c r="N927" s="281"/>
      <c r="O927" s="304"/>
      <c r="P927" s="305"/>
      <c r="Q927" s="306"/>
      <c r="R927" s="289" t="str">
        <f t="shared" si="17"/>
        <v/>
      </c>
      <c r="S927" s="241"/>
    </row>
    <row r="928" spans="1:19" ht="18" customHeight="1">
      <c r="A928" s="298"/>
      <c r="B928" s="299"/>
      <c r="C928" s="241"/>
      <c r="D928" s="298"/>
      <c r="E928" s="300"/>
      <c r="F928" s="298"/>
      <c r="G928" s="241"/>
      <c r="H928" s="302"/>
      <c r="J928" s="241"/>
      <c r="M928" s="303"/>
      <c r="N928" s="281"/>
      <c r="O928" s="304"/>
      <c r="P928" s="305"/>
      <c r="Q928" s="306"/>
      <c r="R928" s="289" t="str">
        <f t="shared" si="17"/>
        <v/>
      </c>
      <c r="S928" s="241"/>
    </row>
    <row r="929" spans="1:19" ht="18" customHeight="1">
      <c r="A929" s="298"/>
      <c r="B929" s="299"/>
      <c r="C929" s="241"/>
      <c r="D929" s="298"/>
      <c r="E929" s="300"/>
      <c r="F929" s="298"/>
      <c r="G929" s="241"/>
      <c r="H929" s="302"/>
      <c r="J929" s="241"/>
      <c r="M929" s="303"/>
      <c r="N929" s="281"/>
      <c r="O929" s="304"/>
      <c r="P929" s="305"/>
      <c r="Q929" s="306"/>
      <c r="R929" s="289" t="str">
        <f t="shared" si="17"/>
        <v/>
      </c>
      <c r="S929" s="241"/>
    </row>
    <row r="930" spans="1:19" ht="18" customHeight="1">
      <c r="A930" s="298"/>
      <c r="B930" s="299"/>
      <c r="C930" s="241"/>
      <c r="D930" s="298"/>
      <c r="E930" s="300"/>
      <c r="F930" s="298"/>
      <c r="G930" s="241"/>
      <c r="H930" s="302"/>
      <c r="J930" s="241"/>
      <c r="M930" s="303"/>
      <c r="N930" s="281"/>
      <c r="O930" s="304"/>
      <c r="P930" s="305"/>
      <c r="Q930" s="306"/>
      <c r="R930" s="289" t="str">
        <f t="shared" si="17"/>
        <v/>
      </c>
      <c r="S930" s="241"/>
    </row>
    <row r="931" spans="1:19" ht="18" customHeight="1">
      <c r="A931" s="298"/>
      <c r="B931" s="299"/>
      <c r="C931" s="241"/>
      <c r="D931" s="298"/>
      <c r="E931" s="300"/>
      <c r="F931" s="298"/>
      <c r="G931" s="241"/>
      <c r="H931" s="302"/>
      <c r="J931" s="241"/>
      <c r="M931" s="303"/>
      <c r="N931" s="281"/>
      <c r="O931" s="304"/>
      <c r="P931" s="305"/>
      <c r="Q931" s="306"/>
      <c r="R931" s="289" t="str">
        <f t="shared" si="17"/>
        <v/>
      </c>
      <c r="S931" s="241"/>
    </row>
    <row r="932" spans="1:19" ht="18" customHeight="1">
      <c r="A932" s="298"/>
      <c r="B932" s="299"/>
      <c r="C932" s="241"/>
      <c r="D932" s="298"/>
      <c r="E932" s="300"/>
      <c r="F932" s="298"/>
      <c r="G932" s="241"/>
      <c r="H932" s="302"/>
      <c r="J932" s="241"/>
      <c r="M932" s="303"/>
      <c r="N932" s="281"/>
      <c r="O932" s="304"/>
      <c r="P932" s="305"/>
      <c r="Q932" s="306"/>
      <c r="R932" s="289" t="str">
        <f t="shared" si="17"/>
        <v/>
      </c>
      <c r="S932" s="241"/>
    </row>
    <row r="933" spans="1:19" ht="18" customHeight="1">
      <c r="A933" s="298"/>
      <c r="B933" s="299"/>
      <c r="C933" s="241"/>
      <c r="D933" s="298"/>
      <c r="E933" s="300"/>
      <c r="F933" s="298"/>
      <c r="G933" s="241"/>
      <c r="H933" s="302"/>
      <c r="J933" s="241"/>
      <c r="M933" s="303"/>
      <c r="N933" s="281"/>
      <c r="O933" s="304"/>
      <c r="P933" s="305"/>
      <c r="Q933" s="306"/>
      <c r="R933" s="289" t="str">
        <f t="shared" si="17"/>
        <v/>
      </c>
      <c r="S933" s="241"/>
    </row>
    <row r="934" spans="1:19" ht="18" customHeight="1">
      <c r="A934" s="298"/>
      <c r="B934" s="299"/>
      <c r="C934" s="241"/>
      <c r="D934" s="298"/>
      <c r="E934" s="300"/>
      <c r="F934" s="298"/>
      <c r="G934" s="241"/>
      <c r="H934" s="302"/>
      <c r="J934" s="241"/>
      <c r="M934" s="303"/>
      <c r="N934" s="281"/>
      <c r="O934" s="304"/>
      <c r="P934" s="305"/>
      <c r="Q934" s="306"/>
      <c r="R934" s="289" t="str">
        <f t="shared" si="17"/>
        <v/>
      </c>
      <c r="S934" s="241"/>
    </row>
    <row r="935" spans="1:19" ht="18" customHeight="1">
      <c r="A935" s="298"/>
      <c r="B935" s="299"/>
      <c r="C935" s="241"/>
      <c r="D935" s="298"/>
      <c r="E935" s="300"/>
      <c r="F935" s="298"/>
      <c r="G935" s="241"/>
      <c r="H935" s="302"/>
      <c r="J935" s="241"/>
      <c r="M935" s="303"/>
      <c r="N935" s="281"/>
      <c r="O935" s="304"/>
      <c r="P935" s="305"/>
      <c r="Q935" s="306"/>
      <c r="R935" s="289" t="str">
        <f t="shared" si="17"/>
        <v/>
      </c>
      <c r="S935" s="241"/>
    </row>
    <row r="936" spans="1:19" ht="18" customHeight="1">
      <c r="A936" s="298"/>
      <c r="B936" s="299"/>
      <c r="C936" s="241"/>
      <c r="D936" s="298"/>
      <c r="E936" s="300"/>
      <c r="F936" s="298"/>
      <c r="G936" s="241"/>
      <c r="H936" s="302"/>
      <c r="J936" s="241"/>
      <c r="M936" s="303"/>
      <c r="N936" s="281"/>
      <c r="O936" s="304"/>
      <c r="P936" s="305"/>
      <c r="Q936" s="306"/>
      <c r="R936" s="289" t="str">
        <f t="shared" si="17"/>
        <v/>
      </c>
      <c r="S936" s="241"/>
    </row>
    <row r="937" spans="1:19" ht="18" customHeight="1">
      <c r="A937" s="298"/>
      <c r="B937" s="299"/>
      <c r="C937" s="241"/>
      <c r="D937" s="298"/>
      <c r="E937" s="300"/>
      <c r="F937" s="298"/>
      <c r="G937" s="241"/>
      <c r="H937" s="302"/>
      <c r="J937" s="241"/>
      <c r="M937" s="303"/>
      <c r="N937" s="281"/>
      <c r="O937" s="304"/>
      <c r="P937" s="305"/>
      <c r="Q937" s="306"/>
      <c r="R937" s="289" t="str">
        <f t="shared" si="17"/>
        <v/>
      </c>
      <c r="S937" s="241"/>
    </row>
    <row r="938" spans="1:19" ht="18" customHeight="1">
      <c r="A938" s="298"/>
      <c r="B938" s="299"/>
      <c r="C938" s="241"/>
      <c r="D938" s="298"/>
      <c r="E938" s="300"/>
      <c r="F938" s="298"/>
      <c r="G938" s="241"/>
      <c r="H938" s="302"/>
      <c r="J938" s="241"/>
      <c r="M938" s="303"/>
      <c r="N938" s="281"/>
      <c r="O938" s="304"/>
      <c r="P938" s="305"/>
      <c r="Q938" s="306"/>
      <c r="R938" s="289" t="str">
        <f t="shared" si="17"/>
        <v/>
      </c>
      <c r="S938" s="241"/>
    </row>
    <row r="939" spans="1:19" ht="18" customHeight="1">
      <c r="A939" s="298"/>
      <c r="B939" s="299"/>
      <c r="C939" s="241"/>
      <c r="D939" s="298"/>
      <c r="E939" s="300"/>
      <c r="F939" s="298"/>
      <c r="G939" s="241"/>
      <c r="H939" s="302"/>
      <c r="J939" s="241"/>
      <c r="M939" s="303"/>
      <c r="N939" s="281"/>
      <c r="O939" s="304"/>
      <c r="P939" s="305"/>
      <c r="Q939" s="306"/>
      <c r="R939" s="289" t="str">
        <f t="shared" si="17"/>
        <v/>
      </c>
      <c r="S939" s="241"/>
    </row>
    <row r="940" spans="1:19" ht="18" customHeight="1">
      <c r="A940" s="298"/>
      <c r="B940" s="299"/>
      <c r="C940" s="241"/>
      <c r="D940" s="298"/>
      <c r="E940" s="300"/>
      <c r="F940" s="298"/>
      <c r="G940" s="241"/>
      <c r="H940" s="302"/>
      <c r="J940" s="241"/>
      <c r="M940" s="303"/>
      <c r="N940" s="281"/>
      <c r="O940" s="304"/>
      <c r="P940" s="305"/>
      <c r="Q940" s="306"/>
      <c r="R940" s="289" t="str">
        <f t="shared" si="17"/>
        <v/>
      </c>
      <c r="S940" s="241"/>
    </row>
    <row r="941" spans="1:19" ht="18" customHeight="1">
      <c r="A941" s="298"/>
      <c r="B941" s="299"/>
      <c r="C941" s="241"/>
      <c r="D941" s="298"/>
      <c r="E941" s="300"/>
      <c r="F941" s="298"/>
      <c r="G941" s="241"/>
      <c r="H941" s="302"/>
      <c r="J941" s="241"/>
      <c r="M941" s="303"/>
      <c r="N941" s="281"/>
      <c r="O941" s="304"/>
      <c r="P941" s="305"/>
      <c r="Q941" s="306"/>
      <c r="R941" s="289" t="str">
        <f t="shared" si="17"/>
        <v/>
      </c>
      <c r="S941" s="241"/>
    </row>
    <row r="942" spans="1:19" ht="18" customHeight="1">
      <c r="A942" s="298"/>
      <c r="B942" s="299"/>
      <c r="C942" s="241"/>
      <c r="D942" s="298"/>
      <c r="E942" s="300"/>
      <c r="F942" s="298"/>
      <c r="G942" s="241"/>
      <c r="H942" s="302"/>
      <c r="J942" s="241"/>
      <c r="M942" s="303"/>
      <c r="N942" s="281"/>
      <c r="O942" s="304"/>
      <c r="P942" s="305"/>
      <c r="Q942" s="306"/>
      <c r="R942" s="289" t="str">
        <f t="shared" si="17"/>
        <v/>
      </c>
      <c r="S942" s="241"/>
    </row>
    <row r="943" spans="1:19" ht="18" customHeight="1">
      <c r="A943" s="298"/>
      <c r="B943" s="299"/>
      <c r="C943" s="241"/>
      <c r="D943" s="298"/>
      <c r="E943" s="300"/>
      <c r="F943" s="298"/>
      <c r="G943" s="241"/>
      <c r="H943" s="302"/>
      <c r="J943" s="241"/>
      <c r="M943" s="303"/>
      <c r="N943" s="281"/>
      <c r="O943" s="304"/>
      <c r="P943" s="305"/>
      <c r="Q943" s="306"/>
      <c r="R943" s="289" t="str">
        <f t="shared" si="17"/>
        <v/>
      </c>
      <c r="S943" s="241"/>
    </row>
    <row r="944" spans="1:19" ht="18" customHeight="1">
      <c r="A944" s="298"/>
      <c r="B944" s="299"/>
      <c r="C944" s="241"/>
      <c r="D944" s="298"/>
      <c r="E944" s="300"/>
      <c r="F944" s="298"/>
      <c r="G944" s="241"/>
      <c r="H944" s="302"/>
      <c r="J944" s="241"/>
      <c r="M944" s="303"/>
      <c r="N944" s="281"/>
      <c r="O944" s="304"/>
      <c r="P944" s="305"/>
      <c r="Q944" s="306"/>
      <c r="R944" s="289" t="str">
        <f t="shared" si="17"/>
        <v/>
      </c>
      <c r="S944" s="241"/>
    </row>
    <row r="945" spans="1:19" ht="18" customHeight="1">
      <c r="A945" s="298"/>
      <c r="B945" s="299"/>
      <c r="C945" s="241"/>
      <c r="D945" s="298"/>
      <c r="E945" s="300"/>
      <c r="F945" s="298"/>
      <c r="G945" s="241"/>
      <c r="H945" s="302"/>
      <c r="J945" s="241"/>
      <c r="M945" s="303"/>
      <c r="N945" s="281"/>
      <c r="O945" s="304"/>
      <c r="P945" s="305"/>
      <c r="Q945" s="306"/>
      <c r="R945" s="289" t="str">
        <f t="shared" si="17"/>
        <v/>
      </c>
      <c r="S945" s="241"/>
    </row>
    <row r="946" spans="1:19" ht="18" customHeight="1">
      <c r="A946" s="298"/>
      <c r="B946" s="299"/>
      <c r="C946" s="241"/>
      <c r="D946" s="298"/>
      <c r="E946" s="300"/>
      <c r="F946" s="298"/>
      <c r="G946" s="241"/>
      <c r="H946" s="302"/>
      <c r="J946" s="241"/>
      <c r="M946" s="303"/>
      <c r="N946" s="281"/>
      <c r="O946" s="304"/>
      <c r="P946" s="305"/>
      <c r="Q946" s="306"/>
      <c r="R946" s="289" t="str">
        <f t="shared" si="17"/>
        <v/>
      </c>
      <c r="S946" s="241"/>
    </row>
    <row r="947" spans="1:19" ht="18" customHeight="1">
      <c r="A947" s="298"/>
      <c r="B947" s="299"/>
      <c r="C947" s="241"/>
      <c r="D947" s="298"/>
      <c r="E947" s="300"/>
      <c r="F947" s="298"/>
      <c r="G947" s="241"/>
      <c r="H947" s="302"/>
      <c r="J947" s="241"/>
      <c r="M947" s="303"/>
      <c r="N947" s="281"/>
      <c r="O947" s="304"/>
      <c r="P947" s="305"/>
      <c r="Q947" s="306"/>
      <c r="R947" s="289" t="str">
        <f t="shared" si="17"/>
        <v/>
      </c>
      <c r="S947" s="241"/>
    </row>
    <row r="948" spans="1:19" ht="18" customHeight="1">
      <c r="A948" s="298"/>
      <c r="B948" s="299"/>
      <c r="C948" s="241"/>
      <c r="D948" s="298"/>
      <c r="E948" s="300"/>
      <c r="F948" s="298"/>
      <c r="G948" s="241"/>
      <c r="H948" s="302"/>
      <c r="J948" s="241"/>
      <c r="M948" s="303"/>
      <c r="N948" s="281"/>
      <c r="O948" s="304"/>
      <c r="P948" s="305"/>
      <c r="Q948" s="306"/>
      <c r="R948" s="289" t="str">
        <f t="shared" si="17"/>
        <v/>
      </c>
      <c r="S948" s="241"/>
    </row>
    <row r="949" spans="1:19" ht="18" customHeight="1">
      <c r="A949" s="298"/>
      <c r="B949" s="299"/>
      <c r="C949" s="241"/>
      <c r="D949" s="298"/>
      <c r="E949" s="300"/>
      <c r="F949" s="298"/>
      <c r="G949" s="241"/>
      <c r="H949" s="302"/>
      <c r="J949" s="241"/>
      <c r="M949" s="303"/>
      <c r="N949" s="281"/>
      <c r="O949" s="304"/>
      <c r="P949" s="305"/>
      <c r="Q949" s="306"/>
      <c r="R949" s="289" t="str">
        <f t="shared" si="17"/>
        <v/>
      </c>
      <c r="S949" s="241"/>
    </row>
    <row r="950" spans="1:19" ht="18" customHeight="1">
      <c r="A950" s="298"/>
      <c r="B950" s="299"/>
      <c r="C950" s="241"/>
      <c r="D950" s="298"/>
      <c r="E950" s="300"/>
      <c r="F950" s="298"/>
      <c r="G950" s="241"/>
      <c r="H950" s="302"/>
      <c r="J950" s="241"/>
      <c r="M950" s="303"/>
      <c r="N950" s="281"/>
      <c r="O950" s="304"/>
      <c r="P950" s="305"/>
      <c r="Q950" s="306"/>
      <c r="R950" s="289" t="str">
        <f t="shared" si="17"/>
        <v/>
      </c>
      <c r="S950" s="241"/>
    </row>
    <row r="951" spans="1:19" ht="18" customHeight="1">
      <c r="A951" s="298"/>
      <c r="B951" s="299"/>
      <c r="C951" s="241"/>
      <c r="D951" s="298"/>
      <c r="E951" s="300"/>
      <c r="F951" s="298"/>
      <c r="G951" s="241"/>
      <c r="H951" s="302"/>
      <c r="J951" s="241"/>
      <c r="M951" s="303"/>
      <c r="N951" s="281"/>
      <c r="O951" s="304"/>
      <c r="P951" s="305"/>
      <c r="Q951" s="306"/>
      <c r="R951" s="289" t="str">
        <f t="shared" si="17"/>
        <v/>
      </c>
      <c r="S951" s="241"/>
    </row>
    <row r="952" spans="1:19" ht="18" customHeight="1">
      <c r="A952" s="298"/>
      <c r="B952" s="299"/>
      <c r="C952" s="241"/>
      <c r="D952" s="298"/>
      <c r="E952" s="300"/>
      <c r="F952" s="298"/>
      <c r="G952" s="241"/>
      <c r="H952" s="302"/>
      <c r="J952" s="241"/>
      <c r="M952" s="303"/>
      <c r="N952" s="281"/>
      <c r="O952" s="304"/>
      <c r="P952" s="305"/>
      <c r="Q952" s="306"/>
      <c r="R952" s="289" t="str">
        <f t="shared" si="17"/>
        <v/>
      </c>
      <c r="S952" s="241"/>
    </row>
    <row r="953" spans="1:19" ht="18" customHeight="1">
      <c r="A953" s="298"/>
      <c r="B953" s="299"/>
      <c r="C953" s="241"/>
      <c r="D953" s="298"/>
      <c r="E953" s="300"/>
      <c r="F953" s="298"/>
      <c r="G953" s="241"/>
      <c r="H953" s="302"/>
      <c r="J953" s="241"/>
      <c r="M953" s="303"/>
      <c r="N953" s="281"/>
      <c r="O953" s="304"/>
      <c r="P953" s="305"/>
      <c r="Q953" s="306"/>
      <c r="R953" s="289" t="str">
        <f t="shared" si="17"/>
        <v/>
      </c>
      <c r="S953" s="241"/>
    </row>
    <row r="954" spans="1:19" ht="18" customHeight="1">
      <c r="A954" s="298"/>
      <c r="B954" s="299"/>
      <c r="C954" s="241"/>
      <c r="D954" s="298"/>
      <c r="E954" s="300"/>
      <c r="F954" s="298"/>
      <c r="G954" s="241"/>
      <c r="H954" s="302"/>
      <c r="J954" s="241"/>
      <c r="M954" s="303"/>
      <c r="N954" s="281"/>
      <c r="O954" s="304"/>
      <c r="P954" s="305"/>
      <c r="Q954" s="306"/>
      <c r="R954" s="289" t="str">
        <f t="shared" si="17"/>
        <v/>
      </c>
      <c r="S954" s="241"/>
    </row>
    <row r="955" spans="1:19" ht="18" customHeight="1">
      <c r="A955" s="298"/>
      <c r="B955" s="299"/>
      <c r="C955" s="241"/>
      <c r="D955" s="298"/>
      <c r="E955" s="300"/>
      <c r="F955" s="298"/>
      <c r="G955" s="241"/>
      <c r="H955" s="302"/>
      <c r="J955" s="241"/>
      <c r="M955" s="303"/>
      <c r="N955" s="281"/>
      <c r="O955" s="304"/>
      <c r="P955" s="305"/>
      <c r="Q955" s="306"/>
      <c r="R955" s="289" t="str">
        <f t="shared" si="17"/>
        <v/>
      </c>
      <c r="S955" s="241"/>
    </row>
    <row r="956" spans="1:19" ht="18" customHeight="1">
      <c r="A956" s="298"/>
      <c r="B956" s="299"/>
      <c r="C956" s="241"/>
      <c r="D956" s="298"/>
      <c r="E956" s="300"/>
      <c r="F956" s="298"/>
      <c r="G956" s="241"/>
      <c r="H956" s="302"/>
      <c r="J956" s="241"/>
      <c r="M956" s="303"/>
      <c r="N956" s="281"/>
      <c r="O956" s="304"/>
      <c r="P956" s="305"/>
      <c r="Q956" s="306"/>
      <c r="R956" s="289" t="str">
        <f t="shared" si="17"/>
        <v/>
      </c>
      <c r="S956" s="241"/>
    </row>
    <row r="957" spans="1:19" ht="18" customHeight="1">
      <c r="A957" s="298"/>
      <c r="B957" s="299"/>
      <c r="C957" s="241"/>
      <c r="D957" s="298"/>
      <c r="E957" s="300"/>
      <c r="F957" s="298"/>
      <c r="G957" s="241"/>
      <c r="H957" s="302"/>
      <c r="J957" s="241"/>
      <c r="M957" s="303"/>
      <c r="N957" s="281"/>
      <c r="O957" s="304"/>
      <c r="P957" s="305"/>
      <c r="Q957" s="306"/>
      <c r="R957" s="289" t="str">
        <f t="shared" si="17"/>
        <v/>
      </c>
      <c r="S957" s="241"/>
    </row>
    <row r="958" spans="1:19" ht="18" customHeight="1">
      <c r="A958" s="298"/>
      <c r="B958" s="299"/>
      <c r="C958" s="241"/>
      <c r="D958" s="298"/>
      <c r="E958" s="300"/>
      <c r="F958" s="298"/>
      <c r="G958" s="241"/>
      <c r="H958" s="302"/>
      <c r="J958" s="241"/>
      <c r="M958" s="303"/>
      <c r="N958" s="281"/>
      <c r="O958" s="304"/>
      <c r="P958" s="305"/>
      <c r="Q958" s="306"/>
      <c r="R958" s="289" t="str">
        <f t="shared" si="17"/>
        <v/>
      </c>
      <c r="S958" s="241"/>
    </row>
    <row r="959" spans="1:19" ht="18" customHeight="1">
      <c r="A959" s="298"/>
      <c r="B959" s="299"/>
      <c r="C959" s="241"/>
      <c r="D959" s="298"/>
      <c r="E959" s="300"/>
      <c r="F959" s="298"/>
      <c r="G959" s="241"/>
      <c r="H959" s="302"/>
      <c r="J959" s="241"/>
      <c r="M959" s="303"/>
      <c r="N959" s="281"/>
      <c r="O959" s="304"/>
      <c r="P959" s="305"/>
      <c r="Q959" s="306"/>
      <c r="R959" s="289" t="str">
        <f t="shared" si="17"/>
        <v/>
      </c>
      <c r="S959" s="241"/>
    </row>
    <row r="960" spans="1:19" ht="18" customHeight="1">
      <c r="A960" s="298"/>
      <c r="B960" s="299"/>
      <c r="C960" s="241"/>
      <c r="D960" s="298"/>
      <c r="E960" s="300"/>
      <c r="F960" s="298"/>
      <c r="G960" s="241"/>
      <c r="H960" s="302"/>
      <c r="J960" s="241"/>
      <c r="M960" s="303"/>
      <c r="N960" s="281"/>
      <c r="O960" s="304"/>
      <c r="P960" s="305"/>
      <c r="Q960" s="306"/>
      <c r="R960" s="289" t="str">
        <f t="shared" si="17"/>
        <v/>
      </c>
      <c r="S960" s="241"/>
    </row>
    <row r="961" spans="1:19" ht="18" customHeight="1">
      <c r="A961" s="298"/>
      <c r="B961" s="299"/>
      <c r="C961" s="241"/>
      <c r="D961" s="298"/>
      <c r="E961" s="300"/>
      <c r="F961" s="298"/>
      <c r="G961" s="241"/>
      <c r="H961" s="302"/>
      <c r="J961" s="241"/>
      <c r="M961" s="303"/>
      <c r="N961" s="281"/>
      <c r="O961" s="304"/>
      <c r="P961" s="305"/>
      <c r="Q961" s="306"/>
      <c r="R961" s="289" t="str">
        <f t="shared" si="17"/>
        <v/>
      </c>
      <c r="S961" s="241"/>
    </row>
    <row r="962" spans="1:19" ht="18" customHeight="1">
      <c r="A962" s="298"/>
      <c r="B962" s="299"/>
      <c r="C962" s="241"/>
      <c r="D962" s="298"/>
      <c r="E962" s="300"/>
      <c r="F962" s="298"/>
      <c r="G962" s="241"/>
      <c r="H962" s="302"/>
      <c r="J962" s="241"/>
      <c r="M962" s="303"/>
      <c r="N962" s="281"/>
      <c r="O962" s="304"/>
      <c r="P962" s="305"/>
      <c r="Q962" s="306"/>
      <c r="R962" s="289" t="str">
        <f t="shared" si="17"/>
        <v/>
      </c>
      <c r="S962" s="241"/>
    </row>
    <row r="963" spans="1:19" ht="18" customHeight="1">
      <c r="A963" s="298"/>
      <c r="B963" s="299"/>
      <c r="C963" s="241"/>
      <c r="D963" s="298"/>
      <c r="E963" s="300"/>
      <c r="F963" s="298"/>
      <c r="G963" s="241"/>
      <c r="H963" s="302"/>
      <c r="J963" s="241"/>
      <c r="M963" s="303"/>
      <c r="N963" s="281"/>
      <c r="O963" s="304"/>
      <c r="P963" s="305"/>
      <c r="Q963" s="306"/>
      <c r="R963" s="289" t="str">
        <f t="shared" si="17"/>
        <v/>
      </c>
      <c r="S963" s="241"/>
    </row>
    <row r="964" spans="1:19" ht="18" customHeight="1">
      <c r="A964" s="298"/>
      <c r="B964" s="299"/>
      <c r="C964" s="241"/>
      <c r="D964" s="298"/>
      <c r="E964" s="300"/>
      <c r="F964" s="298"/>
      <c r="G964" s="241"/>
      <c r="H964" s="302"/>
      <c r="J964" s="241"/>
      <c r="M964" s="303"/>
      <c r="N964" s="281"/>
      <c r="O964" s="304"/>
      <c r="P964" s="305"/>
      <c r="Q964" s="306"/>
      <c r="R964" s="289" t="str">
        <f t="shared" si="17"/>
        <v/>
      </c>
      <c r="S964" s="241"/>
    </row>
    <row r="965" spans="1:19" ht="18" customHeight="1">
      <c r="A965" s="298"/>
      <c r="B965" s="299"/>
      <c r="C965" s="241"/>
      <c r="D965" s="298"/>
      <c r="E965" s="300"/>
      <c r="F965" s="298"/>
      <c r="G965" s="241"/>
      <c r="H965" s="302"/>
      <c r="J965" s="241"/>
      <c r="M965" s="303"/>
      <c r="N965" s="281"/>
      <c r="O965" s="304"/>
      <c r="P965" s="305"/>
      <c r="Q965" s="306"/>
      <c r="R965" s="289" t="str">
        <f t="shared" si="17"/>
        <v/>
      </c>
      <c r="S965" s="241"/>
    </row>
    <row r="966" spans="1:19" ht="18" customHeight="1">
      <c r="A966" s="298"/>
      <c r="B966" s="299"/>
      <c r="C966" s="241"/>
      <c r="D966" s="298"/>
      <c r="E966" s="300"/>
      <c r="F966" s="298"/>
      <c r="G966" s="241"/>
      <c r="H966" s="302"/>
      <c r="J966" s="241"/>
      <c r="M966" s="303"/>
      <c r="N966" s="281"/>
      <c r="O966" s="304"/>
      <c r="P966" s="305"/>
      <c r="Q966" s="306"/>
      <c r="R966" s="289" t="str">
        <f t="shared" si="17"/>
        <v/>
      </c>
      <c r="S966" s="241"/>
    </row>
    <row r="967" spans="1:19" ht="18" customHeight="1">
      <c r="A967" s="298"/>
      <c r="B967" s="299"/>
      <c r="C967" s="241"/>
      <c r="D967" s="298"/>
      <c r="E967" s="300"/>
      <c r="F967" s="298"/>
      <c r="G967" s="241"/>
      <c r="H967" s="302"/>
      <c r="J967" s="241"/>
      <c r="M967" s="303"/>
      <c r="N967" s="281"/>
      <c r="O967" s="304"/>
      <c r="P967" s="305"/>
      <c r="Q967" s="306"/>
      <c r="R967" s="289" t="str">
        <f t="shared" si="17"/>
        <v/>
      </c>
      <c r="S967" s="241"/>
    </row>
    <row r="968" spans="1:19" ht="18" customHeight="1">
      <c r="A968" s="298"/>
      <c r="B968" s="299"/>
      <c r="C968" s="241"/>
      <c r="D968" s="298"/>
      <c r="E968" s="300"/>
      <c r="F968" s="298"/>
      <c r="G968" s="241"/>
      <c r="H968" s="302"/>
      <c r="J968" s="241"/>
      <c r="M968" s="303"/>
      <c r="N968" s="281"/>
      <c r="O968" s="304"/>
      <c r="P968" s="305"/>
      <c r="Q968" s="306"/>
      <c r="R968" s="289" t="str">
        <f t="shared" si="17"/>
        <v/>
      </c>
      <c r="S968" s="241"/>
    </row>
    <row r="969" spans="1:19" ht="18" customHeight="1">
      <c r="A969" s="298"/>
      <c r="B969" s="299"/>
      <c r="C969" s="241"/>
      <c r="D969" s="298"/>
      <c r="E969" s="300"/>
      <c r="F969" s="298"/>
      <c r="G969" s="241"/>
      <c r="H969" s="302"/>
      <c r="J969" s="241"/>
      <c r="M969" s="303"/>
      <c r="N969" s="281"/>
      <c r="O969" s="304"/>
      <c r="P969" s="305"/>
      <c r="Q969" s="306"/>
      <c r="R969" s="289" t="str">
        <f t="shared" si="17"/>
        <v/>
      </c>
      <c r="S969" s="241"/>
    </row>
    <row r="970" spans="1:19" ht="18" customHeight="1">
      <c r="A970" s="298"/>
      <c r="B970" s="299"/>
      <c r="C970" s="241"/>
      <c r="D970" s="298"/>
      <c r="E970" s="300"/>
      <c r="F970" s="298"/>
      <c r="G970" s="241"/>
      <c r="H970" s="302"/>
      <c r="J970" s="241"/>
      <c r="M970" s="303"/>
      <c r="N970" s="281"/>
      <c r="O970" s="304"/>
      <c r="P970" s="305"/>
      <c r="Q970" s="306"/>
      <c r="R970" s="289" t="str">
        <f t="shared" si="17"/>
        <v/>
      </c>
      <c r="S970" s="241"/>
    </row>
    <row r="971" spans="1:19" ht="18" customHeight="1">
      <c r="A971" s="298"/>
      <c r="B971" s="299"/>
      <c r="C971" s="241"/>
      <c r="D971" s="298"/>
      <c r="E971" s="300"/>
      <c r="F971" s="298"/>
      <c r="G971" s="241"/>
      <c r="H971" s="302"/>
      <c r="J971" s="241"/>
      <c r="M971" s="303"/>
      <c r="N971" s="281"/>
      <c r="O971" s="304"/>
      <c r="P971" s="305"/>
      <c r="Q971" s="306"/>
      <c r="R971" s="289" t="str">
        <f t="shared" si="17"/>
        <v/>
      </c>
      <c r="S971" s="241"/>
    </row>
    <row r="972" spans="1:19" ht="18" customHeight="1">
      <c r="A972" s="298"/>
      <c r="B972" s="299"/>
      <c r="C972" s="241"/>
      <c r="D972" s="298"/>
      <c r="E972" s="300"/>
      <c r="F972" s="298"/>
      <c r="G972" s="241"/>
      <c r="H972" s="302"/>
      <c r="J972" s="241"/>
      <c r="M972" s="303"/>
      <c r="N972" s="281"/>
      <c r="O972" s="304"/>
      <c r="P972" s="305"/>
      <c r="Q972" s="306"/>
      <c r="R972" s="289" t="str">
        <f t="shared" si="17"/>
        <v/>
      </c>
      <c r="S972" s="241"/>
    </row>
    <row r="973" spans="1:19" ht="18" customHeight="1">
      <c r="A973" s="298"/>
      <c r="B973" s="299"/>
      <c r="C973" s="241"/>
      <c r="D973" s="298"/>
      <c r="E973" s="300"/>
      <c r="F973" s="298"/>
      <c r="G973" s="241"/>
      <c r="H973" s="302"/>
      <c r="J973" s="241"/>
      <c r="M973" s="303"/>
      <c r="N973" s="281"/>
      <c r="O973" s="304"/>
      <c r="P973" s="305"/>
      <c r="Q973" s="306"/>
      <c r="R973" s="289" t="str">
        <f t="shared" si="17"/>
        <v/>
      </c>
      <c r="S973" s="241"/>
    </row>
    <row r="974" spans="1:19" ht="18" customHeight="1">
      <c r="A974" s="298"/>
      <c r="B974" s="299"/>
      <c r="C974" s="241"/>
      <c r="D974" s="298"/>
      <c r="E974" s="300"/>
      <c r="F974" s="298"/>
      <c r="G974" s="241"/>
      <c r="H974" s="302"/>
      <c r="J974" s="241"/>
      <c r="M974" s="303"/>
      <c r="N974" s="281"/>
      <c r="O974" s="304"/>
      <c r="P974" s="305"/>
      <c r="Q974" s="306"/>
      <c r="R974" s="289" t="str">
        <f t="shared" si="17"/>
        <v/>
      </c>
      <c r="S974" s="241"/>
    </row>
    <row r="975" spans="1:19" ht="18" customHeight="1">
      <c r="A975" s="298"/>
      <c r="B975" s="299"/>
      <c r="C975" s="241"/>
      <c r="D975" s="298"/>
      <c r="E975" s="300"/>
      <c r="F975" s="298"/>
      <c r="G975" s="241"/>
      <c r="H975" s="302"/>
      <c r="J975" s="241"/>
      <c r="M975" s="303"/>
      <c r="N975" s="281"/>
      <c r="O975" s="304"/>
      <c r="P975" s="305"/>
      <c r="Q975" s="306"/>
      <c r="R975" s="289" t="str">
        <f t="shared" si="17"/>
        <v/>
      </c>
      <c r="S975" s="241"/>
    </row>
    <row r="976" spans="1:19" ht="18" customHeight="1">
      <c r="A976" s="298"/>
      <c r="B976" s="299"/>
      <c r="C976" s="241"/>
      <c r="D976" s="298"/>
      <c r="E976" s="300"/>
      <c r="F976" s="298"/>
      <c r="G976" s="241"/>
      <c r="H976" s="302"/>
      <c r="J976" s="241"/>
      <c r="M976" s="303"/>
      <c r="N976" s="281"/>
      <c r="O976" s="304"/>
      <c r="P976" s="305"/>
      <c r="Q976" s="306"/>
      <c r="R976" s="289" t="str">
        <f t="shared" si="17"/>
        <v/>
      </c>
      <c r="S976" s="241"/>
    </row>
    <row r="977" spans="1:19" ht="18" customHeight="1">
      <c r="A977" s="298"/>
      <c r="B977" s="299"/>
      <c r="C977" s="241"/>
      <c r="D977" s="298"/>
      <c r="E977" s="300"/>
      <c r="F977" s="298"/>
      <c r="G977" s="241"/>
      <c r="H977" s="302"/>
      <c r="J977" s="241"/>
      <c r="M977" s="303"/>
      <c r="N977" s="281"/>
      <c r="O977" s="304"/>
      <c r="P977" s="305"/>
      <c r="Q977" s="306"/>
      <c r="R977" s="289" t="str">
        <f t="shared" si="17"/>
        <v/>
      </c>
      <c r="S977" s="241"/>
    </row>
    <row r="978" spans="1:19" ht="18" customHeight="1">
      <c r="A978" s="298"/>
      <c r="B978" s="299"/>
      <c r="C978" s="241"/>
      <c r="D978" s="298"/>
      <c r="E978" s="300"/>
      <c r="F978" s="298"/>
      <c r="G978" s="241"/>
      <c r="H978" s="302"/>
      <c r="J978" s="241"/>
      <c r="M978" s="303"/>
      <c r="N978" s="281"/>
      <c r="O978" s="304"/>
      <c r="P978" s="305"/>
      <c r="Q978" s="306"/>
      <c r="R978" s="289" t="str">
        <f t="shared" si="17"/>
        <v/>
      </c>
      <c r="S978" s="241"/>
    </row>
    <row r="979" spans="1:19" ht="18" customHeight="1">
      <c r="A979" s="298"/>
      <c r="B979" s="299"/>
      <c r="C979" s="241"/>
      <c r="D979" s="298"/>
      <c r="E979" s="300"/>
      <c r="F979" s="298"/>
      <c r="G979" s="241"/>
      <c r="H979" s="302"/>
      <c r="J979" s="241"/>
      <c r="M979" s="303"/>
      <c r="N979" s="281"/>
      <c r="O979" s="304"/>
      <c r="P979" s="305"/>
      <c r="Q979" s="306"/>
      <c r="R979" s="289" t="str">
        <f t="shared" si="17"/>
        <v/>
      </c>
      <c r="S979" s="241"/>
    </row>
    <row r="980" spans="1:19" ht="18" customHeight="1">
      <c r="A980" s="298"/>
      <c r="B980" s="299"/>
      <c r="C980" s="241"/>
      <c r="D980" s="298"/>
      <c r="E980" s="300"/>
      <c r="F980" s="298"/>
      <c r="G980" s="241"/>
      <c r="H980" s="302"/>
      <c r="J980" s="241"/>
      <c r="M980" s="303"/>
      <c r="N980" s="281"/>
      <c r="O980" s="304"/>
      <c r="P980" s="305"/>
      <c r="Q980" s="306"/>
      <c r="R980" s="289" t="str">
        <f t="shared" si="17"/>
        <v/>
      </c>
      <c r="S980" s="241"/>
    </row>
    <row r="981" spans="1:19" ht="18" customHeight="1">
      <c r="A981" s="298"/>
      <c r="B981" s="299"/>
      <c r="C981" s="241"/>
      <c r="D981" s="298"/>
      <c r="E981" s="300"/>
      <c r="F981" s="298"/>
      <c r="G981" s="241"/>
      <c r="H981" s="302"/>
      <c r="J981" s="241"/>
      <c r="M981" s="303"/>
      <c r="N981" s="281"/>
      <c r="O981" s="304"/>
      <c r="P981" s="305"/>
      <c r="Q981" s="306"/>
      <c r="R981" s="289" t="str">
        <f t="shared" si="17"/>
        <v/>
      </c>
      <c r="S981" s="241"/>
    </row>
    <row r="982" spans="1:19" ht="18" customHeight="1">
      <c r="A982" s="298"/>
      <c r="B982" s="299"/>
      <c r="C982" s="241"/>
      <c r="D982" s="298"/>
      <c r="E982" s="300"/>
      <c r="F982" s="298"/>
      <c r="G982" s="241"/>
      <c r="H982" s="302"/>
      <c r="J982" s="241"/>
      <c r="M982" s="303"/>
      <c r="N982" s="281"/>
      <c r="O982" s="304"/>
      <c r="P982" s="305"/>
      <c r="Q982" s="306"/>
      <c r="R982" s="289" t="str">
        <f t="shared" si="17"/>
        <v/>
      </c>
      <c r="S982" s="241"/>
    </row>
    <row r="983" spans="1:19" ht="18" customHeight="1">
      <c r="A983" s="298"/>
      <c r="B983" s="299"/>
      <c r="C983" s="241"/>
      <c r="D983" s="298"/>
      <c r="E983" s="300"/>
      <c r="F983" s="298"/>
      <c r="G983" s="241"/>
      <c r="H983" s="302"/>
      <c r="J983" s="241"/>
      <c r="M983" s="303"/>
      <c r="N983" s="281"/>
      <c r="O983" s="304"/>
      <c r="P983" s="305"/>
      <c r="Q983" s="306"/>
      <c r="R983" s="289" t="str">
        <f t="shared" si="17"/>
        <v/>
      </c>
      <c r="S983" s="241"/>
    </row>
    <row r="984" spans="1:19" ht="18" customHeight="1">
      <c r="A984" s="298"/>
      <c r="B984" s="299"/>
      <c r="C984" s="241"/>
      <c r="D984" s="298"/>
      <c r="E984" s="300"/>
      <c r="F984" s="298"/>
      <c r="G984" s="241"/>
      <c r="H984" s="302"/>
      <c r="J984" s="241"/>
      <c r="M984" s="303"/>
      <c r="N984" s="281"/>
      <c r="O984" s="304"/>
      <c r="P984" s="305"/>
      <c r="Q984" s="306"/>
      <c r="R984" s="289" t="str">
        <f t="shared" si="17"/>
        <v/>
      </c>
      <c r="S984" s="241"/>
    </row>
    <row r="985" spans="1:19" ht="18" customHeight="1">
      <c r="A985" s="298"/>
      <c r="B985" s="299"/>
      <c r="C985" s="241"/>
      <c r="D985" s="298"/>
      <c r="E985" s="300"/>
      <c r="F985" s="298"/>
      <c r="G985" s="241"/>
      <c r="H985" s="302"/>
      <c r="J985" s="241"/>
      <c r="M985" s="303"/>
      <c r="N985" s="281"/>
      <c r="O985" s="304"/>
      <c r="P985" s="305"/>
      <c r="Q985" s="306"/>
      <c r="R985" s="289" t="str">
        <f t="shared" si="17"/>
        <v/>
      </c>
      <c r="S985" s="241"/>
    </row>
    <row r="986" spans="1:19" ht="18" customHeight="1">
      <c r="A986" s="298"/>
      <c r="B986" s="299"/>
      <c r="C986" s="241"/>
      <c r="D986" s="298"/>
      <c r="E986" s="300"/>
      <c r="F986" s="298"/>
      <c r="G986" s="241"/>
      <c r="H986" s="302"/>
      <c r="J986" s="241"/>
      <c r="M986" s="303"/>
      <c r="N986" s="281"/>
      <c r="O986" s="304"/>
      <c r="P986" s="305"/>
      <c r="Q986" s="306"/>
      <c r="R986" s="289" t="str">
        <f t="shared" ref="R986:R1049" si="18">IF(SUM(Q986)&gt;0,SUM(Q986-P986),"")</f>
        <v/>
      </c>
      <c r="S986" s="241"/>
    </row>
    <row r="987" spans="1:19" ht="18" customHeight="1">
      <c r="A987" s="298"/>
      <c r="B987" s="299"/>
      <c r="C987" s="241"/>
      <c r="D987" s="298"/>
      <c r="E987" s="300"/>
      <c r="F987" s="298"/>
      <c r="G987" s="241"/>
      <c r="H987" s="302"/>
      <c r="J987" s="241"/>
      <c r="M987" s="303"/>
      <c r="N987" s="281"/>
      <c r="O987" s="304"/>
      <c r="P987" s="305"/>
      <c r="Q987" s="306"/>
      <c r="R987" s="289" t="str">
        <f t="shared" si="18"/>
        <v/>
      </c>
      <c r="S987" s="241"/>
    </row>
    <row r="988" spans="1:19" ht="18" customHeight="1">
      <c r="A988" s="298"/>
      <c r="B988" s="299"/>
      <c r="C988" s="241"/>
      <c r="D988" s="298"/>
      <c r="E988" s="300"/>
      <c r="F988" s="298"/>
      <c r="G988" s="241"/>
      <c r="H988" s="302"/>
      <c r="J988" s="241"/>
      <c r="M988" s="303"/>
      <c r="N988" s="281"/>
      <c r="O988" s="304"/>
      <c r="P988" s="305"/>
      <c r="Q988" s="306"/>
      <c r="R988" s="289" t="str">
        <f t="shared" si="18"/>
        <v/>
      </c>
      <c r="S988" s="241"/>
    </row>
    <row r="989" spans="1:19" ht="18" customHeight="1">
      <c r="A989" s="298"/>
      <c r="B989" s="299"/>
      <c r="C989" s="241"/>
      <c r="D989" s="298"/>
      <c r="E989" s="300"/>
      <c r="F989" s="298"/>
      <c r="G989" s="241"/>
      <c r="H989" s="302"/>
      <c r="J989" s="241"/>
      <c r="M989" s="303"/>
      <c r="N989" s="281"/>
      <c r="O989" s="304"/>
      <c r="P989" s="305"/>
      <c r="Q989" s="306"/>
      <c r="R989" s="289" t="str">
        <f t="shared" si="18"/>
        <v/>
      </c>
      <c r="S989" s="241"/>
    </row>
    <row r="990" spans="1:19" ht="18" customHeight="1">
      <c r="A990" s="298"/>
      <c r="B990" s="299"/>
      <c r="C990" s="241"/>
      <c r="D990" s="298"/>
      <c r="E990" s="300"/>
      <c r="F990" s="298"/>
      <c r="G990" s="241"/>
      <c r="H990" s="302"/>
      <c r="J990" s="241"/>
      <c r="M990" s="303"/>
      <c r="N990" s="281"/>
      <c r="O990" s="304"/>
      <c r="P990" s="305"/>
      <c r="Q990" s="306"/>
      <c r="R990" s="289" t="str">
        <f t="shared" si="18"/>
        <v/>
      </c>
      <c r="S990" s="241"/>
    </row>
    <row r="991" spans="1:19" ht="18" customHeight="1">
      <c r="A991" s="298"/>
      <c r="B991" s="299"/>
      <c r="C991" s="241"/>
      <c r="D991" s="298"/>
      <c r="E991" s="300"/>
      <c r="F991" s="298"/>
      <c r="G991" s="241"/>
      <c r="H991" s="302"/>
      <c r="J991" s="241"/>
      <c r="M991" s="303"/>
      <c r="N991" s="281"/>
      <c r="O991" s="304"/>
      <c r="P991" s="305"/>
      <c r="Q991" s="306"/>
      <c r="R991" s="289" t="str">
        <f t="shared" si="18"/>
        <v/>
      </c>
      <c r="S991" s="241"/>
    </row>
    <row r="992" spans="1:19" ht="18" customHeight="1">
      <c r="A992" s="298"/>
      <c r="B992" s="299"/>
      <c r="C992" s="241"/>
      <c r="D992" s="298"/>
      <c r="E992" s="300"/>
      <c r="F992" s="298"/>
      <c r="G992" s="241"/>
      <c r="H992" s="302"/>
      <c r="J992" s="241"/>
      <c r="M992" s="303"/>
      <c r="N992" s="281"/>
      <c r="O992" s="304"/>
      <c r="P992" s="305"/>
      <c r="Q992" s="306"/>
      <c r="R992" s="289" t="str">
        <f t="shared" si="18"/>
        <v/>
      </c>
      <c r="S992" s="241"/>
    </row>
    <row r="993" spans="1:19" ht="18" customHeight="1">
      <c r="A993" s="298"/>
      <c r="B993" s="299"/>
      <c r="C993" s="241"/>
      <c r="D993" s="298"/>
      <c r="E993" s="300"/>
      <c r="F993" s="298"/>
      <c r="G993" s="241"/>
      <c r="H993" s="302"/>
      <c r="J993" s="241"/>
      <c r="M993" s="303"/>
      <c r="N993" s="281"/>
      <c r="O993" s="304"/>
      <c r="P993" s="305"/>
      <c r="Q993" s="306"/>
      <c r="R993" s="289" t="str">
        <f t="shared" si="18"/>
        <v/>
      </c>
      <c r="S993" s="241"/>
    </row>
    <row r="994" spans="1:19" ht="18" customHeight="1">
      <c r="A994" s="298"/>
      <c r="B994" s="299"/>
      <c r="C994" s="241"/>
      <c r="D994" s="298"/>
      <c r="E994" s="300"/>
      <c r="F994" s="298"/>
      <c r="G994" s="241"/>
      <c r="H994" s="302"/>
      <c r="J994" s="241"/>
      <c r="M994" s="303"/>
      <c r="N994" s="281"/>
      <c r="O994" s="304"/>
      <c r="P994" s="305"/>
      <c r="Q994" s="306"/>
      <c r="R994" s="289" t="str">
        <f t="shared" si="18"/>
        <v/>
      </c>
      <c r="S994" s="241"/>
    </row>
    <row r="995" spans="1:19" ht="18" customHeight="1">
      <c r="A995" s="298"/>
      <c r="B995" s="299"/>
      <c r="C995" s="241"/>
      <c r="D995" s="298"/>
      <c r="E995" s="300"/>
      <c r="F995" s="298"/>
      <c r="G995" s="241"/>
      <c r="H995" s="302"/>
      <c r="J995" s="241"/>
      <c r="M995" s="303"/>
      <c r="N995" s="281"/>
      <c r="O995" s="304"/>
      <c r="P995" s="305"/>
      <c r="Q995" s="306"/>
      <c r="R995" s="289" t="str">
        <f t="shared" si="18"/>
        <v/>
      </c>
      <c r="S995" s="241"/>
    </row>
    <row r="996" spans="1:19" ht="18" customHeight="1">
      <c r="A996" s="298"/>
      <c r="B996" s="299"/>
      <c r="C996" s="241"/>
      <c r="D996" s="298"/>
      <c r="E996" s="300"/>
      <c r="F996" s="298"/>
      <c r="G996" s="241"/>
      <c r="H996" s="302"/>
      <c r="J996" s="241"/>
      <c r="M996" s="303"/>
      <c r="N996" s="281"/>
      <c r="O996" s="304"/>
      <c r="P996" s="305"/>
      <c r="Q996" s="306"/>
      <c r="R996" s="289" t="str">
        <f t="shared" si="18"/>
        <v/>
      </c>
      <c r="S996" s="241"/>
    </row>
    <row r="997" spans="1:19" ht="18" customHeight="1">
      <c r="A997" s="298"/>
      <c r="B997" s="299"/>
      <c r="C997" s="241"/>
      <c r="D997" s="298"/>
      <c r="E997" s="300"/>
      <c r="F997" s="298"/>
      <c r="G997" s="241"/>
      <c r="H997" s="302"/>
      <c r="J997" s="241"/>
      <c r="M997" s="303"/>
      <c r="N997" s="281"/>
      <c r="O997" s="304"/>
      <c r="P997" s="305"/>
      <c r="Q997" s="306"/>
      <c r="R997" s="289" t="str">
        <f t="shared" si="18"/>
        <v/>
      </c>
      <c r="S997" s="241"/>
    </row>
    <row r="998" spans="1:19" ht="18" customHeight="1">
      <c r="A998" s="298"/>
      <c r="B998" s="299"/>
      <c r="C998" s="241"/>
      <c r="D998" s="298"/>
      <c r="E998" s="300"/>
      <c r="F998" s="298"/>
      <c r="G998" s="241"/>
      <c r="H998" s="302"/>
      <c r="J998" s="241"/>
      <c r="M998" s="303"/>
      <c r="N998" s="281"/>
      <c r="O998" s="304"/>
      <c r="P998" s="305"/>
      <c r="Q998" s="306"/>
      <c r="R998" s="289" t="str">
        <f t="shared" si="18"/>
        <v/>
      </c>
      <c r="S998" s="241"/>
    </row>
    <row r="999" spans="1:19" ht="18" customHeight="1">
      <c r="A999" s="298"/>
      <c r="B999" s="299"/>
      <c r="C999" s="241"/>
      <c r="D999" s="298"/>
      <c r="E999" s="300"/>
      <c r="F999" s="298"/>
      <c r="G999" s="241"/>
      <c r="H999" s="302"/>
      <c r="J999" s="241"/>
      <c r="M999" s="303"/>
      <c r="N999" s="281"/>
      <c r="O999" s="304"/>
      <c r="P999" s="305"/>
      <c r="Q999" s="306"/>
      <c r="R999" s="289" t="str">
        <f t="shared" si="18"/>
        <v/>
      </c>
      <c r="S999" s="241"/>
    </row>
    <row r="1000" spans="1:19" ht="18" customHeight="1">
      <c r="A1000" s="298"/>
      <c r="B1000" s="299"/>
      <c r="C1000" s="241"/>
      <c r="D1000" s="298"/>
      <c r="E1000" s="300"/>
      <c r="F1000" s="298"/>
      <c r="G1000" s="241"/>
      <c r="H1000" s="302"/>
      <c r="J1000" s="241"/>
      <c r="M1000" s="303"/>
      <c r="N1000" s="281"/>
      <c r="O1000" s="304"/>
      <c r="P1000" s="305"/>
      <c r="Q1000" s="306"/>
      <c r="R1000" s="289" t="str">
        <f t="shared" si="18"/>
        <v/>
      </c>
      <c r="S1000" s="241"/>
    </row>
    <row r="1001" spans="1:19" ht="18" customHeight="1">
      <c r="A1001" s="298"/>
      <c r="B1001" s="299"/>
      <c r="C1001" s="241"/>
      <c r="D1001" s="298"/>
      <c r="E1001" s="300"/>
      <c r="F1001" s="298"/>
      <c r="G1001" s="241"/>
      <c r="H1001" s="302"/>
      <c r="J1001" s="241"/>
      <c r="M1001" s="303"/>
      <c r="N1001" s="281"/>
      <c r="O1001" s="304"/>
      <c r="P1001" s="305"/>
      <c r="Q1001" s="306"/>
      <c r="R1001" s="289" t="str">
        <f t="shared" si="18"/>
        <v/>
      </c>
      <c r="S1001" s="241"/>
    </row>
    <row r="1002" spans="1:19" ht="18" customHeight="1">
      <c r="A1002" s="298"/>
      <c r="B1002" s="299"/>
      <c r="C1002" s="241"/>
      <c r="D1002" s="298"/>
      <c r="E1002" s="300"/>
      <c r="F1002" s="298"/>
      <c r="G1002" s="241"/>
      <c r="H1002" s="302"/>
      <c r="J1002" s="241"/>
      <c r="M1002" s="303"/>
      <c r="N1002" s="281"/>
      <c r="O1002" s="304"/>
      <c r="P1002" s="305"/>
      <c r="Q1002" s="306"/>
      <c r="R1002" s="289" t="str">
        <f t="shared" si="18"/>
        <v/>
      </c>
      <c r="S1002" s="241"/>
    </row>
    <row r="1003" spans="1:19" ht="18" customHeight="1">
      <c r="A1003" s="298"/>
      <c r="B1003" s="299"/>
      <c r="C1003" s="241"/>
      <c r="D1003" s="298"/>
      <c r="E1003" s="300"/>
      <c r="F1003" s="298"/>
      <c r="G1003" s="241"/>
      <c r="H1003" s="302"/>
      <c r="J1003" s="241"/>
      <c r="M1003" s="303"/>
      <c r="N1003" s="281"/>
      <c r="O1003" s="304"/>
      <c r="P1003" s="305"/>
      <c r="Q1003" s="306"/>
      <c r="R1003" s="289" t="str">
        <f t="shared" si="18"/>
        <v/>
      </c>
      <c r="S1003" s="241"/>
    </row>
    <row r="1004" spans="1:19" ht="18" customHeight="1">
      <c r="A1004" s="298"/>
      <c r="B1004" s="299"/>
      <c r="C1004" s="241"/>
      <c r="D1004" s="298"/>
      <c r="E1004" s="300"/>
      <c r="F1004" s="298"/>
      <c r="G1004" s="241"/>
      <c r="H1004" s="302"/>
      <c r="J1004" s="241"/>
      <c r="M1004" s="303"/>
      <c r="N1004" s="281"/>
      <c r="O1004" s="304"/>
      <c r="P1004" s="305"/>
      <c r="Q1004" s="306"/>
      <c r="R1004" s="289" t="str">
        <f t="shared" si="18"/>
        <v/>
      </c>
      <c r="S1004" s="241"/>
    </row>
    <row r="1005" spans="1:19" ht="18" customHeight="1">
      <c r="A1005" s="298"/>
      <c r="B1005" s="299"/>
      <c r="C1005" s="241"/>
      <c r="D1005" s="298"/>
      <c r="E1005" s="300"/>
      <c r="F1005" s="298"/>
      <c r="G1005" s="241"/>
      <c r="H1005" s="302"/>
      <c r="J1005" s="241"/>
      <c r="M1005" s="303"/>
      <c r="N1005" s="281"/>
      <c r="O1005" s="304"/>
      <c r="P1005" s="305"/>
      <c r="Q1005" s="306"/>
      <c r="R1005" s="289" t="str">
        <f t="shared" si="18"/>
        <v/>
      </c>
      <c r="S1005" s="241"/>
    </row>
    <row r="1006" spans="1:19" ht="18" customHeight="1">
      <c r="A1006" s="298"/>
      <c r="B1006" s="299"/>
      <c r="C1006" s="241"/>
      <c r="D1006" s="298"/>
      <c r="E1006" s="300"/>
      <c r="F1006" s="298"/>
      <c r="G1006" s="241"/>
      <c r="H1006" s="302"/>
      <c r="J1006" s="241"/>
      <c r="M1006" s="303"/>
      <c r="N1006" s="281"/>
      <c r="O1006" s="304"/>
      <c r="P1006" s="305"/>
      <c r="Q1006" s="306"/>
      <c r="R1006" s="289" t="str">
        <f t="shared" si="18"/>
        <v/>
      </c>
      <c r="S1006" s="241"/>
    </row>
    <row r="1007" spans="1:19" ht="18" customHeight="1">
      <c r="A1007" s="298"/>
      <c r="B1007" s="299"/>
      <c r="C1007" s="241"/>
      <c r="D1007" s="298"/>
      <c r="E1007" s="300"/>
      <c r="F1007" s="298"/>
      <c r="G1007" s="241"/>
      <c r="H1007" s="302"/>
      <c r="J1007" s="241"/>
      <c r="M1007" s="303"/>
      <c r="N1007" s="281"/>
      <c r="O1007" s="304"/>
      <c r="P1007" s="305"/>
      <c r="Q1007" s="306"/>
      <c r="R1007" s="289" t="str">
        <f t="shared" si="18"/>
        <v/>
      </c>
      <c r="S1007" s="241"/>
    </row>
    <row r="1008" spans="1:19" ht="18" customHeight="1">
      <c r="A1008" s="298"/>
      <c r="B1008" s="299"/>
      <c r="C1008" s="241"/>
      <c r="D1008" s="298"/>
      <c r="E1008" s="300"/>
      <c r="F1008" s="298"/>
      <c r="G1008" s="241"/>
      <c r="H1008" s="302"/>
      <c r="J1008" s="241"/>
      <c r="M1008" s="303"/>
      <c r="N1008" s="281"/>
      <c r="O1008" s="304"/>
      <c r="P1008" s="305"/>
      <c r="Q1008" s="306"/>
      <c r="R1008" s="289" t="str">
        <f t="shared" si="18"/>
        <v/>
      </c>
      <c r="S1008" s="241"/>
    </row>
    <row r="1009" spans="1:19" ht="18" customHeight="1">
      <c r="A1009" s="298"/>
      <c r="B1009" s="299"/>
      <c r="C1009" s="241"/>
      <c r="D1009" s="298"/>
      <c r="E1009" s="300"/>
      <c r="F1009" s="298"/>
      <c r="G1009" s="241"/>
      <c r="H1009" s="302"/>
      <c r="J1009" s="241"/>
      <c r="M1009" s="303"/>
      <c r="N1009" s="281"/>
      <c r="O1009" s="304"/>
      <c r="P1009" s="305"/>
      <c r="Q1009" s="306"/>
      <c r="R1009" s="289" t="str">
        <f t="shared" si="18"/>
        <v/>
      </c>
      <c r="S1009" s="241"/>
    </row>
    <row r="1010" spans="1:19" ht="18" customHeight="1">
      <c r="A1010" s="298"/>
      <c r="B1010" s="299"/>
      <c r="C1010" s="241"/>
      <c r="D1010" s="298"/>
      <c r="E1010" s="300"/>
      <c r="F1010" s="298"/>
      <c r="G1010" s="241"/>
      <c r="H1010" s="302"/>
      <c r="J1010" s="241"/>
      <c r="M1010" s="303"/>
      <c r="N1010" s="281"/>
      <c r="O1010" s="304"/>
      <c r="P1010" s="305"/>
      <c r="Q1010" s="306"/>
      <c r="R1010" s="289" t="str">
        <f t="shared" si="18"/>
        <v/>
      </c>
      <c r="S1010" s="241"/>
    </row>
    <row r="1011" spans="1:19" ht="18" customHeight="1">
      <c r="A1011" s="298"/>
      <c r="B1011" s="299"/>
      <c r="C1011" s="241"/>
      <c r="D1011" s="298"/>
      <c r="E1011" s="300"/>
      <c r="F1011" s="298"/>
      <c r="G1011" s="241"/>
      <c r="H1011" s="302"/>
      <c r="J1011" s="241"/>
      <c r="M1011" s="303"/>
      <c r="N1011" s="281"/>
      <c r="O1011" s="304"/>
      <c r="P1011" s="305"/>
      <c r="Q1011" s="306"/>
      <c r="R1011" s="289" t="str">
        <f t="shared" si="18"/>
        <v/>
      </c>
      <c r="S1011" s="241"/>
    </row>
    <row r="1012" spans="1:19" ht="18" customHeight="1">
      <c r="A1012" s="298"/>
      <c r="B1012" s="299"/>
      <c r="C1012" s="241"/>
      <c r="D1012" s="298"/>
      <c r="E1012" s="300"/>
      <c r="F1012" s="298"/>
      <c r="G1012" s="241"/>
      <c r="H1012" s="302"/>
      <c r="J1012" s="241"/>
      <c r="M1012" s="303"/>
      <c r="N1012" s="281"/>
      <c r="O1012" s="304"/>
      <c r="P1012" s="305"/>
      <c r="Q1012" s="306"/>
      <c r="R1012" s="289" t="str">
        <f t="shared" si="18"/>
        <v/>
      </c>
      <c r="S1012" s="241"/>
    </row>
    <row r="1013" spans="1:19" ht="18" customHeight="1">
      <c r="A1013" s="298"/>
      <c r="B1013" s="299"/>
      <c r="C1013" s="241"/>
      <c r="D1013" s="298"/>
      <c r="E1013" s="300"/>
      <c r="F1013" s="298"/>
      <c r="G1013" s="241"/>
      <c r="H1013" s="302"/>
      <c r="J1013" s="241"/>
      <c r="M1013" s="303"/>
      <c r="N1013" s="281"/>
      <c r="O1013" s="304"/>
      <c r="P1013" s="305"/>
      <c r="Q1013" s="306"/>
      <c r="R1013" s="289" t="str">
        <f t="shared" si="18"/>
        <v/>
      </c>
      <c r="S1013" s="241"/>
    </row>
    <row r="1014" spans="1:19" ht="18" customHeight="1">
      <c r="A1014" s="298"/>
      <c r="B1014" s="299"/>
      <c r="C1014" s="241"/>
      <c r="D1014" s="298"/>
      <c r="E1014" s="300"/>
      <c r="F1014" s="298"/>
      <c r="G1014" s="241"/>
      <c r="H1014" s="302"/>
      <c r="J1014" s="241"/>
      <c r="M1014" s="303"/>
      <c r="N1014" s="281"/>
      <c r="O1014" s="304"/>
      <c r="P1014" s="305"/>
      <c r="Q1014" s="306"/>
      <c r="R1014" s="289" t="str">
        <f t="shared" si="18"/>
        <v/>
      </c>
      <c r="S1014" s="241"/>
    </row>
    <row r="1015" spans="1:19" ht="18" customHeight="1">
      <c r="A1015" s="298"/>
      <c r="B1015" s="299"/>
      <c r="C1015" s="241"/>
      <c r="D1015" s="298"/>
      <c r="E1015" s="300"/>
      <c r="F1015" s="298"/>
      <c r="G1015" s="241"/>
      <c r="H1015" s="302"/>
      <c r="J1015" s="241"/>
      <c r="M1015" s="303"/>
      <c r="N1015" s="281"/>
      <c r="O1015" s="304"/>
      <c r="P1015" s="305"/>
      <c r="Q1015" s="306"/>
      <c r="R1015" s="289" t="str">
        <f t="shared" si="18"/>
        <v/>
      </c>
      <c r="S1015" s="241"/>
    </row>
    <row r="1016" spans="1:19" ht="18" customHeight="1">
      <c r="A1016" s="298"/>
      <c r="B1016" s="299"/>
      <c r="C1016" s="241"/>
      <c r="D1016" s="298"/>
      <c r="E1016" s="300"/>
      <c r="F1016" s="298"/>
      <c r="G1016" s="241"/>
      <c r="H1016" s="302"/>
      <c r="J1016" s="241"/>
      <c r="M1016" s="303"/>
      <c r="N1016" s="281"/>
      <c r="O1016" s="304"/>
      <c r="P1016" s="305"/>
      <c r="Q1016" s="306"/>
      <c r="R1016" s="289" t="str">
        <f t="shared" si="18"/>
        <v/>
      </c>
      <c r="S1016" s="241"/>
    </row>
    <row r="1017" spans="1:19" ht="18" customHeight="1">
      <c r="A1017" s="298"/>
      <c r="B1017" s="299"/>
      <c r="C1017" s="241"/>
      <c r="D1017" s="298"/>
      <c r="E1017" s="300"/>
      <c r="F1017" s="298"/>
      <c r="G1017" s="241"/>
      <c r="H1017" s="302"/>
      <c r="J1017" s="241"/>
      <c r="M1017" s="303"/>
      <c r="N1017" s="281"/>
      <c r="O1017" s="304"/>
      <c r="P1017" s="305"/>
      <c r="Q1017" s="306"/>
      <c r="R1017" s="289" t="str">
        <f t="shared" si="18"/>
        <v/>
      </c>
      <c r="S1017" s="241"/>
    </row>
    <row r="1018" spans="1:19" ht="18" customHeight="1">
      <c r="A1018" s="298"/>
      <c r="B1018" s="299"/>
      <c r="C1018" s="241"/>
      <c r="D1018" s="298"/>
      <c r="E1018" s="300"/>
      <c r="F1018" s="298"/>
      <c r="G1018" s="241"/>
      <c r="H1018" s="302"/>
      <c r="J1018" s="241"/>
      <c r="M1018" s="303"/>
      <c r="N1018" s="281"/>
      <c r="O1018" s="304"/>
      <c r="P1018" s="305"/>
      <c r="Q1018" s="306"/>
      <c r="R1018" s="289" t="str">
        <f t="shared" si="18"/>
        <v/>
      </c>
      <c r="S1018" s="241"/>
    </row>
    <row r="1019" spans="1:19" ht="18" customHeight="1">
      <c r="A1019" s="298"/>
      <c r="B1019" s="299"/>
      <c r="C1019" s="241"/>
      <c r="D1019" s="298"/>
      <c r="E1019" s="300"/>
      <c r="F1019" s="298"/>
      <c r="G1019" s="241"/>
      <c r="H1019" s="302"/>
      <c r="J1019" s="241"/>
      <c r="M1019" s="303"/>
      <c r="N1019" s="281"/>
      <c r="O1019" s="304"/>
      <c r="P1019" s="305"/>
      <c r="Q1019" s="306"/>
      <c r="R1019" s="289" t="str">
        <f t="shared" si="18"/>
        <v/>
      </c>
      <c r="S1019" s="241"/>
    </row>
    <row r="1020" spans="1:19" ht="18" customHeight="1">
      <c r="A1020" s="298"/>
      <c r="B1020" s="299"/>
      <c r="C1020" s="241"/>
      <c r="D1020" s="298"/>
      <c r="E1020" s="300"/>
      <c r="F1020" s="298"/>
      <c r="G1020" s="241"/>
      <c r="H1020" s="302"/>
      <c r="J1020" s="241"/>
      <c r="M1020" s="303"/>
      <c r="N1020" s="281"/>
      <c r="O1020" s="304"/>
      <c r="P1020" s="305"/>
      <c r="Q1020" s="306"/>
      <c r="R1020" s="289" t="str">
        <f t="shared" si="18"/>
        <v/>
      </c>
      <c r="S1020" s="241"/>
    </row>
    <row r="1021" spans="1:19" ht="18" customHeight="1">
      <c r="A1021" s="298"/>
      <c r="B1021" s="299"/>
      <c r="C1021" s="241"/>
      <c r="D1021" s="298"/>
      <c r="E1021" s="300"/>
      <c r="F1021" s="298"/>
      <c r="G1021" s="241"/>
      <c r="H1021" s="302"/>
      <c r="J1021" s="241"/>
      <c r="M1021" s="303"/>
      <c r="N1021" s="281"/>
      <c r="O1021" s="304"/>
      <c r="P1021" s="305"/>
      <c r="Q1021" s="306"/>
      <c r="R1021" s="289" t="str">
        <f t="shared" si="18"/>
        <v/>
      </c>
      <c r="S1021" s="241"/>
    </row>
    <row r="1022" spans="1:19" ht="18" customHeight="1">
      <c r="A1022" s="298"/>
      <c r="B1022" s="299"/>
      <c r="C1022" s="241"/>
      <c r="D1022" s="298"/>
      <c r="E1022" s="300"/>
      <c r="F1022" s="298"/>
      <c r="G1022" s="241"/>
      <c r="H1022" s="302"/>
      <c r="J1022" s="241"/>
      <c r="M1022" s="303"/>
      <c r="N1022" s="281"/>
      <c r="O1022" s="304"/>
      <c r="P1022" s="305"/>
      <c r="Q1022" s="306"/>
      <c r="R1022" s="289" t="str">
        <f t="shared" si="18"/>
        <v/>
      </c>
      <c r="S1022" s="241"/>
    </row>
    <row r="1023" spans="1:19" ht="18" customHeight="1">
      <c r="A1023" s="298"/>
      <c r="B1023" s="299"/>
      <c r="C1023" s="241"/>
      <c r="D1023" s="298"/>
      <c r="E1023" s="300"/>
      <c r="F1023" s="298"/>
      <c r="G1023" s="241"/>
      <c r="H1023" s="302"/>
      <c r="J1023" s="241"/>
      <c r="M1023" s="303"/>
      <c r="N1023" s="281"/>
      <c r="O1023" s="304"/>
      <c r="P1023" s="305"/>
      <c r="Q1023" s="306"/>
      <c r="R1023" s="289" t="str">
        <f t="shared" si="18"/>
        <v/>
      </c>
      <c r="S1023" s="241"/>
    </row>
    <row r="1024" spans="1:19" ht="18" customHeight="1">
      <c r="A1024" s="298"/>
      <c r="B1024" s="299"/>
      <c r="C1024" s="241"/>
      <c r="D1024" s="298"/>
      <c r="E1024" s="300"/>
      <c r="F1024" s="298"/>
      <c r="G1024" s="241"/>
      <c r="H1024" s="302"/>
      <c r="J1024" s="241"/>
      <c r="M1024" s="303"/>
      <c r="N1024" s="281"/>
      <c r="O1024" s="304"/>
      <c r="P1024" s="305"/>
      <c r="Q1024" s="306"/>
      <c r="R1024" s="289" t="str">
        <f t="shared" si="18"/>
        <v/>
      </c>
      <c r="S1024" s="241"/>
    </row>
    <row r="1025" spans="1:19" ht="18" customHeight="1">
      <c r="A1025" s="298"/>
      <c r="B1025" s="299"/>
      <c r="C1025" s="241"/>
      <c r="D1025" s="298"/>
      <c r="E1025" s="300"/>
      <c r="F1025" s="298"/>
      <c r="G1025" s="241"/>
      <c r="H1025" s="302"/>
      <c r="J1025" s="241"/>
      <c r="M1025" s="303"/>
      <c r="N1025" s="281"/>
      <c r="O1025" s="304"/>
      <c r="P1025" s="305"/>
      <c r="Q1025" s="306"/>
      <c r="R1025" s="289" t="str">
        <f t="shared" si="18"/>
        <v/>
      </c>
      <c r="S1025" s="241"/>
    </row>
    <row r="1026" spans="1:19" ht="18" customHeight="1">
      <c r="A1026" s="298"/>
      <c r="B1026" s="299"/>
      <c r="C1026" s="241"/>
      <c r="D1026" s="298"/>
      <c r="E1026" s="300"/>
      <c r="F1026" s="298"/>
      <c r="G1026" s="241"/>
      <c r="H1026" s="302"/>
      <c r="J1026" s="241"/>
      <c r="M1026" s="303"/>
      <c r="N1026" s="281"/>
      <c r="O1026" s="304"/>
      <c r="P1026" s="305"/>
      <c r="Q1026" s="306"/>
      <c r="R1026" s="289" t="str">
        <f t="shared" si="18"/>
        <v/>
      </c>
      <c r="S1026" s="241"/>
    </row>
    <row r="1027" spans="1:19" ht="18" customHeight="1">
      <c r="A1027" s="298"/>
      <c r="B1027" s="299"/>
      <c r="C1027" s="241"/>
      <c r="D1027" s="298"/>
      <c r="E1027" s="300"/>
      <c r="F1027" s="298"/>
      <c r="G1027" s="241"/>
      <c r="H1027" s="302"/>
      <c r="J1027" s="241"/>
      <c r="M1027" s="303"/>
      <c r="N1027" s="281"/>
      <c r="O1027" s="304"/>
      <c r="P1027" s="305"/>
      <c r="Q1027" s="306"/>
      <c r="R1027" s="289" t="str">
        <f t="shared" si="18"/>
        <v/>
      </c>
      <c r="S1027" s="241"/>
    </row>
    <row r="1028" spans="1:19" ht="18" customHeight="1">
      <c r="A1028" s="298"/>
      <c r="B1028" s="299"/>
      <c r="C1028" s="241"/>
      <c r="D1028" s="298"/>
      <c r="E1028" s="300"/>
      <c r="F1028" s="298"/>
      <c r="G1028" s="241"/>
      <c r="H1028" s="302"/>
      <c r="J1028" s="241"/>
      <c r="M1028" s="303"/>
      <c r="N1028" s="281"/>
      <c r="O1028" s="304"/>
      <c r="P1028" s="305"/>
      <c r="Q1028" s="306"/>
      <c r="R1028" s="289" t="str">
        <f t="shared" si="18"/>
        <v/>
      </c>
      <c r="S1028" s="241"/>
    </row>
    <row r="1029" spans="1:19" ht="18" customHeight="1">
      <c r="A1029" s="298"/>
      <c r="B1029" s="299"/>
      <c r="C1029" s="241"/>
      <c r="D1029" s="298"/>
      <c r="E1029" s="300"/>
      <c r="F1029" s="298"/>
      <c r="G1029" s="241"/>
      <c r="H1029" s="302"/>
      <c r="J1029" s="241"/>
      <c r="M1029" s="303"/>
      <c r="N1029" s="281"/>
      <c r="O1029" s="304"/>
      <c r="P1029" s="305"/>
      <c r="Q1029" s="306"/>
      <c r="R1029" s="289" t="str">
        <f t="shared" si="18"/>
        <v/>
      </c>
      <c r="S1029" s="241"/>
    </row>
    <row r="1030" spans="1:19" ht="18" customHeight="1">
      <c r="A1030" s="298"/>
      <c r="B1030" s="299"/>
      <c r="C1030" s="241"/>
      <c r="D1030" s="298"/>
      <c r="E1030" s="300"/>
      <c r="F1030" s="298"/>
      <c r="G1030" s="241"/>
      <c r="H1030" s="302"/>
      <c r="J1030" s="241"/>
      <c r="M1030" s="303"/>
      <c r="N1030" s="281"/>
      <c r="O1030" s="304"/>
      <c r="P1030" s="305"/>
      <c r="Q1030" s="306"/>
      <c r="R1030" s="289" t="str">
        <f t="shared" si="18"/>
        <v/>
      </c>
      <c r="S1030" s="241"/>
    </row>
    <row r="1031" spans="1:19" ht="18" customHeight="1">
      <c r="A1031" s="298"/>
      <c r="B1031" s="299"/>
      <c r="C1031" s="241"/>
      <c r="D1031" s="298"/>
      <c r="E1031" s="300"/>
      <c r="F1031" s="298"/>
      <c r="G1031" s="241"/>
      <c r="H1031" s="302"/>
      <c r="J1031" s="241"/>
      <c r="M1031" s="303"/>
      <c r="N1031" s="281"/>
      <c r="O1031" s="304"/>
      <c r="P1031" s="305"/>
      <c r="Q1031" s="306"/>
      <c r="R1031" s="289" t="str">
        <f t="shared" si="18"/>
        <v/>
      </c>
      <c r="S1031" s="241"/>
    </row>
    <row r="1032" spans="1:19" ht="18" customHeight="1">
      <c r="A1032" s="298"/>
      <c r="B1032" s="299"/>
      <c r="C1032" s="241"/>
      <c r="D1032" s="298"/>
      <c r="E1032" s="300"/>
      <c r="F1032" s="298"/>
      <c r="G1032" s="241"/>
      <c r="H1032" s="302"/>
      <c r="J1032" s="241"/>
      <c r="M1032" s="303"/>
      <c r="N1032" s="281"/>
      <c r="O1032" s="304"/>
      <c r="P1032" s="305"/>
      <c r="Q1032" s="306"/>
      <c r="R1032" s="289" t="str">
        <f t="shared" si="18"/>
        <v/>
      </c>
      <c r="S1032" s="241"/>
    </row>
    <row r="1033" spans="1:19" ht="18" customHeight="1">
      <c r="A1033" s="298"/>
      <c r="B1033" s="299"/>
      <c r="C1033" s="241"/>
      <c r="D1033" s="298"/>
      <c r="E1033" s="300"/>
      <c r="F1033" s="298"/>
      <c r="G1033" s="241"/>
      <c r="H1033" s="302"/>
      <c r="J1033" s="241"/>
      <c r="M1033" s="303"/>
      <c r="N1033" s="281"/>
      <c r="O1033" s="304"/>
      <c r="P1033" s="305"/>
      <c r="Q1033" s="306"/>
      <c r="R1033" s="289" t="str">
        <f t="shared" si="18"/>
        <v/>
      </c>
      <c r="S1033" s="241"/>
    </row>
    <row r="1034" spans="1:19" ht="18" customHeight="1">
      <c r="A1034" s="298"/>
      <c r="B1034" s="299"/>
      <c r="C1034" s="241"/>
      <c r="D1034" s="298"/>
      <c r="E1034" s="300"/>
      <c r="F1034" s="298"/>
      <c r="G1034" s="241"/>
      <c r="H1034" s="302"/>
      <c r="J1034" s="241"/>
      <c r="M1034" s="303"/>
      <c r="N1034" s="281"/>
      <c r="O1034" s="304"/>
      <c r="P1034" s="305"/>
      <c r="Q1034" s="306"/>
      <c r="R1034" s="289" t="str">
        <f t="shared" si="18"/>
        <v/>
      </c>
      <c r="S1034" s="241"/>
    </row>
    <row r="1035" spans="1:19" ht="18" customHeight="1">
      <c r="A1035" s="298"/>
      <c r="B1035" s="299"/>
      <c r="C1035" s="241"/>
      <c r="D1035" s="298"/>
      <c r="E1035" s="300"/>
      <c r="F1035" s="298"/>
      <c r="G1035" s="241"/>
      <c r="H1035" s="302"/>
      <c r="J1035" s="241"/>
      <c r="M1035" s="303"/>
      <c r="N1035" s="281"/>
      <c r="O1035" s="304"/>
      <c r="P1035" s="305"/>
      <c r="Q1035" s="306"/>
      <c r="R1035" s="289" t="str">
        <f t="shared" si="18"/>
        <v/>
      </c>
      <c r="S1035" s="241"/>
    </row>
    <row r="1036" spans="1:19" ht="18" customHeight="1">
      <c r="A1036" s="298"/>
      <c r="B1036" s="299"/>
      <c r="C1036" s="241"/>
      <c r="D1036" s="298"/>
      <c r="E1036" s="300"/>
      <c r="F1036" s="298"/>
      <c r="G1036" s="241"/>
      <c r="H1036" s="302"/>
      <c r="J1036" s="241"/>
      <c r="M1036" s="303"/>
      <c r="N1036" s="281"/>
      <c r="O1036" s="304"/>
      <c r="P1036" s="305"/>
      <c r="Q1036" s="306"/>
      <c r="R1036" s="289" t="str">
        <f t="shared" si="18"/>
        <v/>
      </c>
      <c r="S1036" s="241"/>
    </row>
    <row r="1037" spans="1:19" ht="18" customHeight="1">
      <c r="A1037" s="298"/>
      <c r="B1037" s="299"/>
      <c r="C1037" s="241"/>
      <c r="D1037" s="298"/>
      <c r="E1037" s="300"/>
      <c r="F1037" s="298"/>
      <c r="G1037" s="241"/>
      <c r="H1037" s="302"/>
      <c r="J1037" s="241"/>
      <c r="M1037" s="303"/>
      <c r="N1037" s="281"/>
      <c r="O1037" s="304"/>
      <c r="P1037" s="305"/>
      <c r="Q1037" s="306"/>
      <c r="R1037" s="289" t="str">
        <f t="shared" si="18"/>
        <v/>
      </c>
      <c r="S1037" s="241"/>
    </row>
    <row r="1038" spans="1:19" ht="18" customHeight="1">
      <c r="A1038" s="298"/>
      <c r="B1038" s="299"/>
      <c r="C1038" s="241"/>
      <c r="D1038" s="298"/>
      <c r="E1038" s="300"/>
      <c r="F1038" s="298"/>
      <c r="G1038" s="241"/>
      <c r="H1038" s="302"/>
      <c r="J1038" s="241"/>
      <c r="M1038" s="303"/>
      <c r="N1038" s="281"/>
      <c r="O1038" s="304"/>
      <c r="P1038" s="305"/>
      <c r="Q1038" s="306"/>
      <c r="R1038" s="289" t="str">
        <f t="shared" si="18"/>
        <v/>
      </c>
      <c r="S1038" s="241"/>
    </row>
    <row r="1039" spans="1:19" ht="18" customHeight="1">
      <c r="A1039" s="298"/>
      <c r="B1039" s="299"/>
      <c r="C1039" s="241"/>
      <c r="D1039" s="298"/>
      <c r="E1039" s="300"/>
      <c r="F1039" s="298"/>
      <c r="G1039" s="241"/>
      <c r="H1039" s="302"/>
      <c r="J1039" s="241"/>
      <c r="M1039" s="303"/>
      <c r="N1039" s="281"/>
      <c r="O1039" s="304"/>
      <c r="P1039" s="305"/>
      <c r="Q1039" s="306"/>
      <c r="R1039" s="289" t="str">
        <f t="shared" si="18"/>
        <v/>
      </c>
      <c r="S1039" s="241"/>
    </row>
    <row r="1040" spans="1:19" ht="18" customHeight="1">
      <c r="A1040" s="298"/>
      <c r="B1040" s="299"/>
      <c r="C1040" s="241"/>
      <c r="D1040" s="298"/>
      <c r="E1040" s="300"/>
      <c r="F1040" s="298"/>
      <c r="G1040" s="241"/>
      <c r="H1040" s="302"/>
      <c r="J1040" s="241"/>
      <c r="M1040" s="303"/>
      <c r="N1040" s="281"/>
      <c r="O1040" s="304"/>
      <c r="P1040" s="305"/>
      <c r="Q1040" s="306"/>
      <c r="R1040" s="289" t="str">
        <f t="shared" si="18"/>
        <v/>
      </c>
      <c r="S1040" s="241"/>
    </row>
    <row r="1041" spans="1:19" ht="18" customHeight="1">
      <c r="A1041" s="298"/>
      <c r="B1041" s="299"/>
      <c r="C1041" s="241"/>
      <c r="D1041" s="298"/>
      <c r="E1041" s="300"/>
      <c r="F1041" s="298"/>
      <c r="G1041" s="241"/>
      <c r="H1041" s="302"/>
      <c r="J1041" s="241"/>
      <c r="M1041" s="303"/>
      <c r="N1041" s="281"/>
      <c r="O1041" s="304"/>
      <c r="P1041" s="305"/>
      <c r="Q1041" s="306"/>
      <c r="R1041" s="289" t="str">
        <f t="shared" si="18"/>
        <v/>
      </c>
      <c r="S1041" s="241"/>
    </row>
    <row r="1042" spans="1:19" ht="18" customHeight="1">
      <c r="A1042" s="298"/>
      <c r="B1042" s="299"/>
      <c r="C1042" s="241"/>
      <c r="D1042" s="298"/>
      <c r="E1042" s="300"/>
      <c r="F1042" s="298"/>
      <c r="G1042" s="241"/>
      <c r="H1042" s="302"/>
      <c r="J1042" s="241"/>
      <c r="M1042" s="303"/>
      <c r="N1042" s="281"/>
      <c r="O1042" s="304"/>
      <c r="P1042" s="305"/>
      <c r="Q1042" s="306"/>
      <c r="R1042" s="289" t="str">
        <f t="shared" si="18"/>
        <v/>
      </c>
      <c r="S1042" s="241"/>
    </row>
    <row r="1043" spans="1:19" ht="18" customHeight="1">
      <c r="A1043" s="298"/>
      <c r="B1043" s="299"/>
      <c r="C1043" s="241"/>
      <c r="D1043" s="298"/>
      <c r="E1043" s="300"/>
      <c r="F1043" s="298"/>
      <c r="G1043" s="241"/>
      <c r="H1043" s="302"/>
      <c r="J1043" s="241"/>
      <c r="M1043" s="303"/>
      <c r="N1043" s="281"/>
      <c r="O1043" s="304"/>
      <c r="P1043" s="305"/>
      <c r="Q1043" s="306"/>
      <c r="R1043" s="289" t="str">
        <f t="shared" si="18"/>
        <v/>
      </c>
      <c r="S1043" s="241"/>
    </row>
    <row r="1044" spans="1:19" ht="18" customHeight="1">
      <c r="A1044" s="298"/>
      <c r="B1044" s="299"/>
      <c r="C1044" s="241"/>
      <c r="D1044" s="298"/>
      <c r="E1044" s="300"/>
      <c r="F1044" s="298"/>
      <c r="G1044" s="241"/>
      <c r="H1044" s="302"/>
      <c r="J1044" s="241"/>
      <c r="M1044" s="303"/>
      <c r="N1044" s="281"/>
      <c r="O1044" s="304"/>
      <c r="P1044" s="305"/>
      <c r="Q1044" s="306"/>
      <c r="R1044" s="289" t="str">
        <f t="shared" si="18"/>
        <v/>
      </c>
      <c r="S1044" s="241"/>
    </row>
    <row r="1045" spans="1:19" ht="18" customHeight="1">
      <c r="A1045" s="298"/>
      <c r="B1045" s="299"/>
      <c r="C1045" s="241"/>
      <c r="D1045" s="298"/>
      <c r="E1045" s="300"/>
      <c r="F1045" s="298"/>
      <c r="G1045" s="241"/>
      <c r="H1045" s="302"/>
      <c r="J1045" s="241"/>
      <c r="M1045" s="303"/>
      <c r="N1045" s="281"/>
      <c r="O1045" s="304"/>
      <c r="P1045" s="305"/>
      <c r="Q1045" s="306"/>
      <c r="R1045" s="289" t="str">
        <f t="shared" si="18"/>
        <v/>
      </c>
      <c r="S1045" s="241"/>
    </row>
    <row r="1046" spans="1:19" ht="18" customHeight="1">
      <c r="A1046" s="298"/>
      <c r="B1046" s="299"/>
      <c r="C1046" s="241"/>
      <c r="D1046" s="298"/>
      <c r="E1046" s="300"/>
      <c r="F1046" s="298"/>
      <c r="G1046" s="241"/>
      <c r="H1046" s="302"/>
      <c r="J1046" s="241"/>
      <c r="M1046" s="303"/>
      <c r="N1046" s="281"/>
      <c r="O1046" s="304"/>
      <c r="P1046" s="305"/>
      <c r="Q1046" s="306"/>
      <c r="R1046" s="289" t="str">
        <f t="shared" si="18"/>
        <v/>
      </c>
      <c r="S1046" s="241"/>
    </row>
    <row r="1047" spans="1:19" ht="18" customHeight="1">
      <c r="A1047" s="298"/>
      <c r="B1047" s="299"/>
      <c r="C1047" s="241"/>
      <c r="D1047" s="298"/>
      <c r="E1047" s="300"/>
      <c r="F1047" s="298"/>
      <c r="G1047" s="241"/>
      <c r="H1047" s="302"/>
      <c r="J1047" s="241"/>
      <c r="M1047" s="303"/>
      <c r="N1047" s="281"/>
      <c r="O1047" s="304"/>
      <c r="P1047" s="305"/>
      <c r="Q1047" s="306"/>
      <c r="R1047" s="289" t="str">
        <f t="shared" si="18"/>
        <v/>
      </c>
      <c r="S1047" s="241"/>
    </row>
    <row r="1048" spans="1:19" ht="18" customHeight="1">
      <c r="A1048" s="298"/>
      <c r="B1048" s="299"/>
      <c r="C1048" s="241"/>
      <c r="D1048" s="298"/>
      <c r="E1048" s="300"/>
      <c r="F1048" s="298"/>
      <c r="G1048" s="241"/>
      <c r="H1048" s="302"/>
      <c r="J1048" s="241"/>
      <c r="M1048" s="303"/>
      <c r="N1048" s="281"/>
      <c r="O1048" s="304"/>
      <c r="P1048" s="305"/>
      <c r="Q1048" s="306"/>
      <c r="R1048" s="289" t="str">
        <f t="shared" si="18"/>
        <v/>
      </c>
      <c r="S1048" s="241"/>
    </row>
    <row r="1049" spans="1:19" ht="18" customHeight="1">
      <c r="A1049" s="298"/>
      <c r="B1049" s="299"/>
      <c r="C1049" s="241"/>
      <c r="D1049" s="298"/>
      <c r="E1049" s="300"/>
      <c r="F1049" s="298"/>
      <c r="G1049" s="241"/>
      <c r="H1049" s="302"/>
      <c r="J1049" s="241"/>
      <c r="M1049" s="303"/>
      <c r="N1049" s="281"/>
      <c r="O1049" s="304"/>
      <c r="P1049" s="305"/>
      <c r="Q1049" s="306"/>
      <c r="R1049" s="289" t="str">
        <f t="shared" si="18"/>
        <v/>
      </c>
      <c r="S1049" s="241"/>
    </row>
    <row r="1050" spans="1:19" ht="18" customHeight="1">
      <c r="A1050" s="298"/>
      <c r="B1050" s="299"/>
      <c r="C1050" s="241"/>
      <c r="D1050" s="298"/>
      <c r="E1050" s="300"/>
      <c r="F1050" s="298"/>
      <c r="G1050" s="241"/>
      <c r="H1050" s="302"/>
      <c r="J1050" s="241"/>
      <c r="M1050" s="303"/>
      <c r="N1050" s="281"/>
      <c r="O1050" s="304"/>
      <c r="P1050" s="305"/>
      <c r="Q1050" s="306"/>
      <c r="R1050" s="289" t="str">
        <f t="shared" ref="R1050:R1113" si="19">IF(SUM(Q1050)&gt;0,SUM(Q1050-P1050),"")</f>
        <v/>
      </c>
      <c r="S1050" s="241"/>
    </row>
    <row r="1051" spans="1:19" ht="18" customHeight="1">
      <c r="A1051" s="298"/>
      <c r="B1051" s="299"/>
      <c r="C1051" s="241"/>
      <c r="D1051" s="298"/>
      <c r="E1051" s="300"/>
      <c r="F1051" s="298"/>
      <c r="G1051" s="241"/>
      <c r="H1051" s="302"/>
      <c r="J1051" s="241"/>
      <c r="M1051" s="303"/>
      <c r="N1051" s="281"/>
      <c r="O1051" s="304"/>
      <c r="P1051" s="305"/>
      <c r="Q1051" s="306"/>
      <c r="R1051" s="289" t="str">
        <f t="shared" si="19"/>
        <v/>
      </c>
      <c r="S1051" s="241"/>
    </row>
    <row r="1052" spans="1:19" ht="18" customHeight="1">
      <c r="A1052" s="298"/>
      <c r="B1052" s="299"/>
      <c r="C1052" s="241"/>
      <c r="D1052" s="298"/>
      <c r="E1052" s="300"/>
      <c r="F1052" s="298"/>
      <c r="G1052" s="241"/>
      <c r="H1052" s="302"/>
      <c r="J1052" s="241"/>
      <c r="M1052" s="303"/>
      <c r="N1052" s="281"/>
      <c r="O1052" s="304"/>
      <c r="P1052" s="305"/>
      <c r="Q1052" s="306"/>
      <c r="R1052" s="289" t="str">
        <f t="shared" si="19"/>
        <v/>
      </c>
      <c r="S1052" s="241"/>
    </row>
    <row r="1053" spans="1:19" ht="18" customHeight="1">
      <c r="A1053" s="298"/>
      <c r="B1053" s="299"/>
      <c r="C1053" s="241"/>
      <c r="D1053" s="298"/>
      <c r="E1053" s="300"/>
      <c r="F1053" s="298"/>
      <c r="G1053" s="241"/>
      <c r="H1053" s="302"/>
      <c r="J1053" s="241"/>
      <c r="M1053" s="303"/>
      <c r="N1053" s="281"/>
      <c r="O1053" s="304"/>
      <c r="P1053" s="305"/>
      <c r="Q1053" s="306"/>
      <c r="R1053" s="289" t="str">
        <f t="shared" si="19"/>
        <v/>
      </c>
      <c r="S1053" s="241"/>
    </row>
    <row r="1054" spans="1:19" ht="18" customHeight="1">
      <c r="A1054" s="298"/>
      <c r="B1054" s="299"/>
      <c r="C1054" s="241"/>
      <c r="D1054" s="298"/>
      <c r="E1054" s="300"/>
      <c r="F1054" s="298"/>
      <c r="G1054" s="241"/>
      <c r="H1054" s="302"/>
      <c r="J1054" s="241"/>
      <c r="M1054" s="303"/>
      <c r="N1054" s="281"/>
      <c r="O1054" s="304"/>
      <c r="P1054" s="305"/>
      <c r="Q1054" s="306"/>
      <c r="R1054" s="289" t="str">
        <f t="shared" si="19"/>
        <v/>
      </c>
      <c r="S1054" s="241"/>
    </row>
    <row r="1055" spans="1:19" ht="18" customHeight="1">
      <c r="A1055" s="298"/>
      <c r="B1055" s="299"/>
      <c r="C1055" s="241"/>
      <c r="D1055" s="298"/>
      <c r="E1055" s="300"/>
      <c r="F1055" s="298"/>
      <c r="G1055" s="241"/>
      <c r="H1055" s="302"/>
      <c r="J1055" s="241"/>
      <c r="M1055" s="303"/>
      <c r="N1055" s="281"/>
      <c r="O1055" s="304"/>
      <c r="P1055" s="305"/>
      <c r="Q1055" s="306"/>
      <c r="R1055" s="289" t="str">
        <f t="shared" si="19"/>
        <v/>
      </c>
      <c r="S1055" s="241"/>
    </row>
    <row r="1056" spans="1:19" ht="18" customHeight="1">
      <c r="A1056" s="298"/>
      <c r="B1056" s="299"/>
      <c r="C1056" s="241"/>
      <c r="D1056" s="298"/>
      <c r="E1056" s="300"/>
      <c r="F1056" s="298"/>
      <c r="G1056" s="241"/>
      <c r="H1056" s="302"/>
      <c r="J1056" s="241"/>
      <c r="M1056" s="303"/>
      <c r="N1056" s="281"/>
      <c r="O1056" s="304"/>
      <c r="P1056" s="305"/>
      <c r="Q1056" s="306"/>
      <c r="R1056" s="289" t="str">
        <f t="shared" si="19"/>
        <v/>
      </c>
      <c r="S1056" s="241"/>
    </row>
    <row r="1057" spans="1:19" ht="18" customHeight="1">
      <c r="A1057" s="298"/>
      <c r="B1057" s="299"/>
      <c r="C1057" s="241"/>
      <c r="D1057" s="298"/>
      <c r="E1057" s="300"/>
      <c r="F1057" s="298"/>
      <c r="G1057" s="241"/>
      <c r="H1057" s="302"/>
      <c r="J1057" s="241"/>
      <c r="M1057" s="303"/>
      <c r="N1057" s="281"/>
      <c r="O1057" s="304"/>
      <c r="P1057" s="305"/>
      <c r="Q1057" s="306"/>
      <c r="R1057" s="289" t="str">
        <f t="shared" si="19"/>
        <v/>
      </c>
      <c r="S1057" s="241"/>
    </row>
    <row r="1058" spans="1:19" ht="18" customHeight="1">
      <c r="A1058" s="298"/>
      <c r="B1058" s="299"/>
      <c r="C1058" s="241"/>
      <c r="D1058" s="298"/>
      <c r="E1058" s="300"/>
      <c r="F1058" s="298"/>
      <c r="G1058" s="241"/>
      <c r="H1058" s="302"/>
      <c r="J1058" s="241"/>
      <c r="M1058" s="303"/>
      <c r="N1058" s="281"/>
      <c r="O1058" s="304"/>
      <c r="P1058" s="305"/>
      <c r="Q1058" s="306"/>
      <c r="R1058" s="289" t="str">
        <f t="shared" si="19"/>
        <v/>
      </c>
      <c r="S1058" s="241"/>
    </row>
    <row r="1059" spans="1:19" ht="18" customHeight="1">
      <c r="A1059" s="298"/>
      <c r="B1059" s="299"/>
      <c r="C1059" s="241"/>
      <c r="D1059" s="298"/>
      <c r="E1059" s="300"/>
      <c r="F1059" s="298"/>
      <c r="G1059" s="241"/>
      <c r="H1059" s="302"/>
      <c r="J1059" s="241"/>
      <c r="M1059" s="303"/>
      <c r="N1059" s="281"/>
      <c r="O1059" s="304"/>
      <c r="P1059" s="305"/>
      <c r="Q1059" s="306"/>
      <c r="R1059" s="289" t="str">
        <f t="shared" si="19"/>
        <v/>
      </c>
      <c r="S1059" s="241"/>
    </row>
    <row r="1060" spans="1:19" ht="18" customHeight="1">
      <c r="A1060" s="298"/>
      <c r="B1060" s="299"/>
      <c r="C1060" s="241"/>
      <c r="D1060" s="298"/>
      <c r="E1060" s="300"/>
      <c r="F1060" s="298"/>
      <c r="G1060" s="241"/>
      <c r="H1060" s="302"/>
      <c r="J1060" s="241"/>
      <c r="M1060" s="303"/>
      <c r="N1060" s="281"/>
      <c r="O1060" s="304"/>
      <c r="P1060" s="305"/>
      <c r="Q1060" s="306"/>
      <c r="R1060" s="289" t="str">
        <f t="shared" si="19"/>
        <v/>
      </c>
      <c r="S1060" s="241"/>
    </row>
    <row r="1061" spans="1:19" ht="18" customHeight="1">
      <c r="A1061" s="298"/>
      <c r="B1061" s="299"/>
      <c r="C1061" s="241"/>
      <c r="D1061" s="298"/>
      <c r="E1061" s="300"/>
      <c r="F1061" s="298"/>
      <c r="G1061" s="241"/>
      <c r="H1061" s="302"/>
      <c r="J1061" s="241"/>
      <c r="M1061" s="303"/>
      <c r="N1061" s="281"/>
      <c r="O1061" s="304"/>
      <c r="P1061" s="305"/>
      <c r="Q1061" s="306"/>
      <c r="R1061" s="289" t="str">
        <f t="shared" si="19"/>
        <v/>
      </c>
      <c r="S1061" s="241"/>
    </row>
    <row r="1062" spans="1:19" ht="18" customHeight="1">
      <c r="A1062" s="298"/>
      <c r="B1062" s="299"/>
      <c r="C1062" s="241"/>
      <c r="D1062" s="298"/>
      <c r="E1062" s="300"/>
      <c r="F1062" s="298"/>
      <c r="G1062" s="241"/>
      <c r="H1062" s="302"/>
      <c r="J1062" s="241"/>
      <c r="M1062" s="303"/>
      <c r="N1062" s="281"/>
      <c r="O1062" s="304"/>
      <c r="P1062" s="305"/>
      <c r="Q1062" s="306"/>
      <c r="R1062" s="289" t="str">
        <f t="shared" si="19"/>
        <v/>
      </c>
      <c r="S1062" s="241"/>
    </row>
    <row r="1063" spans="1:19" ht="18" customHeight="1">
      <c r="A1063" s="298"/>
      <c r="B1063" s="299"/>
      <c r="C1063" s="241"/>
      <c r="D1063" s="298"/>
      <c r="E1063" s="300"/>
      <c r="F1063" s="298"/>
      <c r="G1063" s="241"/>
      <c r="H1063" s="302"/>
      <c r="J1063" s="241"/>
      <c r="M1063" s="303"/>
      <c r="N1063" s="281"/>
      <c r="O1063" s="304"/>
      <c r="P1063" s="305"/>
      <c r="Q1063" s="306"/>
      <c r="R1063" s="289" t="str">
        <f t="shared" si="19"/>
        <v/>
      </c>
      <c r="S1063" s="241"/>
    </row>
    <row r="1064" spans="1:19" ht="18" customHeight="1">
      <c r="A1064" s="298"/>
      <c r="B1064" s="299"/>
      <c r="C1064" s="241"/>
      <c r="D1064" s="298"/>
      <c r="E1064" s="300"/>
      <c r="F1064" s="298"/>
      <c r="G1064" s="241"/>
      <c r="H1064" s="302"/>
      <c r="J1064" s="241"/>
      <c r="M1064" s="303"/>
      <c r="N1064" s="281"/>
      <c r="O1064" s="304"/>
      <c r="P1064" s="305"/>
      <c r="Q1064" s="306"/>
      <c r="R1064" s="289" t="str">
        <f t="shared" si="19"/>
        <v/>
      </c>
      <c r="S1064" s="241"/>
    </row>
    <row r="1065" spans="1:19" ht="18" customHeight="1">
      <c r="A1065" s="298"/>
      <c r="B1065" s="299"/>
      <c r="C1065" s="241"/>
      <c r="D1065" s="298"/>
      <c r="E1065" s="300"/>
      <c r="F1065" s="298"/>
      <c r="G1065" s="241"/>
      <c r="H1065" s="302"/>
      <c r="J1065" s="241"/>
      <c r="M1065" s="303"/>
      <c r="N1065" s="281"/>
      <c r="O1065" s="304"/>
      <c r="P1065" s="305"/>
      <c r="Q1065" s="306"/>
      <c r="R1065" s="289" t="str">
        <f t="shared" si="19"/>
        <v/>
      </c>
      <c r="S1065" s="241"/>
    </row>
    <row r="1066" spans="1:19" ht="18" customHeight="1">
      <c r="A1066" s="298"/>
      <c r="B1066" s="299"/>
      <c r="C1066" s="241"/>
      <c r="D1066" s="298"/>
      <c r="E1066" s="300"/>
      <c r="F1066" s="298"/>
      <c r="G1066" s="241"/>
      <c r="H1066" s="302"/>
      <c r="J1066" s="241"/>
      <c r="M1066" s="303"/>
      <c r="N1066" s="281"/>
      <c r="O1066" s="304"/>
      <c r="P1066" s="305"/>
      <c r="Q1066" s="306"/>
      <c r="R1066" s="289" t="str">
        <f t="shared" si="19"/>
        <v/>
      </c>
      <c r="S1066" s="241"/>
    </row>
    <row r="1067" spans="1:19" ht="18" customHeight="1">
      <c r="A1067" s="298"/>
      <c r="B1067" s="299"/>
      <c r="C1067" s="241"/>
      <c r="D1067" s="298"/>
      <c r="E1067" s="300"/>
      <c r="F1067" s="298"/>
      <c r="G1067" s="241"/>
      <c r="H1067" s="302"/>
      <c r="J1067" s="241"/>
      <c r="M1067" s="303"/>
      <c r="N1067" s="281"/>
      <c r="O1067" s="304"/>
      <c r="P1067" s="305"/>
      <c r="Q1067" s="306"/>
      <c r="R1067" s="289" t="str">
        <f t="shared" si="19"/>
        <v/>
      </c>
      <c r="S1067" s="241"/>
    </row>
    <row r="1068" spans="1:19" ht="18" customHeight="1">
      <c r="A1068" s="298"/>
      <c r="B1068" s="299"/>
      <c r="C1068" s="241"/>
      <c r="D1068" s="298"/>
      <c r="E1068" s="300"/>
      <c r="F1068" s="298"/>
      <c r="G1068" s="241"/>
      <c r="H1068" s="302"/>
      <c r="J1068" s="241"/>
      <c r="M1068" s="303"/>
      <c r="N1068" s="281"/>
      <c r="O1068" s="304"/>
      <c r="P1068" s="305"/>
      <c r="Q1068" s="306"/>
      <c r="R1068" s="289" t="str">
        <f t="shared" si="19"/>
        <v/>
      </c>
      <c r="S1068" s="241"/>
    </row>
    <row r="1069" spans="1:19" ht="18" customHeight="1">
      <c r="A1069" s="298"/>
      <c r="B1069" s="299"/>
      <c r="C1069" s="241"/>
      <c r="D1069" s="298"/>
      <c r="E1069" s="300"/>
      <c r="F1069" s="298"/>
      <c r="G1069" s="241"/>
      <c r="H1069" s="302"/>
      <c r="J1069" s="241"/>
      <c r="M1069" s="303"/>
      <c r="N1069" s="281"/>
      <c r="O1069" s="304"/>
      <c r="P1069" s="305"/>
      <c r="Q1069" s="306"/>
      <c r="R1069" s="289" t="str">
        <f t="shared" si="19"/>
        <v/>
      </c>
      <c r="S1069" s="241"/>
    </row>
    <row r="1070" spans="1:19" ht="18" customHeight="1">
      <c r="A1070" s="298"/>
      <c r="B1070" s="299"/>
      <c r="C1070" s="241"/>
      <c r="D1070" s="298"/>
      <c r="E1070" s="300"/>
      <c r="F1070" s="298"/>
      <c r="G1070" s="241"/>
      <c r="H1070" s="302"/>
      <c r="J1070" s="241"/>
      <c r="M1070" s="303"/>
      <c r="N1070" s="281"/>
      <c r="O1070" s="304"/>
      <c r="P1070" s="305"/>
      <c r="Q1070" s="306"/>
      <c r="R1070" s="289" t="str">
        <f t="shared" si="19"/>
        <v/>
      </c>
      <c r="S1070" s="241"/>
    </row>
    <row r="1071" spans="1:19" ht="18" customHeight="1">
      <c r="A1071" s="298"/>
      <c r="B1071" s="299"/>
      <c r="C1071" s="241"/>
      <c r="D1071" s="298"/>
      <c r="E1071" s="300"/>
      <c r="F1071" s="298"/>
      <c r="G1071" s="241"/>
      <c r="H1071" s="302"/>
      <c r="J1071" s="241"/>
      <c r="M1071" s="303"/>
      <c r="N1071" s="281"/>
      <c r="O1071" s="304"/>
      <c r="P1071" s="305"/>
      <c r="Q1071" s="306"/>
      <c r="R1071" s="289" t="str">
        <f t="shared" si="19"/>
        <v/>
      </c>
      <c r="S1071" s="241"/>
    </row>
    <row r="1072" spans="1:19" ht="18" customHeight="1">
      <c r="A1072" s="298"/>
      <c r="B1072" s="299"/>
      <c r="C1072" s="241"/>
      <c r="D1072" s="298"/>
      <c r="E1072" s="300"/>
      <c r="F1072" s="298"/>
      <c r="G1072" s="241"/>
      <c r="H1072" s="302"/>
      <c r="J1072" s="241"/>
      <c r="M1072" s="303"/>
      <c r="N1072" s="281"/>
      <c r="O1072" s="304"/>
      <c r="P1072" s="305"/>
      <c r="Q1072" s="306"/>
      <c r="R1072" s="289" t="str">
        <f t="shared" si="19"/>
        <v/>
      </c>
      <c r="S1072" s="241"/>
    </row>
    <row r="1073" spans="1:19" ht="18" customHeight="1">
      <c r="A1073" s="298"/>
      <c r="B1073" s="299"/>
      <c r="C1073" s="241"/>
      <c r="D1073" s="298"/>
      <c r="E1073" s="300"/>
      <c r="F1073" s="298"/>
      <c r="G1073" s="241"/>
      <c r="H1073" s="302"/>
      <c r="J1073" s="241"/>
      <c r="M1073" s="303"/>
      <c r="N1073" s="281"/>
      <c r="O1073" s="304"/>
      <c r="P1073" s="305"/>
      <c r="Q1073" s="306"/>
      <c r="R1073" s="289" t="str">
        <f t="shared" si="19"/>
        <v/>
      </c>
      <c r="S1073" s="241"/>
    </row>
    <row r="1074" spans="1:19" ht="18" customHeight="1">
      <c r="A1074" s="298"/>
      <c r="B1074" s="299"/>
      <c r="C1074" s="241"/>
      <c r="D1074" s="298"/>
      <c r="E1074" s="300"/>
      <c r="F1074" s="298"/>
      <c r="G1074" s="241"/>
      <c r="H1074" s="302"/>
      <c r="J1074" s="241"/>
      <c r="M1074" s="303"/>
      <c r="N1074" s="281"/>
      <c r="O1074" s="304"/>
      <c r="P1074" s="305"/>
      <c r="Q1074" s="306"/>
      <c r="R1074" s="289" t="str">
        <f t="shared" si="19"/>
        <v/>
      </c>
      <c r="S1074" s="241"/>
    </row>
    <row r="1075" spans="1:19" ht="18" customHeight="1">
      <c r="A1075" s="298"/>
      <c r="B1075" s="299"/>
      <c r="C1075" s="241"/>
      <c r="D1075" s="298"/>
      <c r="E1075" s="300"/>
      <c r="F1075" s="298"/>
      <c r="G1075" s="241"/>
      <c r="H1075" s="302"/>
      <c r="J1075" s="241"/>
      <c r="M1075" s="303"/>
      <c r="N1075" s="281"/>
      <c r="O1075" s="304"/>
      <c r="P1075" s="305"/>
      <c r="Q1075" s="306"/>
      <c r="R1075" s="289" t="str">
        <f t="shared" si="19"/>
        <v/>
      </c>
      <c r="S1075" s="241"/>
    </row>
    <row r="1076" spans="1:19" ht="18" customHeight="1">
      <c r="A1076" s="298"/>
      <c r="B1076" s="299"/>
      <c r="C1076" s="241"/>
      <c r="D1076" s="298"/>
      <c r="E1076" s="300"/>
      <c r="F1076" s="298"/>
      <c r="G1076" s="241"/>
      <c r="H1076" s="302"/>
      <c r="J1076" s="241"/>
      <c r="M1076" s="303"/>
      <c r="N1076" s="281"/>
      <c r="O1076" s="304"/>
      <c r="P1076" s="305"/>
      <c r="Q1076" s="306"/>
      <c r="R1076" s="289" t="str">
        <f t="shared" si="19"/>
        <v/>
      </c>
      <c r="S1076" s="241"/>
    </row>
    <row r="1077" spans="1:19" ht="18" customHeight="1">
      <c r="A1077" s="298"/>
      <c r="B1077" s="299"/>
      <c r="C1077" s="241"/>
      <c r="D1077" s="298"/>
      <c r="E1077" s="300"/>
      <c r="F1077" s="298"/>
      <c r="G1077" s="241"/>
      <c r="H1077" s="302"/>
      <c r="J1077" s="241"/>
      <c r="M1077" s="303"/>
      <c r="N1077" s="281"/>
      <c r="O1077" s="304"/>
      <c r="P1077" s="305"/>
      <c r="Q1077" s="306"/>
      <c r="R1077" s="289" t="str">
        <f t="shared" si="19"/>
        <v/>
      </c>
      <c r="S1077" s="241"/>
    </row>
    <row r="1078" spans="1:19" ht="18" customHeight="1">
      <c r="A1078" s="298"/>
      <c r="B1078" s="299"/>
      <c r="C1078" s="241"/>
      <c r="D1078" s="298"/>
      <c r="E1078" s="300"/>
      <c r="F1078" s="298"/>
      <c r="G1078" s="241"/>
      <c r="H1078" s="302"/>
      <c r="J1078" s="241"/>
      <c r="M1078" s="303"/>
      <c r="N1078" s="281"/>
      <c r="O1078" s="304"/>
      <c r="P1078" s="305"/>
      <c r="Q1078" s="306"/>
      <c r="R1078" s="289" t="str">
        <f t="shared" si="19"/>
        <v/>
      </c>
      <c r="S1078" s="241"/>
    </row>
    <row r="1079" spans="1:19" ht="18" customHeight="1">
      <c r="A1079" s="298"/>
      <c r="B1079" s="299"/>
      <c r="C1079" s="241"/>
      <c r="D1079" s="298"/>
      <c r="E1079" s="300"/>
      <c r="F1079" s="298"/>
      <c r="G1079" s="241"/>
      <c r="H1079" s="302"/>
      <c r="J1079" s="241"/>
      <c r="M1079" s="303"/>
      <c r="N1079" s="281"/>
      <c r="O1079" s="304"/>
      <c r="P1079" s="305"/>
      <c r="Q1079" s="306"/>
      <c r="R1079" s="289" t="str">
        <f t="shared" si="19"/>
        <v/>
      </c>
      <c r="S1079" s="241"/>
    </row>
    <row r="1080" spans="1:19" ht="18" customHeight="1">
      <c r="A1080" s="298"/>
      <c r="B1080" s="299"/>
      <c r="C1080" s="241"/>
      <c r="D1080" s="298"/>
      <c r="E1080" s="300"/>
      <c r="F1080" s="298"/>
      <c r="G1080" s="241"/>
      <c r="H1080" s="302"/>
      <c r="J1080" s="241"/>
      <c r="M1080" s="303"/>
      <c r="N1080" s="281"/>
      <c r="O1080" s="304"/>
      <c r="P1080" s="305"/>
      <c r="Q1080" s="306"/>
      <c r="R1080" s="289" t="str">
        <f t="shared" si="19"/>
        <v/>
      </c>
      <c r="S1080" s="241"/>
    </row>
    <row r="1081" spans="1:19" ht="18" customHeight="1">
      <c r="A1081" s="298"/>
      <c r="B1081" s="299"/>
      <c r="C1081" s="241"/>
      <c r="D1081" s="298"/>
      <c r="E1081" s="300"/>
      <c r="F1081" s="298"/>
      <c r="G1081" s="241"/>
      <c r="H1081" s="302"/>
      <c r="J1081" s="241"/>
      <c r="M1081" s="303"/>
      <c r="N1081" s="281"/>
      <c r="O1081" s="304"/>
      <c r="P1081" s="305"/>
      <c r="Q1081" s="306"/>
      <c r="R1081" s="289" t="str">
        <f t="shared" si="19"/>
        <v/>
      </c>
      <c r="S1081" s="241"/>
    </row>
    <row r="1082" spans="1:19" ht="18" customHeight="1">
      <c r="A1082" s="298"/>
      <c r="B1082" s="299"/>
      <c r="C1082" s="241"/>
      <c r="D1082" s="298"/>
      <c r="E1082" s="300"/>
      <c r="F1082" s="298"/>
      <c r="G1082" s="241"/>
      <c r="H1082" s="302"/>
      <c r="J1082" s="241"/>
      <c r="M1082" s="303"/>
      <c r="N1082" s="281"/>
      <c r="O1082" s="304"/>
      <c r="P1082" s="305"/>
      <c r="Q1082" s="306"/>
      <c r="R1082" s="289" t="str">
        <f t="shared" si="19"/>
        <v/>
      </c>
      <c r="S1082" s="241"/>
    </row>
    <row r="1083" spans="1:19" ht="18" customHeight="1">
      <c r="A1083" s="298"/>
      <c r="B1083" s="299"/>
      <c r="C1083" s="241"/>
      <c r="D1083" s="298"/>
      <c r="E1083" s="300"/>
      <c r="F1083" s="298"/>
      <c r="G1083" s="241"/>
      <c r="H1083" s="302"/>
      <c r="J1083" s="241"/>
      <c r="M1083" s="303"/>
      <c r="N1083" s="281"/>
      <c r="O1083" s="304"/>
      <c r="P1083" s="305"/>
      <c r="Q1083" s="306"/>
      <c r="R1083" s="289" t="str">
        <f t="shared" si="19"/>
        <v/>
      </c>
      <c r="S1083" s="241"/>
    </row>
    <row r="1084" spans="1:19" ht="18" customHeight="1">
      <c r="A1084" s="298"/>
      <c r="B1084" s="299"/>
      <c r="C1084" s="241"/>
      <c r="D1084" s="298"/>
      <c r="E1084" s="300"/>
      <c r="F1084" s="298"/>
      <c r="G1084" s="241"/>
      <c r="H1084" s="302"/>
      <c r="J1084" s="241"/>
      <c r="M1084" s="303"/>
      <c r="N1084" s="281"/>
      <c r="O1084" s="304"/>
      <c r="P1084" s="305"/>
      <c r="Q1084" s="306"/>
      <c r="R1084" s="289" t="str">
        <f t="shared" si="19"/>
        <v/>
      </c>
      <c r="S1084" s="241"/>
    </row>
    <row r="1085" spans="1:19" ht="18" customHeight="1">
      <c r="A1085" s="298"/>
      <c r="B1085" s="299"/>
      <c r="C1085" s="241"/>
      <c r="D1085" s="298"/>
      <c r="E1085" s="300"/>
      <c r="F1085" s="298"/>
      <c r="G1085" s="241"/>
      <c r="H1085" s="302"/>
      <c r="J1085" s="241"/>
      <c r="M1085" s="303"/>
      <c r="N1085" s="281"/>
      <c r="O1085" s="304"/>
      <c r="P1085" s="305"/>
      <c r="Q1085" s="306"/>
      <c r="R1085" s="289" t="str">
        <f t="shared" si="19"/>
        <v/>
      </c>
      <c r="S1085" s="241"/>
    </row>
    <row r="1086" spans="1:19" ht="18" customHeight="1">
      <c r="A1086" s="298"/>
      <c r="B1086" s="299"/>
      <c r="C1086" s="241"/>
      <c r="D1086" s="298"/>
      <c r="E1086" s="300"/>
      <c r="F1086" s="298"/>
      <c r="G1086" s="241"/>
      <c r="H1086" s="302"/>
      <c r="J1086" s="241"/>
      <c r="M1086" s="303"/>
      <c r="N1086" s="281"/>
      <c r="O1086" s="304"/>
      <c r="P1086" s="305"/>
      <c r="Q1086" s="306"/>
      <c r="R1086" s="289" t="str">
        <f t="shared" si="19"/>
        <v/>
      </c>
      <c r="S1086" s="241"/>
    </row>
    <row r="1087" spans="1:19" ht="18" customHeight="1">
      <c r="A1087" s="298"/>
      <c r="B1087" s="299"/>
      <c r="C1087" s="241"/>
      <c r="D1087" s="298"/>
      <c r="E1087" s="300"/>
      <c r="F1087" s="298"/>
      <c r="G1087" s="241"/>
      <c r="H1087" s="302"/>
      <c r="J1087" s="241"/>
      <c r="M1087" s="303"/>
      <c r="N1087" s="281"/>
      <c r="O1087" s="304"/>
      <c r="P1087" s="305"/>
      <c r="Q1087" s="306"/>
      <c r="R1087" s="289" t="str">
        <f t="shared" si="19"/>
        <v/>
      </c>
      <c r="S1087" s="241"/>
    </row>
    <row r="1088" spans="1:19" ht="18" customHeight="1">
      <c r="A1088" s="298"/>
      <c r="B1088" s="299"/>
      <c r="C1088" s="241"/>
      <c r="D1088" s="298"/>
      <c r="E1088" s="300"/>
      <c r="F1088" s="298"/>
      <c r="G1088" s="241"/>
      <c r="H1088" s="302"/>
      <c r="J1088" s="241"/>
      <c r="M1088" s="303"/>
      <c r="N1088" s="281"/>
      <c r="O1088" s="304"/>
      <c r="P1088" s="305"/>
      <c r="Q1088" s="306"/>
      <c r="R1088" s="289" t="str">
        <f t="shared" si="19"/>
        <v/>
      </c>
      <c r="S1088" s="241"/>
    </row>
    <row r="1089" spans="1:19" ht="18" customHeight="1">
      <c r="A1089" s="298"/>
      <c r="B1089" s="299"/>
      <c r="C1089" s="241"/>
      <c r="D1089" s="298"/>
      <c r="E1089" s="300"/>
      <c r="F1089" s="298"/>
      <c r="G1089" s="241"/>
      <c r="H1089" s="302"/>
      <c r="J1089" s="241"/>
      <c r="M1089" s="303"/>
      <c r="N1089" s="281"/>
      <c r="O1089" s="304"/>
      <c r="P1089" s="305"/>
      <c r="Q1089" s="306"/>
      <c r="R1089" s="289" t="str">
        <f t="shared" si="19"/>
        <v/>
      </c>
      <c r="S1089" s="241"/>
    </row>
    <row r="1090" spans="1:19" ht="18" customHeight="1">
      <c r="A1090" s="298"/>
      <c r="B1090" s="299"/>
      <c r="C1090" s="241"/>
      <c r="D1090" s="298"/>
      <c r="E1090" s="300"/>
      <c r="F1090" s="298"/>
      <c r="G1090" s="241"/>
      <c r="H1090" s="302"/>
      <c r="J1090" s="241"/>
      <c r="M1090" s="303"/>
      <c r="N1090" s="281"/>
      <c r="O1090" s="304"/>
      <c r="P1090" s="305"/>
      <c r="Q1090" s="306"/>
      <c r="R1090" s="289" t="str">
        <f t="shared" si="19"/>
        <v/>
      </c>
      <c r="S1090" s="241"/>
    </row>
    <row r="1091" spans="1:19" ht="18" customHeight="1">
      <c r="A1091" s="298"/>
      <c r="B1091" s="299"/>
      <c r="C1091" s="241"/>
      <c r="D1091" s="298"/>
      <c r="E1091" s="300"/>
      <c r="F1091" s="298"/>
      <c r="G1091" s="241"/>
      <c r="H1091" s="302"/>
      <c r="J1091" s="241"/>
      <c r="M1091" s="303"/>
      <c r="N1091" s="281"/>
      <c r="O1091" s="304"/>
      <c r="P1091" s="305"/>
      <c r="Q1091" s="306"/>
      <c r="R1091" s="289" t="str">
        <f t="shared" si="19"/>
        <v/>
      </c>
      <c r="S1091" s="241"/>
    </row>
    <row r="1092" spans="1:19" ht="18" customHeight="1">
      <c r="A1092" s="298"/>
      <c r="B1092" s="299"/>
      <c r="C1092" s="241"/>
      <c r="D1092" s="298"/>
      <c r="E1092" s="300"/>
      <c r="F1092" s="298"/>
      <c r="G1092" s="241"/>
      <c r="H1092" s="302"/>
      <c r="J1092" s="241"/>
      <c r="M1092" s="303"/>
      <c r="N1092" s="281"/>
      <c r="O1092" s="304"/>
      <c r="P1092" s="305"/>
      <c r="Q1092" s="306"/>
      <c r="R1092" s="289" t="str">
        <f t="shared" si="19"/>
        <v/>
      </c>
      <c r="S1092" s="241"/>
    </row>
    <row r="1093" spans="1:19" ht="18" customHeight="1">
      <c r="A1093" s="298"/>
      <c r="B1093" s="299"/>
      <c r="C1093" s="241"/>
      <c r="D1093" s="298"/>
      <c r="E1093" s="300"/>
      <c r="F1093" s="298"/>
      <c r="G1093" s="241"/>
      <c r="H1093" s="302"/>
      <c r="J1093" s="241"/>
      <c r="M1093" s="303"/>
      <c r="N1093" s="281"/>
      <c r="O1093" s="304"/>
      <c r="P1093" s="305"/>
      <c r="Q1093" s="306"/>
      <c r="R1093" s="289" t="str">
        <f t="shared" si="19"/>
        <v/>
      </c>
      <c r="S1093" s="241"/>
    </row>
    <row r="1094" spans="1:19" ht="18" customHeight="1">
      <c r="A1094" s="298"/>
      <c r="B1094" s="299"/>
      <c r="C1094" s="241"/>
      <c r="D1094" s="298"/>
      <c r="E1094" s="300"/>
      <c r="F1094" s="298"/>
      <c r="G1094" s="241"/>
      <c r="H1094" s="302"/>
      <c r="J1094" s="241"/>
      <c r="M1094" s="303"/>
      <c r="N1094" s="281"/>
      <c r="O1094" s="304"/>
      <c r="P1094" s="305"/>
      <c r="Q1094" s="306"/>
      <c r="R1094" s="289" t="str">
        <f t="shared" si="19"/>
        <v/>
      </c>
      <c r="S1094" s="241"/>
    </row>
    <row r="1095" spans="1:19" ht="18" customHeight="1">
      <c r="A1095" s="298"/>
      <c r="B1095" s="299"/>
      <c r="C1095" s="241"/>
      <c r="D1095" s="298"/>
      <c r="E1095" s="300"/>
      <c r="F1095" s="298"/>
      <c r="G1095" s="241"/>
      <c r="H1095" s="302"/>
      <c r="J1095" s="241"/>
      <c r="M1095" s="303"/>
      <c r="N1095" s="281"/>
      <c r="O1095" s="304"/>
      <c r="P1095" s="305"/>
      <c r="Q1095" s="306"/>
      <c r="R1095" s="289" t="str">
        <f t="shared" si="19"/>
        <v/>
      </c>
      <c r="S1095" s="241"/>
    </row>
    <row r="1096" spans="1:19" ht="18" customHeight="1">
      <c r="A1096" s="298"/>
      <c r="B1096" s="299"/>
      <c r="C1096" s="241"/>
      <c r="D1096" s="298"/>
      <c r="E1096" s="300"/>
      <c r="F1096" s="298"/>
      <c r="G1096" s="241"/>
      <c r="H1096" s="302"/>
      <c r="J1096" s="241"/>
      <c r="M1096" s="303"/>
      <c r="N1096" s="281"/>
      <c r="O1096" s="304"/>
      <c r="P1096" s="305"/>
      <c r="Q1096" s="306"/>
      <c r="R1096" s="289" t="str">
        <f t="shared" si="19"/>
        <v/>
      </c>
      <c r="S1096" s="241"/>
    </row>
    <row r="1097" spans="1:19" ht="18" customHeight="1">
      <c r="A1097" s="298"/>
      <c r="B1097" s="299"/>
      <c r="C1097" s="241"/>
      <c r="D1097" s="298"/>
      <c r="E1097" s="300"/>
      <c r="F1097" s="298"/>
      <c r="G1097" s="241"/>
      <c r="H1097" s="302"/>
      <c r="J1097" s="241"/>
      <c r="M1097" s="303"/>
      <c r="N1097" s="281"/>
      <c r="O1097" s="304"/>
      <c r="P1097" s="305"/>
      <c r="Q1097" s="306"/>
      <c r="R1097" s="289" t="str">
        <f t="shared" si="19"/>
        <v/>
      </c>
      <c r="S1097" s="241"/>
    </row>
    <row r="1098" spans="1:19" ht="18" customHeight="1">
      <c r="A1098" s="298"/>
      <c r="B1098" s="299"/>
      <c r="C1098" s="241"/>
      <c r="D1098" s="298"/>
      <c r="E1098" s="300"/>
      <c r="F1098" s="298"/>
      <c r="G1098" s="241"/>
      <c r="H1098" s="302"/>
      <c r="J1098" s="241"/>
      <c r="M1098" s="303"/>
      <c r="N1098" s="281"/>
      <c r="O1098" s="304"/>
      <c r="P1098" s="305"/>
      <c r="Q1098" s="306"/>
      <c r="R1098" s="289" t="str">
        <f t="shared" si="19"/>
        <v/>
      </c>
      <c r="S1098" s="241"/>
    </row>
    <row r="1099" spans="1:19" ht="18" customHeight="1">
      <c r="A1099" s="298"/>
      <c r="B1099" s="299"/>
      <c r="C1099" s="241"/>
      <c r="D1099" s="298"/>
      <c r="E1099" s="300"/>
      <c r="F1099" s="298"/>
      <c r="G1099" s="241"/>
      <c r="H1099" s="302"/>
      <c r="J1099" s="241"/>
      <c r="M1099" s="303"/>
      <c r="N1099" s="281"/>
      <c r="O1099" s="304"/>
      <c r="P1099" s="305"/>
      <c r="Q1099" s="306"/>
      <c r="R1099" s="289" t="str">
        <f t="shared" si="19"/>
        <v/>
      </c>
      <c r="S1099" s="241"/>
    </row>
    <row r="1100" spans="1:19" ht="18" customHeight="1">
      <c r="A1100" s="298"/>
      <c r="B1100" s="299"/>
      <c r="C1100" s="241"/>
      <c r="D1100" s="298"/>
      <c r="E1100" s="300"/>
      <c r="F1100" s="298"/>
      <c r="G1100" s="241"/>
      <c r="H1100" s="302"/>
      <c r="J1100" s="241"/>
      <c r="M1100" s="303"/>
      <c r="N1100" s="281"/>
      <c r="O1100" s="304"/>
      <c r="P1100" s="305"/>
      <c r="Q1100" s="306"/>
      <c r="R1100" s="289" t="str">
        <f t="shared" si="19"/>
        <v/>
      </c>
      <c r="S1100" s="241"/>
    </row>
    <row r="1101" spans="1:19" ht="18" customHeight="1">
      <c r="A1101" s="298"/>
      <c r="B1101" s="299"/>
      <c r="C1101" s="241"/>
      <c r="D1101" s="298"/>
      <c r="E1101" s="300"/>
      <c r="F1101" s="298"/>
      <c r="G1101" s="241"/>
      <c r="H1101" s="302"/>
      <c r="J1101" s="241"/>
      <c r="M1101" s="303"/>
      <c r="N1101" s="281"/>
      <c r="O1101" s="304"/>
      <c r="P1101" s="305"/>
      <c r="Q1101" s="306"/>
      <c r="R1101" s="289" t="str">
        <f t="shared" si="19"/>
        <v/>
      </c>
      <c r="S1101" s="241"/>
    </row>
    <row r="1102" spans="1:19" ht="18" customHeight="1">
      <c r="A1102" s="298"/>
      <c r="B1102" s="299"/>
      <c r="C1102" s="241"/>
      <c r="D1102" s="298"/>
      <c r="E1102" s="300"/>
      <c r="F1102" s="298"/>
      <c r="G1102" s="241"/>
      <c r="H1102" s="302"/>
      <c r="J1102" s="241"/>
      <c r="M1102" s="303"/>
      <c r="N1102" s="281"/>
      <c r="O1102" s="304"/>
      <c r="P1102" s="305"/>
      <c r="Q1102" s="306"/>
      <c r="R1102" s="289" t="str">
        <f t="shared" si="19"/>
        <v/>
      </c>
      <c r="S1102" s="241"/>
    </row>
    <row r="1103" spans="1:19" ht="18" customHeight="1">
      <c r="A1103" s="298"/>
      <c r="B1103" s="299"/>
      <c r="C1103" s="241"/>
      <c r="D1103" s="298"/>
      <c r="E1103" s="300"/>
      <c r="F1103" s="298"/>
      <c r="G1103" s="241"/>
      <c r="H1103" s="302"/>
      <c r="J1103" s="241"/>
      <c r="M1103" s="303"/>
      <c r="N1103" s="281"/>
      <c r="O1103" s="304"/>
      <c r="P1103" s="305"/>
      <c r="Q1103" s="306"/>
      <c r="R1103" s="289" t="str">
        <f t="shared" si="19"/>
        <v/>
      </c>
      <c r="S1103" s="241"/>
    </row>
    <row r="1104" spans="1:19" ht="18" customHeight="1">
      <c r="A1104" s="298"/>
      <c r="B1104" s="299"/>
      <c r="C1104" s="241"/>
      <c r="D1104" s="298"/>
      <c r="E1104" s="300"/>
      <c r="F1104" s="298"/>
      <c r="G1104" s="241"/>
      <c r="H1104" s="302"/>
      <c r="J1104" s="241"/>
      <c r="M1104" s="303"/>
      <c r="N1104" s="281"/>
      <c r="O1104" s="304"/>
      <c r="P1104" s="305"/>
      <c r="Q1104" s="306"/>
      <c r="R1104" s="289" t="str">
        <f t="shared" si="19"/>
        <v/>
      </c>
      <c r="S1104" s="241"/>
    </row>
    <row r="1105" spans="1:19" ht="18" customHeight="1">
      <c r="A1105" s="298"/>
      <c r="B1105" s="299"/>
      <c r="C1105" s="241"/>
      <c r="D1105" s="298"/>
      <c r="E1105" s="300"/>
      <c r="F1105" s="298"/>
      <c r="G1105" s="241"/>
      <c r="H1105" s="302"/>
      <c r="J1105" s="241"/>
      <c r="M1105" s="303"/>
      <c r="N1105" s="281"/>
      <c r="O1105" s="304"/>
      <c r="P1105" s="305"/>
      <c r="Q1105" s="306"/>
      <c r="R1105" s="289" t="str">
        <f t="shared" si="19"/>
        <v/>
      </c>
      <c r="S1105" s="241"/>
    </row>
    <row r="1106" spans="1:19" ht="18" customHeight="1">
      <c r="A1106" s="298"/>
      <c r="B1106" s="299"/>
      <c r="C1106" s="241"/>
      <c r="D1106" s="298"/>
      <c r="E1106" s="300"/>
      <c r="F1106" s="298"/>
      <c r="G1106" s="241"/>
      <c r="H1106" s="302"/>
      <c r="J1106" s="241"/>
      <c r="M1106" s="303"/>
      <c r="N1106" s="281"/>
      <c r="O1106" s="304"/>
      <c r="P1106" s="305"/>
      <c r="Q1106" s="306"/>
      <c r="R1106" s="289" t="str">
        <f t="shared" si="19"/>
        <v/>
      </c>
      <c r="S1106" s="241"/>
    </row>
    <row r="1107" spans="1:19" ht="18" customHeight="1">
      <c r="A1107" s="298"/>
      <c r="B1107" s="299"/>
      <c r="C1107" s="241"/>
      <c r="D1107" s="298"/>
      <c r="E1107" s="300"/>
      <c r="F1107" s="298"/>
      <c r="G1107" s="241"/>
      <c r="H1107" s="302"/>
      <c r="J1107" s="241"/>
      <c r="M1107" s="303"/>
      <c r="N1107" s="281"/>
      <c r="O1107" s="304"/>
      <c r="P1107" s="305"/>
      <c r="Q1107" s="306"/>
      <c r="R1107" s="289" t="str">
        <f t="shared" si="19"/>
        <v/>
      </c>
      <c r="S1107" s="241"/>
    </row>
    <row r="1108" spans="1:19" ht="18" customHeight="1">
      <c r="A1108" s="298"/>
      <c r="B1108" s="299"/>
      <c r="C1108" s="241"/>
      <c r="D1108" s="298"/>
      <c r="E1108" s="300"/>
      <c r="F1108" s="298"/>
      <c r="G1108" s="241"/>
      <c r="H1108" s="302"/>
      <c r="J1108" s="241"/>
      <c r="M1108" s="303"/>
      <c r="N1108" s="281"/>
      <c r="O1108" s="304"/>
      <c r="P1108" s="305"/>
      <c r="Q1108" s="306"/>
      <c r="R1108" s="289" t="str">
        <f t="shared" si="19"/>
        <v/>
      </c>
      <c r="S1108" s="241"/>
    </row>
    <row r="1109" spans="1:19" ht="18" customHeight="1">
      <c r="A1109" s="298"/>
      <c r="B1109" s="299"/>
      <c r="C1109" s="241"/>
      <c r="D1109" s="298"/>
      <c r="E1109" s="300"/>
      <c r="F1109" s="298"/>
      <c r="G1109" s="241"/>
      <c r="H1109" s="302"/>
      <c r="J1109" s="241"/>
      <c r="M1109" s="303"/>
      <c r="N1109" s="281"/>
      <c r="O1109" s="304"/>
      <c r="P1109" s="305"/>
      <c r="Q1109" s="306"/>
      <c r="R1109" s="289" t="str">
        <f t="shared" si="19"/>
        <v/>
      </c>
      <c r="S1109" s="241"/>
    </row>
    <row r="1110" spans="1:19" ht="18" customHeight="1">
      <c r="A1110" s="298"/>
      <c r="B1110" s="299"/>
      <c r="C1110" s="241"/>
      <c r="D1110" s="298"/>
      <c r="E1110" s="300"/>
      <c r="F1110" s="298"/>
      <c r="G1110" s="241"/>
      <c r="H1110" s="302"/>
      <c r="J1110" s="241"/>
      <c r="M1110" s="303"/>
      <c r="N1110" s="281"/>
      <c r="O1110" s="304"/>
      <c r="P1110" s="305"/>
      <c r="Q1110" s="306"/>
      <c r="R1110" s="289" t="str">
        <f t="shared" si="19"/>
        <v/>
      </c>
      <c r="S1110" s="241"/>
    </row>
    <row r="1111" spans="1:19" ht="18" customHeight="1">
      <c r="A1111" s="298"/>
      <c r="B1111" s="299"/>
      <c r="C1111" s="241"/>
      <c r="D1111" s="298"/>
      <c r="E1111" s="300"/>
      <c r="F1111" s="298"/>
      <c r="G1111" s="241"/>
      <c r="H1111" s="302"/>
      <c r="J1111" s="241"/>
      <c r="M1111" s="303"/>
      <c r="N1111" s="281"/>
      <c r="O1111" s="304"/>
      <c r="P1111" s="305"/>
      <c r="Q1111" s="306"/>
      <c r="R1111" s="289" t="str">
        <f t="shared" si="19"/>
        <v/>
      </c>
      <c r="S1111" s="241"/>
    </row>
    <row r="1112" spans="1:19" ht="18" customHeight="1">
      <c r="A1112" s="298"/>
      <c r="B1112" s="299"/>
      <c r="C1112" s="241"/>
      <c r="D1112" s="298"/>
      <c r="E1112" s="300"/>
      <c r="F1112" s="298"/>
      <c r="G1112" s="241"/>
      <c r="H1112" s="302"/>
      <c r="J1112" s="241"/>
      <c r="M1112" s="303"/>
      <c r="N1112" s="281"/>
      <c r="O1112" s="304"/>
      <c r="P1112" s="305"/>
      <c r="Q1112" s="306"/>
      <c r="R1112" s="289" t="str">
        <f t="shared" si="19"/>
        <v/>
      </c>
      <c r="S1112" s="241"/>
    </row>
    <row r="1113" spans="1:19" ht="18" customHeight="1">
      <c r="A1113" s="298"/>
      <c r="B1113" s="299"/>
      <c r="C1113" s="241"/>
      <c r="D1113" s="298"/>
      <c r="E1113" s="300"/>
      <c r="F1113" s="298"/>
      <c r="G1113" s="241"/>
      <c r="H1113" s="302"/>
      <c r="J1113" s="241"/>
      <c r="M1113" s="303"/>
      <c r="N1113" s="281"/>
      <c r="O1113" s="304"/>
      <c r="P1113" s="305"/>
      <c r="Q1113" s="306"/>
      <c r="R1113" s="289" t="str">
        <f t="shared" si="19"/>
        <v/>
      </c>
      <c r="S1113" s="241"/>
    </row>
    <row r="1114" spans="1:19" ht="18" customHeight="1">
      <c r="A1114" s="298"/>
      <c r="B1114" s="299"/>
      <c r="C1114" s="241"/>
      <c r="D1114" s="298"/>
      <c r="E1114" s="300"/>
      <c r="F1114" s="298"/>
      <c r="G1114" s="241"/>
      <c r="H1114" s="302"/>
      <c r="J1114" s="241"/>
      <c r="M1114" s="303"/>
      <c r="N1114" s="281"/>
      <c r="O1114" s="304"/>
      <c r="P1114" s="305"/>
      <c r="Q1114" s="306"/>
      <c r="R1114" s="289" t="str">
        <f t="shared" ref="R1114:R1177" si="20">IF(SUM(Q1114)&gt;0,SUM(Q1114-P1114),"")</f>
        <v/>
      </c>
      <c r="S1114" s="241"/>
    </row>
    <row r="1115" spans="1:19" ht="18" customHeight="1">
      <c r="A1115" s="298"/>
      <c r="B1115" s="299"/>
      <c r="C1115" s="241"/>
      <c r="D1115" s="298"/>
      <c r="E1115" s="300"/>
      <c r="F1115" s="298"/>
      <c r="G1115" s="241"/>
      <c r="H1115" s="302"/>
      <c r="J1115" s="241"/>
      <c r="M1115" s="303"/>
      <c r="N1115" s="281"/>
      <c r="O1115" s="304"/>
      <c r="P1115" s="305"/>
      <c r="Q1115" s="306"/>
      <c r="R1115" s="289" t="str">
        <f t="shared" si="20"/>
        <v/>
      </c>
      <c r="S1115" s="241"/>
    </row>
    <row r="1116" spans="1:19" ht="18" customHeight="1">
      <c r="A1116" s="298"/>
      <c r="B1116" s="299"/>
      <c r="C1116" s="241"/>
      <c r="D1116" s="298"/>
      <c r="E1116" s="300"/>
      <c r="F1116" s="298"/>
      <c r="G1116" s="241"/>
      <c r="H1116" s="302"/>
      <c r="J1116" s="241"/>
      <c r="M1116" s="303"/>
      <c r="N1116" s="281"/>
      <c r="O1116" s="304"/>
      <c r="P1116" s="305"/>
      <c r="Q1116" s="306"/>
      <c r="R1116" s="289" t="str">
        <f t="shared" si="20"/>
        <v/>
      </c>
      <c r="S1116" s="241"/>
    </row>
    <row r="1117" spans="1:19" ht="18" customHeight="1">
      <c r="A1117" s="298"/>
      <c r="B1117" s="299"/>
      <c r="C1117" s="241"/>
      <c r="D1117" s="298"/>
      <c r="E1117" s="300"/>
      <c r="F1117" s="298"/>
      <c r="G1117" s="241"/>
      <c r="H1117" s="302"/>
      <c r="J1117" s="241"/>
      <c r="M1117" s="303"/>
      <c r="N1117" s="281"/>
      <c r="O1117" s="304"/>
      <c r="P1117" s="305"/>
      <c r="Q1117" s="306"/>
      <c r="R1117" s="289" t="str">
        <f t="shared" si="20"/>
        <v/>
      </c>
      <c r="S1117" s="241"/>
    </row>
    <row r="1118" spans="1:19" ht="18" customHeight="1">
      <c r="A1118" s="298"/>
      <c r="B1118" s="299"/>
      <c r="C1118" s="241"/>
      <c r="D1118" s="298"/>
      <c r="E1118" s="300"/>
      <c r="F1118" s="298"/>
      <c r="G1118" s="241"/>
      <c r="H1118" s="302"/>
      <c r="J1118" s="241"/>
      <c r="M1118" s="303"/>
      <c r="N1118" s="281"/>
      <c r="O1118" s="304"/>
      <c r="P1118" s="305"/>
      <c r="Q1118" s="306"/>
      <c r="R1118" s="289" t="str">
        <f t="shared" si="20"/>
        <v/>
      </c>
      <c r="S1118" s="241"/>
    </row>
    <row r="1119" spans="1:19" ht="18" customHeight="1">
      <c r="A1119" s="298"/>
      <c r="B1119" s="299"/>
      <c r="C1119" s="241"/>
      <c r="D1119" s="298"/>
      <c r="E1119" s="300"/>
      <c r="F1119" s="298"/>
      <c r="G1119" s="241"/>
      <c r="H1119" s="302"/>
      <c r="J1119" s="241"/>
      <c r="M1119" s="303"/>
      <c r="N1119" s="281"/>
      <c r="O1119" s="304"/>
      <c r="P1119" s="305"/>
      <c r="Q1119" s="306"/>
      <c r="R1119" s="289" t="str">
        <f t="shared" si="20"/>
        <v/>
      </c>
      <c r="S1119" s="241"/>
    </row>
    <row r="1120" spans="1:19" ht="18" customHeight="1">
      <c r="A1120" s="298"/>
      <c r="B1120" s="299"/>
      <c r="C1120" s="241"/>
      <c r="D1120" s="298"/>
      <c r="E1120" s="300"/>
      <c r="F1120" s="298"/>
      <c r="G1120" s="241"/>
      <c r="H1120" s="302"/>
      <c r="J1120" s="241"/>
      <c r="M1120" s="303"/>
      <c r="N1120" s="281"/>
      <c r="O1120" s="304"/>
      <c r="P1120" s="305"/>
      <c r="Q1120" s="306"/>
      <c r="R1120" s="289" t="str">
        <f t="shared" si="20"/>
        <v/>
      </c>
      <c r="S1120" s="241"/>
    </row>
    <row r="1121" spans="1:19" ht="18" customHeight="1">
      <c r="A1121" s="298"/>
      <c r="B1121" s="299"/>
      <c r="C1121" s="241"/>
      <c r="D1121" s="298"/>
      <c r="E1121" s="300"/>
      <c r="F1121" s="298"/>
      <c r="G1121" s="241"/>
      <c r="H1121" s="302"/>
      <c r="J1121" s="241"/>
      <c r="M1121" s="303"/>
      <c r="N1121" s="281"/>
      <c r="O1121" s="304"/>
      <c r="P1121" s="305"/>
      <c r="Q1121" s="306"/>
      <c r="R1121" s="289" t="str">
        <f t="shared" si="20"/>
        <v/>
      </c>
      <c r="S1121" s="241"/>
    </row>
    <row r="1122" spans="1:19" ht="18" customHeight="1">
      <c r="A1122" s="298"/>
      <c r="B1122" s="299"/>
      <c r="C1122" s="241"/>
      <c r="D1122" s="298"/>
      <c r="E1122" s="300"/>
      <c r="F1122" s="298"/>
      <c r="G1122" s="241"/>
      <c r="H1122" s="302"/>
      <c r="J1122" s="241"/>
      <c r="M1122" s="303"/>
      <c r="N1122" s="281"/>
      <c r="O1122" s="304"/>
      <c r="P1122" s="305"/>
      <c r="Q1122" s="306"/>
      <c r="R1122" s="289" t="str">
        <f t="shared" si="20"/>
        <v/>
      </c>
      <c r="S1122" s="241"/>
    </row>
    <row r="1123" spans="1:19" ht="18" customHeight="1">
      <c r="A1123" s="298"/>
      <c r="B1123" s="299"/>
      <c r="C1123" s="241"/>
      <c r="D1123" s="298"/>
      <c r="E1123" s="300"/>
      <c r="F1123" s="298"/>
      <c r="G1123" s="241"/>
      <c r="H1123" s="302"/>
      <c r="J1123" s="241"/>
      <c r="M1123" s="303"/>
      <c r="N1123" s="281"/>
      <c r="O1123" s="304"/>
      <c r="P1123" s="305"/>
      <c r="Q1123" s="306"/>
      <c r="R1123" s="289" t="str">
        <f t="shared" si="20"/>
        <v/>
      </c>
      <c r="S1123" s="241"/>
    </row>
    <row r="1124" spans="1:19" ht="18" customHeight="1">
      <c r="A1124" s="298"/>
      <c r="B1124" s="299"/>
      <c r="C1124" s="241"/>
      <c r="D1124" s="298"/>
      <c r="E1124" s="300"/>
      <c r="F1124" s="298"/>
      <c r="G1124" s="241"/>
      <c r="H1124" s="302"/>
      <c r="J1124" s="241"/>
      <c r="M1124" s="303"/>
      <c r="N1124" s="281"/>
      <c r="O1124" s="304"/>
      <c r="P1124" s="305"/>
      <c r="Q1124" s="306"/>
      <c r="R1124" s="289" t="str">
        <f t="shared" si="20"/>
        <v/>
      </c>
      <c r="S1124" s="241"/>
    </row>
    <row r="1125" spans="1:19" ht="18" customHeight="1">
      <c r="A1125" s="298"/>
      <c r="B1125" s="299"/>
      <c r="C1125" s="241"/>
      <c r="D1125" s="298"/>
      <c r="E1125" s="300"/>
      <c r="F1125" s="298"/>
      <c r="G1125" s="241"/>
      <c r="H1125" s="302"/>
      <c r="J1125" s="241"/>
      <c r="M1125" s="303"/>
      <c r="N1125" s="281"/>
      <c r="O1125" s="304"/>
      <c r="P1125" s="305"/>
      <c r="Q1125" s="306"/>
      <c r="R1125" s="289" t="str">
        <f t="shared" si="20"/>
        <v/>
      </c>
      <c r="S1125" s="241"/>
    </row>
    <row r="1126" spans="1:19" ht="18" customHeight="1">
      <c r="A1126" s="298"/>
      <c r="B1126" s="299"/>
      <c r="C1126" s="241"/>
      <c r="D1126" s="298"/>
      <c r="E1126" s="300"/>
      <c r="F1126" s="298"/>
      <c r="G1126" s="241"/>
      <c r="H1126" s="302"/>
      <c r="J1126" s="241"/>
      <c r="M1126" s="303"/>
      <c r="N1126" s="281"/>
      <c r="O1126" s="304"/>
      <c r="P1126" s="305"/>
      <c r="Q1126" s="306"/>
      <c r="R1126" s="289" t="str">
        <f t="shared" si="20"/>
        <v/>
      </c>
      <c r="S1126" s="241"/>
    </row>
    <row r="1127" spans="1:19" ht="18" customHeight="1">
      <c r="A1127" s="298"/>
      <c r="B1127" s="299"/>
      <c r="C1127" s="241"/>
      <c r="D1127" s="298"/>
      <c r="E1127" s="300"/>
      <c r="F1127" s="298"/>
      <c r="G1127" s="241"/>
      <c r="H1127" s="302"/>
      <c r="J1127" s="241"/>
      <c r="M1127" s="303"/>
      <c r="N1127" s="281"/>
      <c r="O1127" s="304"/>
      <c r="P1127" s="305"/>
      <c r="Q1127" s="306"/>
      <c r="R1127" s="289" t="str">
        <f t="shared" si="20"/>
        <v/>
      </c>
      <c r="S1127" s="241"/>
    </row>
    <row r="1128" spans="1:19" ht="18" customHeight="1">
      <c r="A1128" s="298"/>
      <c r="B1128" s="299"/>
      <c r="C1128" s="241"/>
      <c r="D1128" s="298"/>
      <c r="E1128" s="300"/>
      <c r="F1128" s="298"/>
      <c r="G1128" s="241"/>
      <c r="H1128" s="302"/>
      <c r="J1128" s="241"/>
      <c r="M1128" s="303"/>
      <c r="N1128" s="281"/>
      <c r="O1128" s="304"/>
      <c r="P1128" s="305"/>
      <c r="Q1128" s="306"/>
      <c r="R1128" s="289" t="str">
        <f t="shared" si="20"/>
        <v/>
      </c>
      <c r="S1128" s="241"/>
    </row>
    <row r="1129" spans="1:19" ht="18" customHeight="1">
      <c r="A1129" s="298"/>
      <c r="B1129" s="299"/>
      <c r="C1129" s="241"/>
      <c r="D1129" s="298"/>
      <c r="E1129" s="300"/>
      <c r="F1129" s="298"/>
      <c r="G1129" s="241"/>
      <c r="H1129" s="302"/>
      <c r="J1129" s="241"/>
      <c r="M1129" s="303"/>
      <c r="N1129" s="281"/>
      <c r="O1129" s="304"/>
      <c r="P1129" s="305"/>
      <c r="Q1129" s="306"/>
      <c r="R1129" s="289" t="str">
        <f t="shared" si="20"/>
        <v/>
      </c>
      <c r="S1129" s="241"/>
    </row>
    <row r="1130" spans="1:19" ht="18" customHeight="1">
      <c r="A1130" s="298"/>
      <c r="B1130" s="299"/>
      <c r="C1130" s="241"/>
      <c r="D1130" s="298"/>
      <c r="E1130" s="300"/>
      <c r="F1130" s="298"/>
      <c r="G1130" s="241"/>
      <c r="H1130" s="302"/>
      <c r="J1130" s="241"/>
      <c r="M1130" s="303"/>
      <c r="N1130" s="281"/>
      <c r="O1130" s="304"/>
      <c r="P1130" s="305"/>
      <c r="Q1130" s="306"/>
      <c r="R1130" s="289" t="str">
        <f t="shared" si="20"/>
        <v/>
      </c>
      <c r="S1130" s="241"/>
    </row>
    <row r="1131" spans="1:19" ht="18" customHeight="1">
      <c r="A1131" s="298"/>
      <c r="B1131" s="299"/>
      <c r="C1131" s="241"/>
      <c r="D1131" s="298"/>
      <c r="E1131" s="300"/>
      <c r="F1131" s="298"/>
      <c r="G1131" s="241"/>
      <c r="H1131" s="302"/>
      <c r="J1131" s="241"/>
      <c r="M1131" s="303"/>
      <c r="N1131" s="281"/>
      <c r="O1131" s="304"/>
      <c r="P1131" s="305"/>
      <c r="Q1131" s="306"/>
      <c r="R1131" s="289" t="str">
        <f t="shared" si="20"/>
        <v/>
      </c>
      <c r="S1131" s="241"/>
    </row>
    <row r="1132" spans="1:19" ht="18" customHeight="1">
      <c r="A1132" s="298"/>
      <c r="B1132" s="299"/>
      <c r="C1132" s="241"/>
      <c r="D1132" s="298"/>
      <c r="E1132" s="300"/>
      <c r="F1132" s="298"/>
      <c r="G1132" s="241"/>
      <c r="H1132" s="302"/>
      <c r="J1132" s="241"/>
      <c r="M1132" s="303"/>
      <c r="N1132" s="281"/>
      <c r="O1132" s="304"/>
      <c r="P1132" s="305"/>
      <c r="Q1132" s="306"/>
      <c r="R1132" s="289" t="str">
        <f t="shared" si="20"/>
        <v/>
      </c>
      <c r="S1132" s="241"/>
    </row>
    <row r="1133" spans="1:19" ht="18" customHeight="1">
      <c r="A1133" s="298"/>
      <c r="B1133" s="299"/>
      <c r="C1133" s="241"/>
      <c r="D1133" s="298"/>
      <c r="E1133" s="300"/>
      <c r="F1133" s="298"/>
      <c r="G1133" s="241"/>
      <c r="H1133" s="302"/>
      <c r="J1133" s="241"/>
      <c r="M1133" s="303"/>
      <c r="N1133" s="281"/>
      <c r="O1133" s="304"/>
      <c r="P1133" s="305"/>
      <c r="Q1133" s="306"/>
      <c r="R1133" s="289" t="str">
        <f t="shared" si="20"/>
        <v/>
      </c>
      <c r="S1133" s="241"/>
    </row>
    <row r="1134" spans="1:19" ht="18" customHeight="1">
      <c r="A1134" s="298"/>
      <c r="B1134" s="299"/>
      <c r="C1134" s="241"/>
      <c r="D1134" s="298"/>
      <c r="E1134" s="300"/>
      <c r="F1134" s="298"/>
      <c r="G1134" s="241"/>
      <c r="H1134" s="302"/>
      <c r="J1134" s="241"/>
      <c r="M1134" s="303"/>
      <c r="N1134" s="281"/>
      <c r="O1134" s="304"/>
      <c r="P1134" s="305"/>
      <c r="Q1134" s="306"/>
      <c r="R1134" s="289" t="str">
        <f t="shared" si="20"/>
        <v/>
      </c>
      <c r="S1134" s="241"/>
    </row>
    <row r="1135" spans="1:19" ht="18" customHeight="1">
      <c r="A1135" s="298"/>
      <c r="B1135" s="299"/>
      <c r="C1135" s="241"/>
      <c r="D1135" s="298"/>
      <c r="E1135" s="300"/>
      <c r="F1135" s="298"/>
      <c r="G1135" s="241"/>
      <c r="H1135" s="302"/>
      <c r="J1135" s="241"/>
      <c r="M1135" s="303"/>
      <c r="N1135" s="281"/>
      <c r="O1135" s="304"/>
      <c r="P1135" s="305"/>
      <c r="Q1135" s="306"/>
      <c r="R1135" s="289" t="str">
        <f t="shared" si="20"/>
        <v/>
      </c>
      <c r="S1135" s="241"/>
    </row>
    <row r="1136" spans="1:19" ht="18" customHeight="1">
      <c r="A1136" s="298"/>
      <c r="B1136" s="299"/>
      <c r="C1136" s="241"/>
      <c r="D1136" s="298"/>
      <c r="E1136" s="300"/>
      <c r="F1136" s="298"/>
      <c r="G1136" s="241"/>
      <c r="H1136" s="302"/>
      <c r="J1136" s="241"/>
      <c r="M1136" s="303"/>
      <c r="N1136" s="281"/>
      <c r="O1136" s="304"/>
      <c r="P1136" s="305"/>
      <c r="Q1136" s="306"/>
      <c r="R1136" s="289" t="str">
        <f t="shared" si="20"/>
        <v/>
      </c>
      <c r="S1136" s="241"/>
    </row>
    <row r="1137" spans="1:19" ht="18" customHeight="1">
      <c r="A1137" s="298"/>
      <c r="B1137" s="299"/>
      <c r="C1137" s="241"/>
      <c r="D1137" s="298"/>
      <c r="E1137" s="300"/>
      <c r="F1137" s="298"/>
      <c r="G1137" s="241"/>
      <c r="H1137" s="302"/>
      <c r="J1137" s="241"/>
      <c r="M1137" s="303"/>
      <c r="N1137" s="281"/>
      <c r="O1137" s="304"/>
      <c r="P1137" s="305"/>
      <c r="Q1137" s="306"/>
      <c r="R1137" s="289" t="str">
        <f t="shared" si="20"/>
        <v/>
      </c>
      <c r="S1137" s="241"/>
    </row>
    <row r="1138" spans="1:19" ht="18" customHeight="1">
      <c r="A1138" s="298"/>
      <c r="B1138" s="299"/>
      <c r="C1138" s="241"/>
      <c r="D1138" s="298"/>
      <c r="E1138" s="300"/>
      <c r="F1138" s="298"/>
      <c r="G1138" s="241"/>
      <c r="H1138" s="302"/>
      <c r="J1138" s="241"/>
      <c r="M1138" s="303"/>
      <c r="N1138" s="281"/>
      <c r="O1138" s="304"/>
      <c r="P1138" s="305"/>
      <c r="Q1138" s="306"/>
      <c r="R1138" s="289" t="str">
        <f t="shared" si="20"/>
        <v/>
      </c>
      <c r="S1138" s="241"/>
    </row>
    <row r="1139" spans="1:19" ht="18" customHeight="1">
      <c r="A1139" s="298"/>
      <c r="B1139" s="299"/>
      <c r="C1139" s="241"/>
      <c r="D1139" s="298"/>
      <c r="E1139" s="300"/>
      <c r="F1139" s="298"/>
      <c r="G1139" s="241"/>
      <c r="H1139" s="302"/>
      <c r="J1139" s="241"/>
      <c r="M1139" s="303"/>
      <c r="N1139" s="281"/>
      <c r="O1139" s="304"/>
      <c r="P1139" s="305"/>
      <c r="Q1139" s="306"/>
      <c r="R1139" s="289" t="str">
        <f t="shared" si="20"/>
        <v/>
      </c>
      <c r="S1139" s="241"/>
    </row>
    <row r="1140" spans="1:19" ht="18" customHeight="1">
      <c r="A1140" s="298"/>
      <c r="B1140" s="299"/>
      <c r="C1140" s="241"/>
      <c r="D1140" s="298"/>
      <c r="E1140" s="300"/>
      <c r="F1140" s="298"/>
      <c r="G1140" s="241"/>
      <c r="H1140" s="302"/>
      <c r="J1140" s="241"/>
      <c r="M1140" s="303"/>
      <c r="N1140" s="281"/>
      <c r="O1140" s="304"/>
      <c r="P1140" s="305"/>
      <c r="Q1140" s="306"/>
      <c r="R1140" s="289" t="str">
        <f t="shared" si="20"/>
        <v/>
      </c>
      <c r="S1140" s="241"/>
    </row>
    <row r="1141" spans="1:19" ht="18" customHeight="1">
      <c r="A1141" s="298"/>
      <c r="B1141" s="299"/>
      <c r="C1141" s="241"/>
      <c r="D1141" s="298"/>
      <c r="E1141" s="300"/>
      <c r="F1141" s="298"/>
      <c r="G1141" s="241"/>
      <c r="H1141" s="302"/>
      <c r="J1141" s="241"/>
      <c r="M1141" s="303"/>
      <c r="N1141" s="281"/>
      <c r="O1141" s="304"/>
      <c r="P1141" s="305"/>
      <c r="Q1141" s="306"/>
      <c r="R1141" s="289" t="str">
        <f t="shared" si="20"/>
        <v/>
      </c>
      <c r="S1141" s="241"/>
    </row>
    <row r="1142" spans="1:19" ht="18" customHeight="1">
      <c r="A1142" s="298"/>
      <c r="B1142" s="299"/>
      <c r="C1142" s="241"/>
      <c r="D1142" s="298"/>
      <c r="E1142" s="300"/>
      <c r="F1142" s="298"/>
      <c r="G1142" s="241"/>
      <c r="H1142" s="302"/>
      <c r="J1142" s="241"/>
      <c r="M1142" s="303"/>
      <c r="N1142" s="281"/>
      <c r="O1142" s="304"/>
      <c r="P1142" s="305"/>
      <c r="Q1142" s="306"/>
      <c r="R1142" s="289" t="str">
        <f t="shared" si="20"/>
        <v/>
      </c>
      <c r="S1142" s="241"/>
    </row>
    <row r="1143" spans="1:19" ht="18" customHeight="1">
      <c r="A1143" s="298"/>
      <c r="B1143" s="299"/>
      <c r="C1143" s="241"/>
      <c r="D1143" s="298"/>
      <c r="E1143" s="300"/>
      <c r="F1143" s="298"/>
      <c r="G1143" s="241"/>
      <c r="H1143" s="302"/>
      <c r="J1143" s="241"/>
      <c r="M1143" s="303"/>
      <c r="N1143" s="281"/>
      <c r="O1143" s="304"/>
      <c r="P1143" s="305"/>
      <c r="Q1143" s="306"/>
      <c r="R1143" s="289" t="str">
        <f t="shared" si="20"/>
        <v/>
      </c>
      <c r="S1143" s="241"/>
    </row>
    <row r="1144" spans="1:19" ht="18" customHeight="1">
      <c r="A1144" s="298"/>
      <c r="B1144" s="299"/>
      <c r="C1144" s="241"/>
      <c r="D1144" s="298"/>
      <c r="E1144" s="300"/>
      <c r="F1144" s="298"/>
      <c r="G1144" s="241"/>
      <c r="H1144" s="302"/>
      <c r="J1144" s="241"/>
      <c r="M1144" s="303"/>
      <c r="N1144" s="281"/>
      <c r="O1144" s="304"/>
      <c r="P1144" s="305"/>
      <c r="Q1144" s="306"/>
      <c r="R1144" s="289" t="str">
        <f t="shared" si="20"/>
        <v/>
      </c>
      <c r="S1144" s="241"/>
    </row>
    <row r="1145" spans="1:19" ht="18" customHeight="1">
      <c r="A1145" s="298"/>
      <c r="B1145" s="299"/>
      <c r="C1145" s="241"/>
      <c r="D1145" s="298"/>
      <c r="E1145" s="300"/>
      <c r="F1145" s="298"/>
      <c r="G1145" s="241"/>
      <c r="H1145" s="302"/>
      <c r="J1145" s="241"/>
      <c r="M1145" s="303"/>
      <c r="N1145" s="281"/>
      <c r="O1145" s="304"/>
      <c r="P1145" s="305"/>
      <c r="Q1145" s="306"/>
      <c r="R1145" s="289" t="str">
        <f t="shared" si="20"/>
        <v/>
      </c>
      <c r="S1145" s="241"/>
    </row>
    <row r="1146" spans="1:19" ht="18" customHeight="1">
      <c r="A1146" s="298"/>
      <c r="B1146" s="299"/>
      <c r="C1146" s="241"/>
      <c r="D1146" s="298"/>
      <c r="E1146" s="300"/>
      <c r="F1146" s="298"/>
      <c r="G1146" s="241"/>
      <c r="H1146" s="302"/>
      <c r="J1146" s="241"/>
      <c r="M1146" s="303"/>
      <c r="N1146" s="281"/>
      <c r="O1146" s="304"/>
      <c r="P1146" s="305"/>
      <c r="Q1146" s="306"/>
      <c r="R1146" s="289" t="str">
        <f t="shared" si="20"/>
        <v/>
      </c>
      <c r="S1146" s="241"/>
    </row>
    <row r="1147" spans="1:19" ht="18" customHeight="1">
      <c r="A1147" s="298"/>
      <c r="B1147" s="299"/>
      <c r="C1147" s="241"/>
      <c r="D1147" s="298"/>
      <c r="E1147" s="300"/>
      <c r="F1147" s="298"/>
      <c r="G1147" s="241"/>
      <c r="H1147" s="302"/>
      <c r="J1147" s="241"/>
      <c r="M1147" s="303"/>
      <c r="N1147" s="281"/>
      <c r="O1147" s="304"/>
      <c r="P1147" s="305"/>
      <c r="Q1147" s="306"/>
      <c r="R1147" s="289" t="str">
        <f t="shared" si="20"/>
        <v/>
      </c>
      <c r="S1147" s="241"/>
    </row>
    <row r="1148" spans="1:19" ht="18" customHeight="1">
      <c r="A1148" s="298"/>
      <c r="B1148" s="299"/>
      <c r="C1148" s="241"/>
      <c r="D1148" s="298"/>
      <c r="E1148" s="300"/>
      <c r="F1148" s="298"/>
      <c r="G1148" s="241"/>
      <c r="H1148" s="302"/>
      <c r="J1148" s="241"/>
      <c r="M1148" s="303"/>
      <c r="N1148" s="281"/>
      <c r="O1148" s="304"/>
      <c r="P1148" s="305"/>
      <c r="Q1148" s="306"/>
      <c r="R1148" s="289" t="str">
        <f t="shared" si="20"/>
        <v/>
      </c>
      <c r="S1148" s="241"/>
    </row>
    <row r="1149" spans="1:19" ht="18" customHeight="1">
      <c r="A1149" s="298"/>
      <c r="B1149" s="299"/>
      <c r="C1149" s="241"/>
      <c r="D1149" s="298"/>
      <c r="E1149" s="300"/>
      <c r="F1149" s="298"/>
      <c r="G1149" s="241"/>
      <c r="H1149" s="302"/>
      <c r="J1149" s="241"/>
      <c r="M1149" s="303"/>
      <c r="N1149" s="281"/>
      <c r="O1149" s="304"/>
      <c r="P1149" s="305"/>
      <c r="Q1149" s="306"/>
      <c r="R1149" s="289" t="str">
        <f t="shared" si="20"/>
        <v/>
      </c>
      <c r="S1149" s="241"/>
    </row>
    <row r="1150" spans="1:19" ht="18" customHeight="1">
      <c r="A1150" s="298"/>
      <c r="B1150" s="299"/>
      <c r="C1150" s="241"/>
      <c r="D1150" s="298"/>
      <c r="E1150" s="300"/>
      <c r="F1150" s="298"/>
      <c r="G1150" s="241"/>
      <c r="H1150" s="302"/>
      <c r="J1150" s="241"/>
      <c r="M1150" s="303"/>
      <c r="N1150" s="281"/>
      <c r="O1150" s="304"/>
      <c r="P1150" s="305"/>
      <c r="Q1150" s="306"/>
      <c r="R1150" s="289" t="str">
        <f t="shared" si="20"/>
        <v/>
      </c>
      <c r="S1150" s="241"/>
    </row>
    <row r="1151" spans="1:19" ht="18" customHeight="1">
      <c r="A1151" s="298"/>
      <c r="B1151" s="299"/>
      <c r="C1151" s="241"/>
      <c r="D1151" s="298"/>
      <c r="E1151" s="300"/>
      <c r="F1151" s="298"/>
      <c r="G1151" s="241"/>
      <c r="H1151" s="302"/>
      <c r="J1151" s="241"/>
      <c r="M1151" s="303"/>
      <c r="N1151" s="281"/>
      <c r="O1151" s="304"/>
      <c r="P1151" s="305"/>
      <c r="Q1151" s="306"/>
      <c r="R1151" s="289" t="str">
        <f t="shared" si="20"/>
        <v/>
      </c>
      <c r="S1151" s="241"/>
    </row>
    <row r="1152" spans="1:19" ht="18" customHeight="1">
      <c r="A1152" s="298"/>
      <c r="B1152" s="299"/>
      <c r="C1152" s="241"/>
      <c r="D1152" s="298"/>
      <c r="E1152" s="300"/>
      <c r="F1152" s="298"/>
      <c r="G1152" s="241"/>
      <c r="H1152" s="302"/>
      <c r="J1152" s="241"/>
      <c r="M1152" s="303"/>
      <c r="N1152" s="281"/>
      <c r="O1152" s="304"/>
      <c r="P1152" s="305"/>
      <c r="Q1152" s="306"/>
      <c r="R1152" s="289" t="str">
        <f t="shared" si="20"/>
        <v/>
      </c>
      <c r="S1152" s="241"/>
    </row>
    <row r="1153" spans="1:19" ht="18" customHeight="1">
      <c r="A1153" s="298"/>
      <c r="B1153" s="299"/>
      <c r="C1153" s="241"/>
      <c r="D1153" s="298"/>
      <c r="E1153" s="300"/>
      <c r="F1153" s="298"/>
      <c r="G1153" s="241"/>
      <c r="H1153" s="302"/>
      <c r="J1153" s="241"/>
      <c r="M1153" s="303"/>
      <c r="N1153" s="281"/>
      <c r="O1153" s="304"/>
      <c r="P1153" s="305"/>
      <c r="Q1153" s="306"/>
      <c r="R1153" s="289" t="str">
        <f t="shared" si="20"/>
        <v/>
      </c>
      <c r="S1153" s="241"/>
    </row>
    <row r="1154" spans="1:19" ht="18" customHeight="1">
      <c r="A1154" s="298"/>
      <c r="B1154" s="299"/>
      <c r="C1154" s="241"/>
      <c r="D1154" s="298"/>
      <c r="E1154" s="300"/>
      <c r="F1154" s="298"/>
      <c r="G1154" s="241"/>
      <c r="H1154" s="302"/>
      <c r="J1154" s="241"/>
      <c r="M1154" s="303"/>
      <c r="N1154" s="281"/>
      <c r="O1154" s="304"/>
      <c r="P1154" s="305"/>
      <c r="Q1154" s="306"/>
      <c r="R1154" s="289" t="str">
        <f t="shared" si="20"/>
        <v/>
      </c>
      <c r="S1154" s="241"/>
    </row>
    <row r="1155" spans="1:19" ht="18" customHeight="1">
      <c r="A1155" s="298"/>
      <c r="B1155" s="299"/>
      <c r="C1155" s="241"/>
      <c r="D1155" s="298"/>
      <c r="E1155" s="300"/>
      <c r="F1155" s="298"/>
      <c r="G1155" s="241"/>
      <c r="H1155" s="302"/>
      <c r="J1155" s="241"/>
      <c r="M1155" s="303"/>
      <c r="N1155" s="281"/>
      <c r="O1155" s="304"/>
      <c r="P1155" s="305"/>
      <c r="Q1155" s="306"/>
      <c r="R1155" s="289" t="str">
        <f t="shared" si="20"/>
        <v/>
      </c>
      <c r="S1155" s="241"/>
    </row>
    <row r="1156" spans="1:19" ht="18" customHeight="1">
      <c r="A1156" s="298"/>
      <c r="B1156" s="299"/>
      <c r="C1156" s="241"/>
      <c r="D1156" s="298"/>
      <c r="E1156" s="300"/>
      <c r="F1156" s="298"/>
      <c r="G1156" s="241"/>
      <c r="H1156" s="302"/>
      <c r="J1156" s="241"/>
      <c r="M1156" s="303"/>
      <c r="N1156" s="281"/>
      <c r="O1156" s="304"/>
      <c r="P1156" s="305"/>
      <c r="Q1156" s="306"/>
      <c r="R1156" s="289" t="str">
        <f t="shared" si="20"/>
        <v/>
      </c>
      <c r="S1156" s="241"/>
    </row>
    <row r="1157" spans="1:19" ht="18" customHeight="1">
      <c r="A1157" s="298"/>
      <c r="B1157" s="299"/>
      <c r="C1157" s="241"/>
      <c r="D1157" s="298"/>
      <c r="E1157" s="300"/>
      <c r="F1157" s="298"/>
      <c r="G1157" s="241"/>
      <c r="H1157" s="302"/>
      <c r="J1157" s="241"/>
      <c r="M1157" s="303"/>
      <c r="N1157" s="281"/>
      <c r="O1157" s="304"/>
      <c r="P1157" s="305"/>
      <c r="Q1157" s="306"/>
      <c r="R1157" s="289" t="str">
        <f t="shared" si="20"/>
        <v/>
      </c>
      <c r="S1157" s="241"/>
    </row>
    <row r="1158" spans="1:19" ht="18" customHeight="1">
      <c r="A1158" s="298"/>
      <c r="B1158" s="299"/>
      <c r="C1158" s="241"/>
      <c r="D1158" s="298"/>
      <c r="E1158" s="300"/>
      <c r="F1158" s="298"/>
      <c r="G1158" s="241"/>
      <c r="H1158" s="302"/>
      <c r="J1158" s="241"/>
      <c r="M1158" s="303"/>
      <c r="N1158" s="281"/>
      <c r="O1158" s="304"/>
      <c r="P1158" s="305"/>
      <c r="Q1158" s="306"/>
      <c r="R1158" s="289" t="str">
        <f t="shared" si="20"/>
        <v/>
      </c>
      <c r="S1158" s="241"/>
    </row>
    <row r="1159" spans="1:19" ht="18" customHeight="1">
      <c r="A1159" s="298"/>
      <c r="B1159" s="299"/>
      <c r="C1159" s="241"/>
      <c r="D1159" s="298"/>
      <c r="E1159" s="300"/>
      <c r="F1159" s="298"/>
      <c r="G1159" s="241"/>
      <c r="H1159" s="302"/>
      <c r="J1159" s="241"/>
      <c r="M1159" s="303"/>
      <c r="N1159" s="281"/>
      <c r="O1159" s="304"/>
      <c r="P1159" s="305"/>
      <c r="Q1159" s="306"/>
      <c r="R1159" s="289" t="str">
        <f t="shared" si="20"/>
        <v/>
      </c>
      <c r="S1159" s="241"/>
    </row>
    <row r="1160" spans="1:19" ht="18" customHeight="1">
      <c r="A1160" s="298"/>
      <c r="B1160" s="299"/>
      <c r="C1160" s="241"/>
      <c r="D1160" s="298"/>
      <c r="E1160" s="300"/>
      <c r="F1160" s="298"/>
      <c r="G1160" s="241"/>
      <c r="H1160" s="302"/>
      <c r="J1160" s="241"/>
      <c r="M1160" s="303"/>
      <c r="N1160" s="281"/>
      <c r="O1160" s="304"/>
      <c r="P1160" s="305"/>
      <c r="Q1160" s="306"/>
      <c r="R1160" s="289" t="str">
        <f t="shared" si="20"/>
        <v/>
      </c>
      <c r="S1160" s="241"/>
    </row>
    <row r="1161" spans="1:19" ht="18" customHeight="1">
      <c r="A1161" s="298"/>
      <c r="B1161" s="299"/>
      <c r="C1161" s="241"/>
      <c r="D1161" s="298"/>
      <c r="E1161" s="300"/>
      <c r="F1161" s="298"/>
      <c r="G1161" s="241"/>
      <c r="H1161" s="302"/>
      <c r="J1161" s="241"/>
      <c r="M1161" s="303"/>
      <c r="N1161" s="281"/>
      <c r="O1161" s="304"/>
      <c r="P1161" s="305"/>
      <c r="Q1161" s="306"/>
      <c r="R1161" s="289" t="str">
        <f t="shared" si="20"/>
        <v/>
      </c>
      <c r="S1161" s="241"/>
    </row>
    <row r="1162" spans="1:19" ht="18" customHeight="1">
      <c r="A1162" s="298"/>
      <c r="B1162" s="299"/>
      <c r="C1162" s="241"/>
      <c r="D1162" s="298"/>
      <c r="E1162" s="300"/>
      <c r="F1162" s="298"/>
      <c r="G1162" s="241"/>
      <c r="H1162" s="302"/>
      <c r="J1162" s="241"/>
      <c r="M1162" s="303"/>
      <c r="N1162" s="281"/>
      <c r="O1162" s="304"/>
      <c r="P1162" s="305"/>
      <c r="Q1162" s="306"/>
      <c r="R1162" s="289" t="str">
        <f t="shared" si="20"/>
        <v/>
      </c>
      <c r="S1162" s="241"/>
    </row>
    <row r="1163" spans="1:19" ht="18" customHeight="1">
      <c r="A1163" s="298"/>
      <c r="B1163" s="299"/>
      <c r="C1163" s="241"/>
      <c r="D1163" s="298"/>
      <c r="E1163" s="300"/>
      <c r="F1163" s="298"/>
      <c r="G1163" s="241"/>
      <c r="H1163" s="302"/>
      <c r="J1163" s="241"/>
      <c r="M1163" s="303"/>
      <c r="N1163" s="281"/>
      <c r="O1163" s="304"/>
      <c r="P1163" s="305"/>
      <c r="Q1163" s="306"/>
      <c r="R1163" s="289" t="str">
        <f t="shared" si="20"/>
        <v/>
      </c>
      <c r="S1163" s="241"/>
    </row>
    <row r="1164" spans="1:19" ht="18" customHeight="1">
      <c r="A1164" s="298"/>
      <c r="B1164" s="299"/>
      <c r="C1164" s="241"/>
      <c r="D1164" s="298"/>
      <c r="E1164" s="300"/>
      <c r="F1164" s="298"/>
      <c r="G1164" s="241"/>
      <c r="H1164" s="302"/>
      <c r="J1164" s="241"/>
      <c r="M1164" s="303"/>
      <c r="N1164" s="281"/>
      <c r="O1164" s="304"/>
      <c r="P1164" s="305"/>
      <c r="Q1164" s="306"/>
      <c r="R1164" s="289" t="str">
        <f t="shared" si="20"/>
        <v/>
      </c>
      <c r="S1164" s="241"/>
    </row>
    <row r="1165" spans="1:19" ht="18" customHeight="1">
      <c r="A1165" s="298"/>
      <c r="B1165" s="299"/>
      <c r="C1165" s="241"/>
      <c r="D1165" s="298"/>
      <c r="E1165" s="300"/>
      <c r="F1165" s="298"/>
      <c r="G1165" s="241"/>
      <c r="H1165" s="302"/>
      <c r="J1165" s="241"/>
      <c r="M1165" s="303"/>
      <c r="N1165" s="281"/>
      <c r="O1165" s="304"/>
      <c r="P1165" s="305"/>
      <c r="Q1165" s="306"/>
      <c r="R1165" s="289" t="str">
        <f t="shared" si="20"/>
        <v/>
      </c>
      <c r="S1165" s="241"/>
    </row>
    <row r="1166" spans="1:19" ht="18" customHeight="1">
      <c r="A1166" s="298"/>
      <c r="B1166" s="299"/>
      <c r="C1166" s="241"/>
      <c r="D1166" s="298"/>
      <c r="E1166" s="300"/>
      <c r="F1166" s="298"/>
      <c r="G1166" s="241"/>
      <c r="H1166" s="302"/>
      <c r="J1166" s="241"/>
      <c r="M1166" s="303"/>
      <c r="N1166" s="281"/>
      <c r="O1166" s="304"/>
      <c r="P1166" s="305"/>
      <c r="Q1166" s="306"/>
      <c r="R1166" s="289" t="str">
        <f t="shared" si="20"/>
        <v/>
      </c>
      <c r="S1166" s="241"/>
    </row>
    <row r="1167" spans="1:19" ht="18" customHeight="1">
      <c r="A1167" s="298"/>
      <c r="B1167" s="299"/>
      <c r="C1167" s="241"/>
      <c r="D1167" s="298"/>
      <c r="E1167" s="300"/>
      <c r="F1167" s="298"/>
      <c r="G1167" s="241"/>
      <c r="H1167" s="302"/>
      <c r="J1167" s="241"/>
      <c r="M1167" s="303"/>
      <c r="N1167" s="281"/>
      <c r="O1167" s="304"/>
      <c r="P1167" s="305"/>
      <c r="Q1167" s="306"/>
      <c r="R1167" s="289" t="str">
        <f t="shared" si="20"/>
        <v/>
      </c>
      <c r="S1167" s="241"/>
    </row>
    <row r="1168" spans="1:19" ht="18" customHeight="1">
      <c r="A1168" s="298"/>
      <c r="B1168" s="299"/>
      <c r="C1168" s="241"/>
      <c r="D1168" s="298"/>
      <c r="E1168" s="300"/>
      <c r="F1168" s="298"/>
      <c r="G1168" s="241"/>
      <c r="H1168" s="302"/>
      <c r="J1168" s="241"/>
      <c r="M1168" s="303"/>
      <c r="N1168" s="281"/>
      <c r="O1168" s="304"/>
      <c r="P1168" s="305"/>
      <c r="Q1168" s="306"/>
      <c r="R1168" s="289" t="str">
        <f t="shared" si="20"/>
        <v/>
      </c>
      <c r="S1168" s="241"/>
    </row>
    <row r="1169" spans="1:19" ht="18" customHeight="1">
      <c r="A1169" s="298"/>
      <c r="B1169" s="299"/>
      <c r="C1169" s="241"/>
      <c r="D1169" s="298"/>
      <c r="E1169" s="300"/>
      <c r="F1169" s="298"/>
      <c r="G1169" s="241"/>
      <c r="H1169" s="302"/>
      <c r="J1169" s="241"/>
      <c r="M1169" s="303"/>
      <c r="N1169" s="281"/>
      <c r="O1169" s="304"/>
      <c r="P1169" s="305"/>
      <c r="Q1169" s="306"/>
      <c r="R1169" s="289" t="str">
        <f t="shared" si="20"/>
        <v/>
      </c>
      <c r="S1169" s="241"/>
    </row>
    <row r="1170" spans="1:19" ht="18" customHeight="1">
      <c r="A1170" s="298"/>
      <c r="B1170" s="299"/>
      <c r="C1170" s="241"/>
      <c r="D1170" s="298"/>
      <c r="E1170" s="300"/>
      <c r="F1170" s="298"/>
      <c r="G1170" s="241"/>
      <c r="H1170" s="302"/>
      <c r="J1170" s="241"/>
      <c r="M1170" s="303"/>
      <c r="N1170" s="281"/>
      <c r="O1170" s="304"/>
      <c r="P1170" s="305"/>
      <c r="Q1170" s="306"/>
      <c r="R1170" s="289" t="str">
        <f t="shared" si="20"/>
        <v/>
      </c>
      <c r="S1170" s="241"/>
    </row>
    <row r="1171" spans="1:19" ht="18" customHeight="1">
      <c r="A1171" s="298"/>
      <c r="B1171" s="299"/>
      <c r="C1171" s="241"/>
      <c r="D1171" s="298"/>
      <c r="E1171" s="300"/>
      <c r="F1171" s="298"/>
      <c r="G1171" s="241"/>
      <c r="H1171" s="302"/>
      <c r="J1171" s="241"/>
      <c r="M1171" s="303"/>
      <c r="N1171" s="281"/>
      <c r="O1171" s="304"/>
      <c r="P1171" s="305"/>
      <c r="Q1171" s="306"/>
      <c r="R1171" s="289" t="str">
        <f t="shared" si="20"/>
        <v/>
      </c>
      <c r="S1171" s="241"/>
    </row>
    <row r="1172" spans="1:19" ht="18" customHeight="1">
      <c r="A1172" s="298"/>
      <c r="B1172" s="299"/>
      <c r="C1172" s="241"/>
      <c r="D1172" s="298"/>
      <c r="E1172" s="300"/>
      <c r="F1172" s="298"/>
      <c r="G1172" s="241"/>
      <c r="H1172" s="302"/>
      <c r="J1172" s="241"/>
      <c r="M1172" s="303"/>
      <c r="N1172" s="281"/>
      <c r="O1172" s="304"/>
      <c r="P1172" s="305"/>
      <c r="Q1172" s="306"/>
      <c r="R1172" s="289" t="str">
        <f t="shared" si="20"/>
        <v/>
      </c>
      <c r="S1172" s="241"/>
    </row>
    <row r="1173" spans="1:19" ht="18" customHeight="1">
      <c r="A1173" s="298"/>
      <c r="B1173" s="299"/>
      <c r="C1173" s="241"/>
      <c r="D1173" s="298"/>
      <c r="E1173" s="300"/>
      <c r="F1173" s="298"/>
      <c r="G1173" s="241"/>
      <c r="H1173" s="302"/>
      <c r="J1173" s="241"/>
      <c r="M1173" s="303"/>
      <c r="N1173" s="281"/>
      <c r="O1173" s="304"/>
      <c r="P1173" s="305"/>
      <c r="Q1173" s="306"/>
      <c r="R1173" s="289" t="str">
        <f t="shared" si="20"/>
        <v/>
      </c>
      <c r="S1173" s="241"/>
    </row>
    <row r="1174" spans="1:19" ht="18" customHeight="1">
      <c r="A1174" s="298"/>
      <c r="B1174" s="299"/>
      <c r="C1174" s="241"/>
      <c r="D1174" s="298"/>
      <c r="E1174" s="300"/>
      <c r="F1174" s="298"/>
      <c r="G1174" s="241"/>
      <c r="H1174" s="302"/>
      <c r="J1174" s="241"/>
      <c r="M1174" s="303"/>
      <c r="N1174" s="281"/>
      <c r="O1174" s="304"/>
      <c r="P1174" s="305"/>
      <c r="Q1174" s="306"/>
      <c r="R1174" s="289" t="str">
        <f t="shared" si="20"/>
        <v/>
      </c>
      <c r="S1174" s="241"/>
    </row>
    <row r="1175" spans="1:19" ht="18" customHeight="1">
      <c r="A1175" s="298"/>
      <c r="B1175" s="299"/>
      <c r="C1175" s="241"/>
      <c r="D1175" s="298"/>
      <c r="E1175" s="300"/>
      <c r="F1175" s="298"/>
      <c r="G1175" s="241"/>
      <c r="H1175" s="302"/>
      <c r="J1175" s="241"/>
      <c r="M1175" s="303"/>
      <c r="N1175" s="281"/>
      <c r="O1175" s="304"/>
      <c r="P1175" s="305"/>
      <c r="Q1175" s="306"/>
      <c r="R1175" s="289" t="str">
        <f t="shared" si="20"/>
        <v/>
      </c>
      <c r="S1175" s="241"/>
    </row>
    <row r="1176" spans="1:19" ht="18" customHeight="1">
      <c r="A1176" s="298"/>
      <c r="B1176" s="299"/>
      <c r="C1176" s="241"/>
      <c r="D1176" s="298"/>
      <c r="E1176" s="300"/>
      <c r="F1176" s="298"/>
      <c r="G1176" s="241"/>
      <c r="H1176" s="302"/>
      <c r="J1176" s="241"/>
      <c r="M1176" s="303"/>
      <c r="N1176" s="281"/>
      <c r="O1176" s="304"/>
      <c r="P1176" s="305"/>
      <c r="Q1176" s="306"/>
      <c r="R1176" s="289" t="str">
        <f t="shared" si="20"/>
        <v/>
      </c>
      <c r="S1176" s="241"/>
    </row>
    <row r="1177" spans="1:19" ht="18" customHeight="1">
      <c r="A1177" s="298"/>
      <c r="B1177" s="299"/>
      <c r="C1177" s="241"/>
      <c r="D1177" s="298"/>
      <c r="E1177" s="300"/>
      <c r="F1177" s="298"/>
      <c r="G1177" s="241"/>
      <c r="H1177" s="302"/>
      <c r="J1177" s="241"/>
      <c r="M1177" s="303"/>
      <c r="N1177" s="281"/>
      <c r="O1177" s="304"/>
      <c r="P1177" s="305"/>
      <c r="Q1177" s="306"/>
      <c r="R1177" s="289" t="str">
        <f t="shared" si="20"/>
        <v/>
      </c>
      <c r="S1177" s="241"/>
    </row>
    <row r="1178" spans="1:19" ht="18" customHeight="1">
      <c r="A1178" s="298"/>
      <c r="B1178" s="299"/>
      <c r="C1178" s="241"/>
      <c r="D1178" s="298"/>
      <c r="E1178" s="300"/>
      <c r="F1178" s="298"/>
      <c r="G1178" s="241"/>
      <c r="H1178" s="302"/>
      <c r="J1178" s="241"/>
      <c r="M1178" s="303"/>
      <c r="N1178" s="281"/>
      <c r="O1178" s="304"/>
      <c r="P1178" s="305"/>
      <c r="Q1178" s="306"/>
      <c r="R1178" s="289" t="str">
        <f t="shared" ref="R1178:R1241" si="21">IF(SUM(Q1178)&gt;0,SUM(Q1178-P1178),"")</f>
        <v/>
      </c>
      <c r="S1178" s="241"/>
    </row>
    <row r="1179" spans="1:19" ht="18" customHeight="1">
      <c r="A1179" s="298"/>
      <c r="B1179" s="299"/>
      <c r="C1179" s="241"/>
      <c r="D1179" s="298"/>
      <c r="E1179" s="300"/>
      <c r="F1179" s="298"/>
      <c r="G1179" s="241"/>
      <c r="H1179" s="302"/>
      <c r="J1179" s="241"/>
      <c r="M1179" s="303"/>
      <c r="N1179" s="281"/>
      <c r="O1179" s="304"/>
      <c r="P1179" s="305"/>
      <c r="Q1179" s="306"/>
      <c r="R1179" s="289" t="str">
        <f t="shared" si="21"/>
        <v/>
      </c>
      <c r="S1179" s="241"/>
    </row>
    <row r="1180" spans="1:19" ht="18" customHeight="1">
      <c r="A1180" s="298"/>
      <c r="B1180" s="299"/>
      <c r="C1180" s="241"/>
      <c r="D1180" s="298"/>
      <c r="E1180" s="300"/>
      <c r="F1180" s="298"/>
      <c r="G1180" s="241"/>
      <c r="H1180" s="302"/>
      <c r="J1180" s="241"/>
      <c r="M1180" s="303"/>
      <c r="N1180" s="281"/>
      <c r="O1180" s="304"/>
      <c r="P1180" s="305"/>
      <c r="Q1180" s="306"/>
      <c r="R1180" s="289" t="str">
        <f t="shared" si="21"/>
        <v/>
      </c>
      <c r="S1180" s="241"/>
    </row>
    <row r="1181" spans="1:19" ht="18" customHeight="1">
      <c r="A1181" s="298"/>
      <c r="B1181" s="299"/>
      <c r="C1181" s="241"/>
      <c r="D1181" s="298"/>
      <c r="E1181" s="300"/>
      <c r="F1181" s="298"/>
      <c r="G1181" s="241"/>
      <c r="H1181" s="302"/>
      <c r="J1181" s="241"/>
      <c r="M1181" s="303"/>
      <c r="N1181" s="281"/>
      <c r="O1181" s="304"/>
      <c r="P1181" s="305"/>
      <c r="Q1181" s="306"/>
      <c r="R1181" s="289" t="str">
        <f t="shared" si="21"/>
        <v/>
      </c>
      <c r="S1181" s="241"/>
    </row>
    <row r="1182" spans="1:19" ht="18" customHeight="1">
      <c r="A1182" s="298"/>
      <c r="B1182" s="299"/>
      <c r="C1182" s="241"/>
      <c r="D1182" s="298"/>
      <c r="E1182" s="300"/>
      <c r="F1182" s="298"/>
      <c r="G1182" s="241"/>
      <c r="H1182" s="302"/>
      <c r="J1182" s="241"/>
      <c r="M1182" s="303"/>
      <c r="N1182" s="281"/>
      <c r="O1182" s="304"/>
      <c r="P1182" s="305"/>
      <c r="Q1182" s="306"/>
      <c r="R1182" s="289" t="str">
        <f t="shared" si="21"/>
        <v/>
      </c>
      <c r="S1182" s="241"/>
    </row>
    <row r="1183" spans="1:19" ht="18" customHeight="1">
      <c r="A1183" s="298"/>
      <c r="B1183" s="299"/>
      <c r="C1183" s="241"/>
      <c r="D1183" s="298"/>
      <c r="E1183" s="300"/>
      <c r="F1183" s="298"/>
      <c r="G1183" s="241"/>
      <c r="H1183" s="302"/>
      <c r="J1183" s="241"/>
      <c r="M1183" s="303"/>
      <c r="N1183" s="281"/>
      <c r="O1183" s="304"/>
      <c r="P1183" s="305"/>
      <c r="Q1183" s="306"/>
      <c r="R1183" s="289" t="str">
        <f t="shared" si="21"/>
        <v/>
      </c>
      <c r="S1183" s="241"/>
    </row>
    <row r="1184" spans="1:19" ht="18" customHeight="1">
      <c r="A1184" s="298"/>
      <c r="B1184" s="299"/>
      <c r="C1184" s="241"/>
      <c r="D1184" s="298"/>
      <c r="E1184" s="300"/>
      <c r="F1184" s="298"/>
      <c r="G1184" s="241"/>
      <c r="H1184" s="302"/>
      <c r="J1184" s="241"/>
      <c r="M1184" s="303"/>
      <c r="N1184" s="281"/>
      <c r="O1184" s="304"/>
      <c r="P1184" s="305"/>
      <c r="Q1184" s="306"/>
      <c r="R1184" s="289" t="str">
        <f t="shared" si="21"/>
        <v/>
      </c>
      <c r="S1184" s="241"/>
    </row>
    <row r="1185" spans="1:19" ht="18" customHeight="1">
      <c r="A1185" s="298"/>
      <c r="B1185" s="299"/>
      <c r="C1185" s="241"/>
      <c r="D1185" s="298"/>
      <c r="E1185" s="300"/>
      <c r="F1185" s="298"/>
      <c r="G1185" s="241"/>
      <c r="H1185" s="302"/>
      <c r="J1185" s="241"/>
      <c r="M1185" s="303"/>
      <c r="N1185" s="281"/>
      <c r="O1185" s="304"/>
      <c r="P1185" s="305"/>
      <c r="Q1185" s="306"/>
      <c r="R1185" s="289" t="str">
        <f t="shared" si="21"/>
        <v/>
      </c>
      <c r="S1185" s="241"/>
    </row>
    <row r="1186" spans="1:19" ht="18" customHeight="1">
      <c r="A1186" s="298"/>
      <c r="B1186" s="299"/>
      <c r="C1186" s="241"/>
      <c r="D1186" s="298"/>
      <c r="E1186" s="300"/>
      <c r="F1186" s="298"/>
      <c r="G1186" s="241"/>
      <c r="H1186" s="302"/>
      <c r="J1186" s="241"/>
      <c r="M1186" s="303"/>
      <c r="N1186" s="281"/>
      <c r="O1186" s="304"/>
      <c r="P1186" s="305"/>
      <c r="Q1186" s="306"/>
      <c r="R1186" s="289" t="str">
        <f t="shared" si="21"/>
        <v/>
      </c>
      <c r="S1186" s="241"/>
    </row>
    <row r="1187" spans="1:19" ht="18" customHeight="1">
      <c r="A1187" s="298"/>
      <c r="B1187" s="299"/>
      <c r="C1187" s="241"/>
      <c r="D1187" s="298"/>
      <c r="E1187" s="300"/>
      <c r="F1187" s="298"/>
      <c r="G1187" s="241"/>
      <c r="H1187" s="302"/>
      <c r="J1187" s="241"/>
      <c r="M1187" s="303"/>
      <c r="N1187" s="281"/>
      <c r="O1187" s="304"/>
      <c r="P1187" s="305"/>
      <c r="Q1187" s="306"/>
      <c r="R1187" s="289" t="str">
        <f t="shared" si="21"/>
        <v/>
      </c>
      <c r="S1187" s="241"/>
    </row>
    <row r="1188" spans="1:19" ht="18" customHeight="1">
      <c r="A1188" s="298"/>
      <c r="B1188" s="299"/>
      <c r="C1188" s="241"/>
      <c r="D1188" s="298"/>
      <c r="E1188" s="300"/>
      <c r="F1188" s="298"/>
      <c r="G1188" s="241"/>
      <c r="H1188" s="302"/>
      <c r="J1188" s="241"/>
      <c r="M1188" s="303"/>
      <c r="N1188" s="281"/>
      <c r="O1188" s="304"/>
      <c r="P1188" s="305"/>
      <c r="Q1188" s="306"/>
      <c r="R1188" s="289" t="str">
        <f t="shared" si="21"/>
        <v/>
      </c>
      <c r="S1188" s="241"/>
    </row>
    <row r="1189" spans="1:19" ht="18" customHeight="1">
      <c r="A1189" s="298"/>
      <c r="B1189" s="299"/>
      <c r="C1189" s="241"/>
      <c r="D1189" s="298"/>
      <c r="E1189" s="300"/>
      <c r="F1189" s="298"/>
      <c r="G1189" s="241"/>
      <c r="H1189" s="302"/>
      <c r="J1189" s="241"/>
      <c r="M1189" s="303"/>
      <c r="N1189" s="281"/>
      <c r="O1189" s="304"/>
      <c r="P1189" s="305"/>
      <c r="Q1189" s="306"/>
      <c r="R1189" s="289" t="str">
        <f t="shared" si="21"/>
        <v/>
      </c>
      <c r="S1189" s="241"/>
    </row>
    <row r="1190" spans="1:19" ht="18" customHeight="1">
      <c r="A1190" s="298"/>
      <c r="B1190" s="299"/>
      <c r="C1190" s="241"/>
      <c r="D1190" s="298"/>
      <c r="E1190" s="300"/>
      <c r="F1190" s="298"/>
      <c r="G1190" s="241"/>
      <c r="H1190" s="302"/>
      <c r="J1190" s="241"/>
      <c r="M1190" s="303"/>
      <c r="N1190" s="281"/>
      <c r="O1190" s="304"/>
      <c r="P1190" s="305"/>
      <c r="Q1190" s="306"/>
      <c r="R1190" s="289" t="str">
        <f t="shared" si="21"/>
        <v/>
      </c>
      <c r="S1190" s="241"/>
    </row>
    <row r="1191" spans="1:19" ht="18" customHeight="1">
      <c r="A1191" s="298"/>
      <c r="B1191" s="299"/>
      <c r="C1191" s="241"/>
      <c r="D1191" s="298"/>
      <c r="E1191" s="300"/>
      <c r="F1191" s="298"/>
      <c r="G1191" s="241"/>
      <c r="H1191" s="302"/>
      <c r="J1191" s="241"/>
      <c r="M1191" s="303"/>
      <c r="N1191" s="281"/>
      <c r="O1191" s="304"/>
      <c r="P1191" s="305"/>
      <c r="Q1191" s="306"/>
      <c r="R1191" s="289" t="str">
        <f t="shared" si="21"/>
        <v/>
      </c>
      <c r="S1191" s="241"/>
    </row>
    <row r="1192" spans="1:19" ht="18" customHeight="1">
      <c r="A1192" s="298"/>
      <c r="B1192" s="299"/>
      <c r="C1192" s="241"/>
      <c r="D1192" s="298"/>
      <c r="E1192" s="300"/>
      <c r="F1192" s="298"/>
      <c r="G1192" s="241"/>
      <c r="H1192" s="302"/>
      <c r="J1192" s="241"/>
      <c r="M1192" s="303"/>
      <c r="N1192" s="281"/>
      <c r="O1192" s="304"/>
      <c r="P1192" s="305"/>
      <c r="Q1192" s="306"/>
      <c r="R1192" s="289" t="str">
        <f t="shared" si="21"/>
        <v/>
      </c>
      <c r="S1192" s="241"/>
    </row>
    <row r="1193" spans="1:19" ht="18" customHeight="1">
      <c r="A1193" s="298"/>
      <c r="B1193" s="299"/>
      <c r="C1193" s="241"/>
      <c r="D1193" s="298"/>
      <c r="E1193" s="300"/>
      <c r="F1193" s="298"/>
      <c r="G1193" s="241"/>
      <c r="H1193" s="302"/>
      <c r="J1193" s="241"/>
      <c r="M1193" s="303"/>
      <c r="N1193" s="281"/>
      <c r="O1193" s="304"/>
      <c r="P1193" s="305"/>
      <c r="Q1193" s="306"/>
      <c r="R1193" s="289" t="str">
        <f t="shared" si="21"/>
        <v/>
      </c>
      <c r="S1193" s="241"/>
    </row>
    <row r="1194" spans="1:19" ht="18" customHeight="1">
      <c r="A1194" s="298"/>
      <c r="B1194" s="299"/>
      <c r="C1194" s="241"/>
      <c r="D1194" s="298"/>
      <c r="E1194" s="300"/>
      <c r="F1194" s="298"/>
      <c r="G1194" s="241"/>
      <c r="H1194" s="302"/>
      <c r="J1194" s="241"/>
      <c r="M1194" s="303"/>
      <c r="N1194" s="281"/>
      <c r="O1194" s="304"/>
      <c r="P1194" s="305"/>
      <c r="Q1194" s="306"/>
      <c r="R1194" s="289" t="str">
        <f t="shared" si="21"/>
        <v/>
      </c>
      <c r="S1194" s="241"/>
    </row>
    <row r="1195" spans="1:19" ht="18" customHeight="1">
      <c r="A1195" s="298"/>
      <c r="B1195" s="299"/>
      <c r="C1195" s="241"/>
      <c r="D1195" s="298"/>
      <c r="E1195" s="300"/>
      <c r="F1195" s="298"/>
      <c r="G1195" s="241"/>
      <c r="H1195" s="302"/>
      <c r="J1195" s="241"/>
      <c r="M1195" s="303"/>
      <c r="N1195" s="281"/>
      <c r="O1195" s="304"/>
      <c r="P1195" s="305"/>
      <c r="Q1195" s="306"/>
      <c r="R1195" s="289" t="str">
        <f t="shared" si="21"/>
        <v/>
      </c>
      <c r="S1195" s="241"/>
    </row>
    <row r="1196" spans="1:19" ht="18" customHeight="1">
      <c r="A1196" s="298"/>
      <c r="B1196" s="299"/>
      <c r="C1196" s="241"/>
      <c r="D1196" s="298"/>
      <c r="E1196" s="300"/>
      <c r="F1196" s="298"/>
      <c r="G1196" s="241"/>
      <c r="H1196" s="302"/>
      <c r="J1196" s="241"/>
      <c r="M1196" s="303"/>
      <c r="N1196" s="281"/>
      <c r="O1196" s="304"/>
      <c r="P1196" s="305"/>
      <c r="Q1196" s="306"/>
      <c r="R1196" s="289" t="str">
        <f t="shared" si="21"/>
        <v/>
      </c>
      <c r="S1196" s="241"/>
    </row>
    <row r="1197" spans="1:19" ht="18" customHeight="1">
      <c r="A1197" s="298"/>
      <c r="B1197" s="299"/>
      <c r="C1197" s="241"/>
      <c r="D1197" s="298"/>
      <c r="E1197" s="300"/>
      <c r="F1197" s="298"/>
      <c r="G1197" s="241"/>
      <c r="H1197" s="302"/>
      <c r="J1197" s="241"/>
      <c r="M1197" s="303"/>
      <c r="N1197" s="281"/>
      <c r="O1197" s="304"/>
      <c r="P1197" s="305"/>
      <c r="Q1197" s="306"/>
      <c r="R1197" s="289" t="str">
        <f t="shared" si="21"/>
        <v/>
      </c>
      <c r="S1197" s="241"/>
    </row>
    <row r="1198" spans="1:19" ht="18" customHeight="1">
      <c r="A1198" s="298"/>
      <c r="B1198" s="299"/>
      <c r="C1198" s="241"/>
      <c r="D1198" s="298"/>
      <c r="E1198" s="300"/>
      <c r="F1198" s="298"/>
      <c r="G1198" s="241"/>
      <c r="H1198" s="302"/>
      <c r="J1198" s="241"/>
      <c r="M1198" s="303"/>
      <c r="N1198" s="281"/>
      <c r="O1198" s="304"/>
      <c r="P1198" s="305"/>
      <c r="Q1198" s="306"/>
      <c r="R1198" s="289" t="str">
        <f t="shared" si="21"/>
        <v/>
      </c>
      <c r="S1198" s="241"/>
    </row>
    <row r="1199" spans="1:19" ht="18" customHeight="1">
      <c r="A1199" s="298"/>
      <c r="B1199" s="299"/>
      <c r="C1199" s="241"/>
      <c r="D1199" s="298"/>
      <c r="E1199" s="300"/>
      <c r="F1199" s="298"/>
      <c r="G1199" s="241"/>
      <c r="H1199" s="302"/>
      <c r="J1199" s="241"/>
      <c r="M1199" s="303"/>
      <c r="N1199" s="281"/>
      <c r="O1199" s="304"/>
      <c r="P1199" s="305"/>
      <c r="Q1199" s="306"/>
      <c r="R1199" s="289" t="str">
        <f t="shared" si="21"/>
        <v/>
      </c>
      <c r="S1199" s="241"/>
    </row>
    <row r="1200" spans="1:19" ht="18" customHeight="1">
      <c r="A1200" s="298"/>
      <c r="B1200" s="299"/>
      <c r="C1200" s="241"/>
      <c r="D1200" s="298"/>
      <c r="E1200" s="300"/>
      <c r="F1200" s="298"/>
      <c r="G1200" s="241"/>
      <c r="H1200" s="302"/>
      <c r="J1200" s="241"/>
      <c r="M1200" s="303"/>
      <c r="N1200" s="281"/>
      <c r="O1200" s="304"/>
      <c r="P1200" s="305"/>
      <c r="Q1200" s="306"/>
      <c r="R1200" s="289" t="str">
        <f t="shared" si="21"/>
        <v/>
      </c>
      <c r="S1200" s="241"/>
    </row>
    <row r="1201" spans="1:19" ht="18" customHeight="1">
      <c r="A1201" s="298"/>
      <c r="B1201" s="299"/>
      <c r="C1201" s="241"/>
      <c r="D1201" s="298"/>
      <c r="E1201" s="300"/>
      <c r="F1201" s="298"/>
      <c r="G1201" s="241"/>
      <c r="H1201" s="302"/>
      <c r="J1201" s="241"/>
      <c r="M1201" s="303"/>
      <c r="N1201" s="281"/>
      <c r="O1201" s="304"/>
      <c r="P1201" s="305"/>
      <c r="Q1201" s="306"/>
      <c r="R1201" s="289" t="str">
        <f t="shared" si="21"/>
        <v/>
      </c>
      <c r="S1201" s="241"/>
    </row>
    <row r="1202" spans="1:19" ht="18" customHeight="1">
      <c r="A1202" s="298"/>
      <c r="B1202" s="299"/>
      <c r="C1202" s="241"/>
      <c r="D1202" s="298"/>
      <c r="E1202" s="300"/>
      <c r="F1202" s="298"/>
      <c r="G1202" s="241"/>
      <c r="H1202" s="302"/>
      <c r="J1202" s="241"/>
      <c r="M1202" s="303"/>
      <c r="N1202" s="281"/>
      <c r="O1202" s="304"/>
      <c r="P1202" s="305"/>
      <c r="Q1202" s="306"/>
      <c r="R1202" s="289" t="str">
        <f t="shared" si="21"/>
        <v/>
      </c>
      <c r="S1202" s="241"/>
    </row>
    <row r="1203" spans="1:19" ht="18" customHeight="1">
      <c r="A1203" s="298"/>
      <c r="B1203" s="299"/>
      <c r="C1203" s="241"/>
      <c r="D1203" s="298"/>
      <c r="E1203" s="300"/>
      <c r="F1203" s="298"/>
      <c r="G1203" s="241"/>
      <c r="H1203" s="302"/>
      <c r="J1203" s="241"/>
      <c r="M1203" s="303"/>
      <c r="N1203" s="281"/>
      <c r="O1203" s="304"/>
      <c r="P1203" s="305"/>
      <c r="Q1203" s="306"/>
      <c r="R1203" s="289" t="str">
        <f t="shared" si="21"/>
        <v/>
      </c>
      <c r="S1203" s="241"/>
    </row>
    <row r="1204" spans="1:19" ht="18" customHeight="1">
      <c r="A1204" s="298"/>
      <c r="B1204" s="299"/>
      <c r="C1204" s="241"/>
      <c r="D1204" s="298"/>
      <c r="E1204" s="300"/>
      <c r="F1204" s="298"/>
      <c r="G1204" s="241"/>
      <c r="H1204" s="302"/>
      <c r="J1204" s="241"/>
      <c r="M1204" s="303"/>
      <c r="N1204" s="281"/>
      <c r="O1204" s="304"/>
      <c r="P1204" s="305"/>
      <c r="Q1204" s="306"/>
      <c r="R1204" s="289" t="str">
        <f t="shared" si="21"/>
        <v/>
      </c>
      <c r="S1204" s="241"/>
    </row>
    <row r="1205" spans="1:19" ht="18" customHeight="1">
      <c r="A1205" s="298"/>
      <c r="B1205" s="299"/>
      <c r="C1205" s="241"/>
      <c r="D1205" s="298"/>
      <c r="E1205" s="300"/>
      <c r="F1205" s="298"/>
      <c r="G1205" s="241"/>
      <c r="H1205" s="302"/>
      <c r="J1205" s="241"/>
      <c r="M1205" s="303"/>
      <c r="N1205" s="281"/>
      <c r="O1205" s="304"/>
      <c r="P1205" s="305"/>
      <c r="Q1205" s="306"/>
      <c r="R1205" s="289" t="str">
        <f t="shared" si="21"/>
        <v/>
      </c>
      <c r="S1205" s="241"/>
    </row>
    <row r="1206" spans="1:19" ht="18" customHeight="1">
      <c r="A1206" s="298"/>
      <c r="B1206" s="299"/>
      <c r="C1206" s="241"/>
      <c r="D1206" s="298"/>
      <c r="E1206" s="300"/>
      <c r="F1206" s="298"/>
      <c r="G1206" s="241"/>
      <c r="H1206" s="302"/>
      <c r="J1206" s="241"/>
      <c r="M1206" s="303"/>
      <c r="N1206" s="281"/>
      <c r="O1206" s="304"/>
      <c r="P1206" s="305"/>
      <c r="Q1206" s="306"/>
      <c r="R1206" s="289" t="str">
        <f t="shared" si="21"/>
        <v/>
      </c>
      <c r="S1206" s="241"/>
    </row>
    <row r="1207" spans="1:19" ht="18" customHeight="1">
      <c r="A1207" s="298"/>
      <c r="B1207" s="299"/>
      <c r="C1207" s="241"/>
      <c r="D1207" s="298"/>
      <c r="E1207" s="300"/>
      <c r="F1207" s="298"/>
      <c r="G1207" s="241"/>
      <c r="H1207" s="302"/>
      <c r="J1207" s="241"/>
      <c r="M1207" s="303"/>
      <c r="N1207" s="281"/>
      <c r="O1207" s="304"/>
      <c r="P1207" s="305"/>
      <c r="Q1207" s="306"/>
      <c r="R1207" s="289" t="str">
        <f t="shared" si="21"/>
        <v/>
      </c>
      <c r="S1207" s="241"/>
    </row>
    <row r="1208" spans="1:19" ht="18" customHeight="1">
      <c r="A1208" s="298"/>
      <c r="B1208" s="299"/>
      <c r="C1208" s="241"/>
      <c r="D1208" s="298"/>
      <c r="E1208" s="300"/>
      <c r="F1208" s="298"/>
      <c r="G1208" s="241"/>
      <c r="H1208" s="302"/>
      <c r="J1208" s="241"/>
      <c r="M1208" s="303"/>
      <c r="N1208" s="281"/>
      <c r="O1208" s="304"/>
      <c r="P1208" s="305"/>
      <c r="Q1208" s="306"/>
      <c r="R1208" s="289" t="str">
        <f t="shared" si="21"/>
        <v/>
      </c>
      <c r="S1208" s="241"/>
    </row>
    <row r="1209" spans="1:19" ht="18" customHeight="1">
      <c r="A1209" s="298"/>
      <c r="B1209" s="299"/>
      <c r="C1209" s="241"/>
      <c r="D1209" s="298"/>
      <c r="E1209" s="300"/>
      <c r="F1209" s="298"/>
      <c r="G1209" s="241"/>
      <c r="H1209" s="302"/>
      <c r="J1209" s="241"/>
      <c r="M1209" s="303"/>
      <c r="N1209" s="281"/>
      <c r="O1209" s="304"/>
      <c r="P1209" s="305"/>
      <c r="Q1209" s="306"/>
      <c r="R1209" s="289" t="str">
        <f t="shared" si="21"/>
        <v/>
      </c>
      <c r="S1209" s="241"/>
    </row>
    <row r="1210" spans="1:19" ht="18" customHeight="1">
      <c r="A1210" s="298"/>
      <c r="B1210" s="299"/>
      <c r="C1210" s="241"/>
      <c r="D1210" s="298"/>
      <c r="E1210" s="300"/>
      <c r="F1210" s="298"/>
      <c r="G1210" s="241"/>
      <c r="H1210" s="302"/>
      <c r="J1210" s="241"/>
      <c r="M1210" s="303"/>
      <c r="N1210" s="281"/>
      <c r="O1210" s="304"/>
      <c r="P1210" s="305"/>
      <c r="Q1210" s="306"/>
      <c r="R1210" s="289" t="str">
        <f t="shared" si="21"/>
        <v/>
      </c>
      <c r="S1210" s="241"/>
    </row>
    <row r="1211" spans="1:19" ht="18" customHeight="1">
      <c r="A1211" s="298"/>
      <c r="B1211" s="299"/>
      <c r="C1211" s="241"/>
      <c r="D1211" s="298"/>
      <c r="E1211" s="300"/>
      <c r="F1211" s="298"/>
      <c r="G1211" s="241"/>
      <c r="H1211" s="302"/>
      <c r="J1211" s="241"/>
      <c r="M1211" s="303"/>
      <c r="N1211" s="281"/>
      <c r="O1211" s="304"/>
      <c r="P1211" s="305"/>
      <c r="Q1211" s="306"/>
      <c r="R1211" s="289" t="str">
        <f t="shared" si="21"/>
        <v/>
      </c>
      <c r="S1211" s="241"/>
    </row>
    <row r="1212" spans="1:19" ht="18" customHeight="1">
      <c r="A1212" s="298"/>
      <c r="B1212" s="299"/>
      <c r="C1212" s="241"/>
      <c r="D1212" s="298"/>
      <c r="E1212" s="300"/>
      <c r="F1212" s="298"/>
      <c r="G1212" s="241"/>
      <c r="H1212" s="302"/>
      <c r="J1212" s="241"/>
      <c r="M1212" s="303"/>
      <c r="N1212" s="281"/>
      <c r="O1212" s="304"/>
      <c r="P1212" s="305"/>
      <c r="Q1212" s="306"/>
      <c r="R1212" s="289" t="str">
        <f t="shared" si="21"/>
        <v/>
      </c>
      <c r="S1212" s="241"/>
    </row>
    <row r="1213" spans="1:19" ht="18" customHeight="1">
      <c r="A1213" s="298"/>
      <c r="B1213" s="299"/>
      <c r="C1213" s="241"/>
      <c r="D1213" s="298"/>
      <c r="E1213" s="300"/>
      <c r="F1213" s="298"/>
      <c r="G1213" s="241"/>
      <c r="H1213" s="302"/>
      <c r="J1213" s="241"/>
      <c r="M1213" s="303"/>
      <c r="N1213" s="281"/>
      <c r="O1213" s="304"/>
      <c r="P1213" s="305"/>
      <c r="Q1213" s="306"/>
      <c r="R1213" s="289" t="str">
        <f t="shared" si="21"/>
        <v/>
      </c>
      <c r="S1213" s="241"/>
    </row>
    <row r="1214" spans="1:19" ht="18" customHeight="1">
      <c r="A1214" s="298"/>
      <c r="B1214" s="299"/>
      <c r="C1214" s="241"/>
      <c r="D1214" s="298"/>
      <c r="E1214" s="300"/>
      <c r="F1214" s="298"/>
      <c r="G1214" s="241"/>
      <c r="H1214" s="302"/>
      <c r="J1214" s="241"/>
      <c r="M1214" s="303"/>
      <c r="N1214" s="281"/>
      <c r="O1214" s="304"/>
      <c r="P1214" s="305"/>
      <c r="Q1214" s="306"/>
      <c r="R1214" s="289" t="str">
        <f t="shared" si="21"/>
        <v/>
      </c>
      <c r="S1214" s="241"/>
    </row>
    <row r="1215" spans="1:19" ht="18" customHeight="1">
      <c r="A1215" s="298"/>
      <c r="B1215" s="299"/>
      <c r="C1215" s="241"/>
      <c r="D1215" s="298"/>
      <c r="E1215" s="300"/>
      <c r="F1215" s="298"/>
      <c r="G1215" s="241"/>
      <c r="H1215" s="302"/>
      <c r="J1215" s="241"/>
      <c r="M1215" s="303"/>
      <c r="N1215" s="281"/>
      <c r="O1215" s="304"/>
      <c r="P1215" s="305"/>
      <c r="Q1215" s="306"/>
      <c r="R1215" s="289" t="str">
        <f t="shared" si="21"/>
        <v/>
      </c>
      <c r="S1215" s="241"/>
    </row>
    <row r="1216" spans="1:19" ht="18" customHeight="1">
      <c r="A1216" s="298"/>
      <c r="B1216" s="299"/>
      <c r="C1216" s="241"/>
      <c r="D1216" s="298"/>
      <c r="E1216" s="300"/>
      <c r="F1216" s="298"/>
      <c r="G1216" s="241"/>
      <c r="H1216" s="302"/>
      <c r="J1216" s="241"/>
      <c r="M1216" s="303"/>
      <c r="N1216" s="281"/>
      <c r="O1216" s="304"/>
      <c r="P1216" s="305"/>
      <c r="Q1216" s="306"/>
      <c r="R1216" s="289" t="str">
        <f t="shared" si="21"/>
        <v/>
      </c>
      <c r="S1216" s="241"/>
    </row>
    <row r="1217" spans="1:19" ht="18" customHeight="1">
      <c r="A1217" s="298"/>
      <c r="B1217" s="299"/>
      <c r="C1217" s="241"/>
      <c r="D1217" s="298"/>
      <c r="E1217" s="300"/>
      <c r="F1217" s="298"/>
      <c r="G1217" s="241"/>
      <c r="H1217" s="302"/>
      <c r="J1217" s="241"/>
      <c r="M1217" s="303"/>
      <c r="N1217" s="281"/>
      <c r="O1217" s="304"/>
      <c r="P1217" s="305"/>
      <c r="Q1217" s="306"/>
      <c r="R1217" s="289" t="str">
        <f t="shared" si="21"/>
        <v/>
      </c>
      <c r="S1217" s="241"/>
    </row>
    <row r="1218" spans="1:19" ht="18" customHeight="1">
      <c r="A1218" s="298"/>
      <c r="B1218" s="299"/>
      <c r="C1218" s="241"/>
      <c r="D1218" s="298"/>
      <c r="E1218" s="300"/>
      <c r="F1218" s="298"/>
      <c r="G1218" s="241"/>
      <c r="H1218" s="302"/>
      <c r="J1218" s="241"/>
      <c r="M1218" s="303"/>
      <c r="N1218" s="281"/>
      <c r="O1218" s="304"/>
      <c r="P1218" s="305"/>
      <c r="Q1218" s="306"/>
      <c r="R1218" s="289" t="str">
        <f t="shared" si="21"/>
        <v/>
      </c>
      <c r="S1218" s="241"/>
    </row>
    <row r="1219" spans="1:19" ht="18" customHeight="1">
      <c r="A1219" s="298"/>
      <c r="B1219" s="299"/>
      <c r="C1219" s="241"/>
      <c r="D1219" s="298"/>
      <c r="E1219" s="300"/>
      <c r="F1219" s="298"/>
      <c r="G1219" s="241"/>
      <c r="H1219" s="302"/>
      <c r="J1219" s="241"/>
      <c r="M1219" s="303"/>
      <c r="N1219" s="281"/>
      <c r="O1219" s="304"/>
      <c r="P1219" s="305"/>
      <c r="Q1219" s="306"/>
      <c r="R1219" s="289" t="str">
        <f t="shared" si="21"/>
        <v/>
      </c>
      <c r="S1219" s="241"/>
    </row>
    <row r="1220" spans="1:19" ht="18" customHeight="1">
      <c r="A1220" s="298"/>
      <c r="B1220" s="299"/>
      <c r="C1220" s="241"/>
      <c r="D1220" s="298"/>
      <c r="E1220" s="300"/>
      <c r="F1220" s="298"/>
      <c r="G1220" s="241"/>
      <c r="H1220" s="302"/>
      <c r="J1220" s="241"/>
      <c r="M1220" s="303"/>
      <c r="N1220" s="281"/>
      <c r="O1220" s="304"/>
      <c r="P1220" s="305"/>
      <c r="Q1220" s="306"/>
      <c r="R1220" s="289" t="str">
        <f t="shared" si="21"/>
        <v/>
      </c>
      <c r="S1220" s="241"/>
    </row>
    <row r="1221" spans="1:19" ht="18" customHeight="1">
      <c r="A1221" s="298"/>
      <c r="B1221" s="299"/>
      <c r="C1221" s="241"/>
      <c r="D1221" s="298"/>
      <c r="E1221" s="300"/>
      <c r="F1221" s="298"/>
      <c r="G1221" s="241"/>
      <c r="H1221" s="302"/>
      <c r="J1221" s="241"/>
      <c r="M1221" s="303"/>
      <c r="N1221" s="281"/>
      <c r="O1221" s="304"/>
      <c r="P1221" s="305"/>
      <c r="Q1221" s="306"/>
      <c r="R1221" s="289" t="str">
        <f t="shared" si="21"/>
        <v/>
      </c>
      <c r="S1221" s="241"/>
    </row>
    <row r="1222" spans="1:19" ht="18" customHeight="1">
      <c r="A1222" s="298"/>
      <c r="B1222" s="299"/>
      <c r="C1222" s="241"/>
      <c r="D1222" s="298"/>
      <c r="E1222" s="300"/>
      <c r="F1222" s="298"/>
      <c r="G1222" s="241"/>
      <c r="H1222" s="302"/>
      <c r="J1222" s="241"/>
      <c r="M1222" s="303"/>
      <c r="N1222" s="281"/>
      <c r="O1222" s="304"/>
      <c r="P1222" s="305"/>
      <c r="Q1222" s="306"/>
      <c r="R1222" s="289" t="str">
        <f t="shared" si="21"/>
        <v/>
      </c>
      <c r="S1222" s="241"/>
    </row>
    <row r="1223" spans="1:19" ht="18" customHeight="1">
      <c r="A1223" s="298"/>
      <c r="B1223" s="299"/>
      <c r="C1223" s="241"/>
      <c r="D1223" s="298"/>
      <c r="E1223" s="300"/>
      <c r="F1223" s="298"/>
      <c r="G1223" s="241"/>
      <c r="H1223" s="302"/>
      <c r="J1223" s="241"/>
      <c r="M1223" s="303"/>
      <c r="N1223" s="281"/>
      <c r="O1223" s="304"/>
      <c r="P1223" s="305"/>
      <c r="Q1223" s="306"/>
      <c r="R1223" s="289" t="str">
        <f t="shared" si="21"/>
        <v/>
      </c>
      <c r="S1223" s="241"/>
    </row>
    <row r="1224" spans="1:19" ht="18" customHeight="1">
      <c r="A1224" s="298"/>
      <c r="B1224" s="299"/>
      <c r="C1224" s="241"/>
      <c r="D1224" s="298"/>
      <c r="E1224" s="300"/>
      <c r="F1224" s="298"/>
      <c r="G1224" s="241"/>
      <c r="H1224" s="302"/>
      <c r="J1224" s="241"/>
      <c r="M1224" s="303"/>
      <c r="N1224" s="281"/>
      <c r="O1224" s="304"/>
      <c r="P1224" s="305"/>
      <c r="Q1224" s="306"/>
      <c r="R1224" s="289" t="str">
        <f t="shared" si="21"/>
        <v/>
      </c>
      <c r="S1224" s="241"/>
    </row>
    <row r="1225" spans="1:19" ht="18" customHeight="1">
      <c r="A1225" s="298"/>
      <c r="B1225" s="299"/>
      <c r="C1225" s="241"/>
      <c r="D1225" s="298"/>
      <c r="E1225" s="300"/>
      <c r="F1225" s="298"/>
      <c r="G1225" s="241"/>
      <c r="H1225" s="302"/>
      <c r="J1225" s="241"/>
      <c r="M1225" s="303"/>
      <c r="N1225" s="281"/>
      <c r="O1225" s="304"/>
      <c r="P1225" s="305"/>
      <c r="Q1225" s="306"/>
      <c r="R1225" s="289" t="str">
        <f t="shared" si="21"/>
        <v/>
      </c>
      <c r="S1225" s="241"/>
    </row>
    <row r="1226" spans="1:19" ht="18" customHeight="1">
      <c r="A1226" s="298"/>
      <c r="B1226" s="299"/>
      <c r="C1226" s="241"/>
      <c r="D1226" s="298"/>
      <c r="E1226" s="300"/>
      <c r="F1226" s="298"/>
      <c r="G1226" s="241"/>
      <c r="H1226" s="302"/>
      <c r="J1226" s="241"/>
      <c r="M1226" s="303"/>
      <c r="N1226" s="281"/>
      <c r="O1226" s="304"/>
      <c r="P1226" s="305"/>
      <c r="Q1226" s="306"/>
      <c r="R1226" s="289" t="str">
        <f t="shared" si="21"/>
        <v/>
      </c>
      <c r="S1226" s="241"/>
    </row>
    <row r="1227" spans="1:19" ht="18" customHeight="1">
      <c r="A1227" s="298"/>
      <c r="B1227" s="299"/>
      <c r="C1227" s="241"/>
      <c r="D1227" s="298"/>
      <c r="E1227" s="300"/>
      <c r="F1227" s="298"/>
      <c r="G1227" s="241"/>
      <c r="H1227" s="302"/>
      <c r="J1227" s="241"/>
      <c r="M1227" s="303"/>
      <c r="N1227" s="281"/>
      <c r="O1227" s="304"/>
      <c r="P1227" s="305"/>
      <c r="Q1227" s="306"/>
      <c r="R1227" s="289" t="str">
        <f t="shared" si="21"/>
        <v/>
      </c>
      <c r="S1227" s="241"/>
    </row>
    <row r="1228" spans="1:19" ht="18" customHeight="1">
      <c r="A1228" s="298"/>
      <c r="B1228" s="299"/>
      <c r="C1228" s="241"/>
      <c r="D1228" s="298"/>
      <c r="E1228" s="300"/>
      <c r="F1228" s="298"/>
      <c r="G1228" s="241"/>
      <c r="H1228" s="302"/>
      <c r="J1228" s="241"/>
      <c r="M1228" s="303"/>
      <c r="N1228" s="281"/>
      <c r="O1228" s="304"/>
      <c r="P1228" s="305"/>
      <c r="Q1228" s="306"/>
      <c r="R1228" s="289" t="str">
        <f t="shared" si="21"/>
        <v/>
      </c>
      <c r="S1228" s="241"/>
    </row>
    <row r="1229" spans="1:19" ht="18" customHeight="1">
      <c r="A1229" s="298"/>
      <c r="B1229" s="299"/>
      <c r="C1229" s="241"/>
      <c r="D1229" s="298"/>
      <c r="E1229" s="300"/>
      <c r="F1229" s="298"/>
      <c r="G1229" s="241"/>
      <c r="H1229" s="302"/>
      <c r="J1229" s="241"/>
      <c r="M1229" s="303"/>
      <c r="N1229" s="281"/>
      <c r="O1229" s="304"/>
      <c r="P1229" s="305"/>
      <c r="Q1229" s="306"/>
      <c r="R1229" s="289" t="str">
        <f t="shared" si="21"/>
        <v/>
      </c>
      <c r="S1229" s="241"/>
    </row>
    <row r="1230" spans="1:19" ht="18" customHeight="1">
      <c r="A1230" s="298"/>
      <c r="B1230" s="299"/>
      <c r="C1230" s="241"/>
      <c r="D1230" s="298"/>
      <c r="E1230" s="300"/>
      <c r="F1230" s="298"/>
      <c r="G1230" s="241"/>
      <c r="H1230" s="302"/>
      <c r="J1230" s="241"/>
      <c r="M1230" s="303"/>
      <c r="N1230" s="281"/>
      <c r="O1230" s="304"/>
      <c r="P1230" s="305"/>
      <c r="Q1230" s="306"/>
      <c r="R1230" s="289" t="str">
        <f t="shared" si="21"/>
        <v/>
      </c>
      <c r="S1230" s="241"/>
    </row>
    <row r="1231" spans="1:19" ht="18" customHeight="1">
      <c r="A1231" s="298"/>
      <c r="B1231" s="299"/>
      <c r="C1231" s="241"/>
      <c r="D1231" s="298"/>
      <c r="E1231" s="300"/>
      <c r="F1231" s="298"/>
      <c r="G1231" s="241"/>
      <c r="H1231" s="302"/>
      <c r="J1231" s="241"/>
      <c r="M1231" s="303"/>
      <c r="N1231" s="281"/>
      <c r="O1231" s="304"/>
      <c r="P1231" s="305"/>
      <c r="Q1231" s="306"/>
      <c r="R1231" s="289" t="str">
        <f t="shared" si="21"/>
        <v/>
      </c>
      <c r="S1231" s="241"/>
    </row>
    <row r="1232" spans="1:19" ht="18" customHeight="1">
      <c r="A1232" s="298"/>
      <c r="B1232" s="299"/>
      <c r="C1232" s="241"/>
      <c r="D1232" s="298"/>
      <c r="E1232" s="300"/>
      <c r="F1232" s="298"/>
      <c r="G1232" s="241"/>
      <c r="H1232" s="302"/>
      <c r="J1232" s="241"/>
      <c r="M1232" s="303"/>
      <c r="N1232" s="281"/>
      <c r="O1232" s="304"/>
      <c r="P1232" s="305"/>
      <c r="Q1232" s="306"/>
      <c r="R1232" s="289" t="str">
        <f t="shared" si="21"/>
        <v/>
      </c>
      <c r="S1232" s="241"/>
    </row>
    <row r="1233" spans="1:19" ht="18" customHeight="1">
      <c r="A1233" s="298"/>
      <c r="B1233" s="299"/>
      <c r="C1233" s="241"/>
      <c r="D1233" s="298"/>
      <c r="E1233" s="300"/>
      <c r="F1233" s="298"/>
      <c r="G1233" s="241"/>
      <c r="H1233" s="302"/>
      <c r="J1233" s="241"/>
      <c r="M1233" s="303"/>
      <c r="N1233" s="281"/>
      <c r="O1233" s="304"/>
      <c r="P1233" s="305"/>
      <c r="Q1233" s="306"/>
      <c r="R1233" s="289" t="str">
        <f t="shared" si="21"/>
        <v/>
      </c>
      <c r="S1233" s="241"/>
    </row>
    <row r="1234" spans="1:19" ht="18" customHeight="1">
      <c r="A1234" s="298"/>
      <c r="B1234" s="299"/>
      <c r="C1234" s="241"/>
      <c r="D1234" s="298"/>
      <c r="E1234" s="300"/>
      <c r="F1234" s="298"/>
      <c r="G1234" s="241"/>
      <c r="H1234" s="302"/>
      <c r="J1234" s="241"/>
      <c r="M1234" s="303"/>
      <c r="N1234" s="281"/>
      <c r="O1234" s="304"/>
      <c r="P1234" s="305"/>
      <c r="Q1234" s="306"/>
      <c r="R1234" s="289" t="str">
        <f t="shared" si="21"/>
        <v/>
      </c>
      <c r="S1234" s="241"/>
    </row>
    <row r="1235" spans="1:19" ht="18" customHeight="1">
      <c r="A1235" s="298"/>
      <c r="B1235" s="299"/>
      <c r="C1235" s="241"/>
      <c r="D1235" s="298"/>
      <c r="E1235" s="300"/>
      <c r="F1235" s="298"/>
      <c r="G1235" s="241"/>
      <c r="H1235" s="302"/>
      <c r="J1235" s="241"/>
      <c r="M1235" s="303"/>
      <c r="N1235" s="281"/>
      <c r="O1235" s="304"/>
      <c r="P1235" s="305"/>
      <c r="Q1235" s="306"/>
      <c r="R1235" s="289" t="str">
        <f t="shared" si="21"/>
        <v/>
      </c>
      <c r="S1235" s="241"/>
    </row>
    <row r="1236" spans="1:19" ht="18" customHeight="1">
      <c r="A1236" s="298"/>
      <c r="B1236" s="299"/>
      <c r="C1236" s="241"/>
      <c r="D1236" s="298"/>
      <c r="E1236" s="300"/>
      <c r="F1236" s="298"/>
      <c r="G1236" s="241"/>
      <c r="H1236" s="302"/>
      <c r="J1236" s="241"/>
      <c r="M1236" s="303"/>
      <c r="N1236" s="281"/>
      <c r="O1236" s="304"/>
      <c r="P1236" s="305"/>
      <c r="Q1236" s="306"/>
      <c r="R1236" s="289" t="str">
        <f t="shared" si="21"/>
        <v/>
      </c>
      <c r="S1236" s="241"/>
    </row>
    <row r="1237" spans="1:19" ht="18" customHeight="1">
      <c r="A1237" s="298"/>
      <c r="B1237" s="299"/>
      <c r="C1237" s="241"/>
      <c r="D1237" s="298"/>
      <c r="E1237" s="300"/>
      <c r="F1237" s="298"/>
      <c r="G1237" s="241"/>
      <c r="H1237" s="302"/>
      <c r="J1237" s="241"/>
      <c r="M1237" s="303"/>
      <c r="N1237" s="281"/>
      <c r="O1237" s="304"/>
      <c r="P1237" s="305"/>
      <c r="Q1237" s="306"/>
      <c r="R1237" s="289" t="str">
        <f t="shared" si="21"/>
        <v/>
      </c>
      <c r="S1237" s="241"/>
    </row>
    <row r="1238" spans="1:19" ht="18" customHeight="1">
      <c r="A1238" s="298"/>
      <c r="B1238" s="299"/>
      <c r="C1238" s="241"/>
      <c r="D1238" s="298"/>
      <c r="E1238" s="300"/>
      <c r="F1238" s="298"/>
      <c r="G1238" s="241"/>
      <c r="H1238" s="302"/>
      <c r="J1238" s="241"/>
      <c r="M1238" s="303"/>
      <c r="N1238" s="281"/>
      <c r="O1238" s="304"/>
      <c r="P1238" s="305"/>
      <c r="Q1238" s="306"/>
      <c r="R1238" s="289" t="str">
        <f t="shared" si="21"/>
        <v/>
      </c>
      <c r="S1238" s="241"/>
    </row>
    <row r="1239" spans="1:19" ht="18" customHeight="1">
      <c r="A1239" s="298"/>
      <c r="B1239" s="299"/>
      <c r="C1239" s="241"/>
      <c r="D1239" s="298"/>
      <c r="E1239" s="300"/>
      <c r="F1239" s="298"/>
      <c r="G1239" s="241"/>
      <c r="H1239" s="302"/>
      <c r="J1239" s="241"/>
      <c r="M1239" s="303"/>
      <c r="N1239" s="281"/>
      <c r="O1239" s="304"/>
      <c r="P1239" s="305"/>
      <c r="Q1239" s="306"/>
      <c r="R1239" s="289" t="str">
        <f t="shared" si="21"/>
        <v/>
      </c>
      <c r="S1239" s="241"/>
    </row>
    <row r="1240" spans="1:19" ht="18" customHeight="1">
      <c r="A1240" s="298"/>
      <c r="B1240" s="299"/>
      <c r="C1240" s="241"/>
      <c r="D1240" s="298"/>
      <c r="E1240" s="300"/>
      <c r="F1240" s="298"/>
      <c r="G1240" s="241"/>
      <c r="H1240" s="302"/>
      <c r="J1240" s="241"/>
      <c r="M1240" s="303"/>
      <c r="N1240" s="281"/>
      <c r="O1240" s="304"/>
      <c r="P1240" s="305"/>
      <c r="Q1240" s="306"/>
      <c r="R1240" s="289" t="str">
        <f t="shared" si="21"/>
        <v/>
      </c>
      <c r="S1240" s="241"/>
    </row>
    <row r="1241" spans="1:19" ht="18" customHeight="1">
      <c r="A1241" s="298"/>
      <c r="B1241" s="299"/>
      <c r="C1241" s="241"/>
      <c r="D1241" s="298"/>
      <c r="E1241" s="300"/>
      <c r="F1241" s="298"/>
      <c r="G1241" s="241"/>
      <c r="H1241" s="302"/>
      <c r="J1241" s="241"/>
      <c r="M1241" s="303"/>
      <c r="N1241" s="281"/>
      <c r="O1241" s="304"/>
      <c r="P1241" s="305"/>
      <c r="Q1241" s="306"/>
      <c r="R1241" s="289" t="str">
        <f t="shared" si="21"/>
        <v/>
      </c>
      <c r="S1241" s="241"/>
    </row>
    <row r="1242" spans="1:19" ht="18" customHeight="1">
      <c r="A1242" s="298"/>
      <c r="B1242" s="299"/>
      <c r="C1242" s="241"/>
      <c r="D1242" s="298"/>
      <c r="E1242" s="300"/>
      <c r="F1242" s="298"/>
      <c r="G1242" s="241"/>
      <c r="H1242" s="302"/>
      <c r="J1242" s="241"/>
      <c r="M1242" s="303"/>
      <c r="N1242" s="281"/>
      <c r="O1242" s="304"/>
      <c r="P1242" s="305"/>
      <c r="Q1242" s="306"/>
      <c r="R1242" s="289" t="str">
        <f t="shared" ref="R1242:R1275" si="22">IF(SUM(Q1242)&gt;0,SUM(Q1242-P1242),"")</f>
        <v/>
      </c>
      <c r="S1242" s="241"/>
    </row>
    <row r="1243" spans="1:19" ht="18" customHeight="1">
      <c r="A1243" s="298"/>
      <c r="B1243" s="299"/>
      <c r="C1243" s="241"/>
      <c r="D1243" s="298"/>
      <c r="E1243" s="300"/>
      <c r="F1243" s="298"/>
      <c r="G1243" s="241"/>
      <c r="H1243" s="302"/>
      <c r="J1243" s="241"/>
      <c r="M1243" s="303"/>
      <c r="N1243" s="281"/>
      <c r="O1243" s="304"/>
      <c r="P1243" s="305"/>
      <c r="Q1243" s="306"/>
      <c r="R1243" s="289" t="str">
        <f t="shared" si="22"/>
        <v/>
      </c>
      <c r="S1243" s="241"/>
    </row>
    <row r="1244" spans="1:19" ht="18" customHeight="1">
      <c r="A1244" s="298"/>
      <c r="B1244" s="299"/>
      <c r="C1244" s="241"/>
      <c r="D1244" s="298"/>
      <c r="E1244" s="300"/>
      <c r="F1244" s="298"/>
      <c r="G1244" s="241"/>
      <c r="H1244" s="302"/>
      <c r="J1244" s="241"/>
      <c r="M1244" s="303"/>
      <c r="N1244" s="281"/>
      <c r="O1244" s="304"/>
      <c r="P1244" s="305"/>
      <c r="Q1244" s="306"/>
      <c r="R1244" s="289" t="str">
        <f t="shared" si="22"/>
        <v/>
      </c>
      <c r="S1244" s="241"/>
    </row>
    <row r="1245" spans="1:19" ht="18" customHeight="1">
      <c r="A1245" s="298"/>
      <c r="B1245" s="299"/>
      <c r="C1245" s="241"/>
      <c r="D1245" s="298"/>
      <c r="E1245" s="300"/>
      <c r="F1245" s="298"/>
      <c r="G1245" s="241"/>
      <c r="H1245" s="302"/>
      <c r="J1245" s="241"/>
      <c r="M1245" s="303"/>
      <c r="N1245" s="281"/>
      <c r="O1245" s="304"/>
      <c r="P1245" s="305"/>
      <c r="Q1245" s="306"/>
      <c r="R1245" s="289" t="str">
        <f t="shared" si="22"/>
        <v/>
      </c>
      <c r="S1245" s="241"/>
    </row>
    <row r="1246" spans="1:19" ht="18" customHeight="1">
      <c r="A1246" s="298"/>
      <c r="B1246" s="299"/>
      <c r="C1246" s="241"/>
      <c r="D1246" s="298"/>
      <c r="E1246" s="300"/>
      <c r="F1246" s="298"/>
      <c r="G1246" s="241"/>
      <c r="H1246" s="302"/>
      <c r="J1246" s="241"/>
      <c r="M1246" s="303"/>
      <c r="N1246" s="281"/>
      <c r="O1246" s="304"/>
      <c r="P1246" s="305"/>
      <c r="Q1246" s="306"/>
      <c r="R1246" s="289" t="str">
        <f t="shared" si="22"/>
        <v/>
      </c>
      <c r="S1246" s="241"/>
    </row>
    <row r="1247" spans="1:19" ht="18" customHeight="1">
      <c r="A1247" s="298"/>
      <c r="B1247" s="299"/>
      <c r="C1247" s="241"/>
      <c r="D1247" s="298"/>
      <c r="E1247" s="300"/>
      <c r="F1247" s="298"/>
      <c r="G1247" s="241"/>
      <c r="H1247" s="302"/>
      <c r="J1247" s="241"/>
      <c r="M1247" s="303"/>
      <c r="N1247" s="281"/>
      <c r="O1247" s="304"/>
      <c r="P1247" s="305"/>
      <c r="Q1247" s="306"/>
      <c r="R1247" s="289" t="str">
        <f t="shared" si="22"/>
        <v/>
      </c>
      <c r="S1247" s="241"/>
    </row>
    <row r="1248" spans="1:19" ht="18" customHeight="1">
      <c r="A1248" s="298"/>
      <c r="B1248" s="299"/>
      <c r="C1248" s="241"/>
      <c r="D1248" s="298"/>
      <c r="E1248" s="300"/>
      <c r="F1248" s="298"/>
      <c r="G1248" s="241"/>
      <c r="H1248" s="302"/>
      <c r="J1248" s="241"/>
      <c r="M1248" s="303"/>
      <c r="N1248" s="281"/>
      <c r="O1248" s="304"/>
      <c r="P1248" s="305"/>
      <c r="Q1248" s="306"/>
      <c r="R1248" s="289" t="str">
        <f t="shared" si="22"/>
        <v/>
      </c>
      <c r="S1248" s="241"/>
    </row>
    <row r="1249" spans="1:19" ht="18" customHeight="1">
      <c r="A1249" s="298"/>
      <c r="B1249" s="299"/>
      <c r="C1249" s="241"/>
      <c r="D1249" s="298"/>
      <c r="E1249" s="300"/>
      <c r="F1249" s="298"/>
      <c r="G1249" s="241"/>
      <c r="H1249" s="302"/>
      <c r="J1249" s="241"/>
      <c r="M1249" s="303"/>
      <c r="N1249" s="281"/>
      <c r="O1249" s="304"/>
      <c r="P1249" s="305"/>
      <c r="Q1249" s="306"/>
      <c r="R1249" s="289" t="str">
        <f t="shared" si="22"/>
        <v/>
      </c>
      <c r="S1249" s="241"/>
    </row>
    <row r="1250" spans="1:19" ht="18" customHeight="1">
      <c r="A1250" s="298"/>
      <c r="B1250" s="299"/>
      <c r="C1250" s="241"/>
      <c r="D1250" s="298"/>
      <c r="E1250" s="300"/>
      <c r="F1250" s="298"/>
      <c r="G1250" s="241"/>
      <c r="H1250" s="302"/>
      <c r="J1250" s="241"/>
      <c r="M1250" s="303"/>
      <c r="N1250" s="281"/>
      <c r="O1250" s="304"/>
      <c r="P1250" s="305"/>
      <c r="Q1250" s="306"/>
      <c r="R1250" s="289" t="str">
        <f t="shared" si="22"/>
        <v/>
      </c>
      <c r="S1250" s="241"/>
    </row>
    <row r="1251" spans="1:19" ht="18" customHeight="1">
      <c r="A1251" s="298"/>
      <c r="B1251" s="299"/>
      <c r="C1251" s="241"/>
      <c r="D1251" s="298"/>
      <c r="E1251" s="300"/>
      <c r="F1251" s="298"/>
      <c r="G1251" s="241"/>
      <c r="H1251" s="302"/>
      <c r="J1251" s="241"/>
      <c r="M1251" s="303"/>
      <c r="N1251" s="281"/>
      <c r="O1251" s="304"/>
      <c r="P1251" s="305"/>
      <c r="Q1251" s="306"/>
      <c r="R1251" s="289" t="str">
        <f t="shared" si="22"/>
        <v/>
      </c>
      <c r="S1251" s="241"/>
    </row>
    <row r="1252" spans="1:19" ht="18" customHeight="1">
      <c r="A1252" s="298"/>
      <c r="B1252" s="299"/>
      <c r="C1252" s="241"/>
      <c r="D1252" s="298"/>
      <c r="E1252" s="300"/>
      <c r="F1252" s="298"/>
      <c r="G1252" s="241"/>
      <c r="H1252" s="302"/>
      <c r="J1252" s="241"/>
      <c r="M1252" s="303"/>
      <c r="N1252" s="281"/>
      <c r="O1252" s="304"/>
      <c r="P1252" s="305"/>
      <c r="Q1252" s="306"/>
      <c r="R1252" s="289" t="str">
        <f t="shared" si="22"/>
        <v/>
      </c>
      <c r="S1252" s="241"/>
    </row>
    <row r="1253" spans="1:19" ht="18" customHeight="1">
      <c r="A1253" s="298"/>
      <c r="B1253" s="299"/>
      <c r="C1253" s="241"/>
      <c r="D1253" s="298"/>
      <c r="E1253" s="300"/>
      <c r="F1253" s="298"/>
      <c r="G1253" s="241"/>
      <c r="H1253" s="302"/>
      <c r="J1253" s="241"/>
      <c r="M1253" s="303"/>
      <c r="N1253" s="281"/>
      <c r="O1253" s="304"/>
      <c r="P1253" s="305"/>
      <c r="Q1253" s="306"/>
      <c r="R1253" s="289" t="str">
        <f t="shared" si="22"/>
        <v/>
      </c>
      <c r="S1253" s="241"/>
    </row>
    <row r="1254" spans="1:19" ht="18" customHeight="1">
      <c r="A1254" s="298"/>
      <c r="B1254" s="299"/>
      <c r="C1254" s="241"/>
      <c r="D1254" s="298"/>
      <c r="E1254" s="300"/>
      <c r="F1254" s="298"/>
      <c r="G1254" s="241"/>
      <c r="H1254" s="302"/>
      <c r="J1254" s="241"/>
      <c r="M1254" s="303"/>
      <c r="N1254" s="281"/>
      <c r="O1254" s="304"/>
      <c r="P1254" s="305"/>
      <c r="Q1254" s="306"/>
      <c r="R1254" s="289" t="str">
        <f t="shared" si="22"/>
        <v/>
      </c>
      <c r="S1254" s="241"/>
    </row>
    <row r="1255" spans="1:19" ht="18" customHeight="1">
      <c r="A1255" s="298"/>
      <c r="B1255" s="299"/>
      <c r="C1255" s="241"/>
      <c r="D1255" s="298"/>
      <c r="E1255" s="300"/>
      <c r="F1255" s="298"/>
      <c r="G1255" s="241"/>
      <c r="H1255" s="302"/>
      <c r="J1255" s="241"/>
      <c r="M1255" s="303"/>
      <c r="N1255" s="281"/>
      <c r="O1255" s="304"/>
      <c r="P1255" s="305"/>
      <c r="Q1255" s="306"/>
      <c r="R1255" s="289" t="str">
        <f t="shared" si="22"/>
        <v/>
      </c>
      <c r="S1255" s="241"/>
    </row>
    <row r="1256" spans="1:19" ht="18" customHeight="1">
      <c r="A1256" s="298"/>
      <c r="B1256" s="299"/>
      <c r="C1256" s="241"/>
      <c r="D1256" s="298"/>
      <c r="E1256" s="300"/>
      <c r="F1256" s="298"/>
      <c r="G1256" s="241"/>
      <c r="H1256" s="302"/>
      <c r="J1256" s="241"/>
      <c r="M1256" s="303"/>
      <c r="N1256" s="281"/>
      <c r="O1256" s="304"/>
      <c r="P1256" s="305"/>
      <c r="Q1256" s="306"/>
      <c r="R1256" s="289" t="str">
        <f t="shared" si="22"/>
        <v/>
      </c>
      <c r="S1256" s="241"/>
    </row>
    <row r="1257" spans="1:19" ht="18" customHeight="1">
      <c r="A1257" s="298"/>
      <c r="B1257" s="299"/>
      <c r="C1257" s="241"/>
      <c r="D1257" s="298"/>
      <c r="E1257" s="300"/>
      <c r="F1257" s="298"/>
      <c r="G1257" s="241"/>
      <c r="H1257" s="302"/>
      <c r="J1257" s="241"/>
      <c r="M1257" s="303"/>
      <c r="N1257" s="281"/>
      <c r="O1257" s="304"/>
      <c r="P1257" s="305"/>
      <c r="Q1257" s="306"/>
      <c r="R1257" s="289" t="str">
        <f t="shared" si="22"/>
        <v/>
      </c>
      <c r="S1257" s="241"/>
    </row>
    <row r="1258" spans="1:19" ht="18" customHeight="1">
      <c r="A1258" s="298"/>
      <c r="B1258" s="299"/>
      <c r="C1258" s="241"/>
      <c r="D1258" s="298"/>
      <c r="E1258" s="300"/>
      <c r="F1258" s="298"/>
      <c r="G1258" s="241"/>
      <c r="H1258" s="302"/>
      <c r="J1258" s="241"/>
      <c r="M1258" s="303"/>
      <c r="N1258" s="281"/>
      <c r="O1258" s="304"/>
      <c r="P1258" s="305"/>
      <c r="Q1258" s="306"/>
      <c r="R1258" s="289" t="str">
        <f t="shared" si="22"/>
        <v/>
      </c>
      <c r="S1258" s="241"/>
    </row>
    <row r="1259" spans="1:19" ht="18" customHeight="1">
      <c r="A1259" s="298"/>
      <c r="B1259" s="299"/>
      <c r="C1259" s="241"/>
      <c r="D1259" s="298"/>
      <c r="E1259" s="300"/>
      <c r="F1259" s="298"/>
      <c r="G1259" s="241"/>
      <c r="H1259" s="302"/>
      <c r="J1259" s="241"/>
      <c r="M1259" s="303"/>
      <c r="N1259" s="281"/>
      <c r="O1259" s="304"/>
      <c r="P1259" s="305"/>
      <c r="Q1259" s="306"/>
      <c r="R1259" s="289" t="str">
        <f t="shared" si="22"/>
        <v/>
      </c>
      <c r="S1259" s="241"/>
    </row>
    <row r="1260" spans="1:19" ht="18" customHeight="1">
      <c r="A1260" s="298"/>
      <c r="B1260" s="299"/>
      <c r="C1260" s="241"/>
      <c r="D1260" s="298"/>
      <c r="E1260" s="300"/>
      <c r="F1260" s="298"/>
      <c r="G1260" s="241"/>
      <c r="H1260" s="302"/>
      <c r="J1260" s="241"/>
      <c r="M1260" s="303"/>
      <c r="N1260" s="281"/>
      <c r="O1260" s="304"/>
      <c r="P1260" s="305"/>
      <c r="Q1260" s="306"/>
      <c r="R1260" s="289" t="str">
        <f t="shared" si="22"/>
        <v/>
      </c>
      <c r="S1260" s="241"/>
    </row>
    <row r="1261" spans="1:19" ht="18" customHeight="1">
      <c r="A1261" s="298"/>
      <c r="B1261" s="299"/>
      <c r="C1261" s="241"/>
      <c r="D1261" s="298"/>
      <c r="E1261" s="300"/>
      <c r="F1261" s="298"/>
      <c r="G1261" s="241"/>
      <c r="H1261" s="302"/>
      <c r="J1261" s="241"/>
      <c r="M1261" s="303"/>
      <c r="N1261" s="281"/>
      <c r="O1261" s="304"/>
      <c r="P1261" s="305"/>
      <c r="Q1261" s="306"/>
      <c r="R1261" s="289" t="str">
        <f t="shared" si="22"/>
        <v/>
      </c>
      <c r="S1261" s="241"/>
    </row>
    <row r="1262" spans="1:19" ht="18" customHeight="1">
      <c r="A1262" s="298"/>
      <c r="B1262" s="299"/>
      <c r="C1262" s="241"/>
      <c r="D1262" s="298"/>
      <c r="E1262" s="300"/>
      <c r="F1262" s="298"/>
      <c r="G1262" s="241"/>
      <c r="H1262" s="302"/>
      <c r="J1262" s="241"/>
      <c r="M1262" s="303"/>
      <c r="N1262" s="281"/>
      <c r="O1262" s="304"/>
      <c r="P1262" s="305"/>
      <c r="Q1262" s="306"/>
      <c r="R1262" s="289" t="str">
        <f t="shared" si="22"/>
        <v/>
      </c>
      <c r="S1262" s="241"/>
    </row>
    <row r="1263" spans="1:19" ht="18" customHeight="1">
      <c r="A1263" s="298"/>
      <c r="B1263" s="299"/>
      <c r="C1263" s="241"/>
      <c r="D1263" s="298"/>
      <c r="E1263" s="300"/>
      <c r="F1263" s="298"/>
      <c r="G1263" s="241"/>
      <c r="H1263" s="302"/>
      <c r="J1263" s="241"/>
      <c r="M1263" s="303"/>
      <c r="N1263" s="281"/>
      <c r="O1263" s="304"/>
      <c r="P1263" s="305"/>
      <c r="Q1263" s="306"/>
      <c r="R1263" s="289" t="str">
        <f t="shared" si="22"/>
        <v/>
      </c>
      <c r="S1263" s="241"/>
    </row>
    <row r="1264" spans="1:19" ht="18" customHeight="1">
      <c r="A1264" s="298"/>
      <c r="B1264" s="299"/>
      <c r="C1264" s="241"/>
      <c r="D1264" s="298"/>
      <c r="E1264" s="300"/>
      <c r="F1264" s="298"/>
      <c r="G1264" s="241"/>
      <c r="H1264" s="302"/>
      <c r="J1264" s="241"/>
      <c r="M1264" s="303"/>
      <c r="N1264" s="281"/>
      <c r="O1264" s="304"/>
      <c r="P1264" s="305"/>
      <c r="Q1264" s="306"/>
      <c r="R1264" s="289" t="str">
        <f t="shared" si="22"/>
        <v/>
      </c>
      <c r="S1264" s="241"/>
    </row>
    <row r="1265" spans="1:19" ht="18" customHeight="1">
      <c r="A1265" s="298"/>
      <c r="B1265" s="299"/>
      <c r="C1265" s="241"/>
      <c r="D1265" s="298"/>
      <c r="E1265" s="300"/>
      <c r="F1265" s="298"/>
      <c r="G1265" s="241"/>
      <c r="H1265" s="302"/>
      <c r="J1265" s="241"/>
      <c r="M1265" s="303"/>
      <c r="N1265" s="281"/>
      <c r="O1265" s="304"/>
      <c r="P1265" s="305"/>
      <c r="Q1265" s="306"/>
      <c r="R1265" s="289" t="str">
        <f t="shared" si="22"/>
        <v/>
      </c>
      <c r="S1265" s="241"/>
    </row>
    <row r="1266" spans="1:19" ht="18" customHeight="1">
      <c r="A1266" s="298"/>
      <c r="B1266" s="299"/>
      <c r="C1266" s="241"/>
      <c r="D1266" s="298"/>
      <c r="E1266" s="300"/>
      <c r="F1266" s="298"/>
      <c r="G1266" s="241"/>
      <c r="H1266" s="302"/>
      <c r="J1266" s="241"/>
      <c r="M1266" s="303"/>
      <c r="N1266" s="281"/>
      <c r="O1266" s="304"/>
      <c r="P1266" s="305"/>
      <c r="Q1266" s="306"/>
      <c r="R1266" s="289" t="str">
        <f t="shared" si="22"/>
        <v/>
      </c>
      <c r="S1266" s="241"/>
    </row>
    <row r="1267" spans="1:19" ht="18" customHeight="1">
      <c r="A1267" s="298"/>
      <c r="B1267" s="299"/>
      <c r="C1267" s="241"/>
      <c r="D1267" s="298"/>
      <c r="E1267" s="300"/>
      <c r="F1267" s="298"/>
      <c r="G1267" s="241"/>
      <c r="H1267" s="302"/>
      <c r="J1267" s="241"/>
      <c r="M1267" s="303"/>
      <c r="N1267" s="281"/>
      <c r="O1267" s="304"/>
      <c r="P1267" s="305"/>
      <c r="Q1267" s="306"/>
      <c r="R1267" s="289" t="str">
        <f t="shared" si="22"/>
        <v/>
      </c>
      <c r="S1267" s="241"/>
    </row>
    <row r="1268" spans="1:19" ht="18" customHeight="1">
      <c r="A1268" s="298"/>
      <c r="B1268" s="299"/>
      <c r="C1268" s="241"/>
      <c r="D1268" s="298"/>
      <c r="E1268" s="300"/>
      <c r="F1268" s="298"/>
      <c r="G1268" s="241"/>
      <c r="H1268" s="302"/>
      <c r="J1268" s="241"/>
      <c r="M1268" s="303"/>
      <c r="N1268" s="281"/>
      <c r="O1268" s="304"/>
      <c r="P1268" s="305"/>
      <c r="Q1268" s="306"/>
      <c r="R1268" s="289" t="str">
        <f t="shared" si="22"/>
        <v/>
      </c>
      <c r="S1268" s="241"/>
    </row>
    <row r="1269" spans="1:19" ht="18" customHeight="1">
      <c r="A1269" s="298"/>
      <c r="B1269" s="299"/>
      <c r="C1269" s="241"/>
      <c r="D1269" s="298"/>
      <c r="E1269" s="300"/>
      <c r="F1269" s="298"/>
      <c r="G1269" s="241"/>
      <c r="H1269" s="302"/>
      <c r="J1269" s="241"/>
      <c r="M1269" s="303"/>
      <c r="N1269" s="281"/>
      <c r="O1269" s="304"/>
      <c r="P1269" s="305"/>
      <c r="Q1269" s="306"/>
      <c r="R1269" s="289" t="str">
        <f t="shared" si="22"/>
        <v/>
      </c>
      <c r="S1269" s="241"/>
    </row>
    <row r="1270" spans="1:19" ht="18" customHeight="1">
      <c r="A1270" s="298"/>
      <c r="B1270" s="299"/>
      <c r="C1270" s="241"/>
      <c r="D1270" s="298"/>
      <c r="E1270" s="300"/>
      <c r="F1270" s="298"/>
      <c r="G1270" s="241"/>
      <c r="H1270" s="302"/>
      <c r="J1270" s="241"/>
      <c r="M1270" s="303"/>
      <c r="N1270" s="281"/>
      <c r="O1270" s="304"/>
      <c r="P1270" s="305"/>
      <c r="Q1270" s="306"/>
      <c r="R1270" s="289" t="str">
        <f t="shared" si="22"/>
        <v/>
      </c>
      <c r="S1270" s="241"/>
    </row>
    <row r="1271" spans="1:19" ht="18" customHeight="1">
      <c r="A1271" s="298"/>
      <c r="B1271" s="299"/>
      <c r="C1271" s="241"/>
      <c r="D1271" s="298"/>
      <c r="E1271" s="300"/>
      <c r="F1271" s="298"/>
      <c r="G1271" s="241"/>
      <c r="H1271" s="302"/>
      <c r="J1271" s="241"/>
      <c r="M1271" s="303"/>
      <c r="N1271" s="281"/>
      <c r="O1271" s="304"/>
      <c r="P1271" s="305"/>
      <c r="Q1271" s="306"/>
      <c r="R1271" s="289" t="str">
        <f t="shared" si="22"/>
        <v/>
      </c>
      <c r="S1271" s="241"/>
    </row>
    <row r="1272" spans="1:19" ht="18" customHeight="1">
      <c r="A1272" s="298"/>
      <c r="B1272" s="299"/>
      <c r="C1272" s="241"/>
      <c r="D1272" s="298"/>
      <c r="E1272" s="300"/>
      <c r="F1272" s="298"/>
      <c r="G1272" s="241"/>
      <c r="H1272" s="302"/>
      <c r="J1272" s="241"/>
      <c r="M1272" s="303"/>
      <c r="N1272" s="281"/>
      <c r="O1272" s="304"/>
      <c r="P1272" s="305"/>
      <c r="Q1272" s="306"/>
      <c r="R1272" s="289" t="str">
        <f t="shared" si="22"/>
        <v/>
      </c>
      <c r="S1272" s="241"/>
    </row>
    <row r="1273" spans="1:19" ht="18" customHeight="1">
      <c r="A1273" s="298"/>
      <c r="B1273" s="299"/>
      <c r="C1273" s="241"/>
      <c r="D1273" s="298"/>
      <c r="E1273" s="300"/>
      <c r="F1273" s="298"/>
      <c r="G1273" s="241"/>
      <c r="H1273" s="302"/>
      <c r="J1273" s="241"/>
      <c r="M1273" s="303"/>
      <c r="N1273" s="281"/>
      <c r="O1273" s="304"/>
      <c r="P1273" s="305"/>
      <c r="Q1273" s="306"/>
      <c r="R1273" s="289" t="str">
        <f t="shared" si="22"/>
        <v/>
      </c>
      <c r="S1273" s="241"/>
    </row>
    <row r="1274" spans="1:19" ht="18" customHeight="1">
      <c r="A1274" s="298"/>
      <c r="B1274" s="299"/>
      <c r="C1274" s="241"/>
      <c r="D1274" s="298"/>
      <c r="E1274" s="300"/>
      <c r="F1274" s="298"/>
      <c r="G1274" s="241"/>
      <c r="H1274" s="302"/>
      <c r="J1274" s="241"/>
      <c r="M1274" s="303"/>
      <c r="N1274" s="281"/>
      <c r="O1274" s="304"/>
      <c r="P1274" s="305"/>
      <c r="Q1274" s="306"/>
      <c r="R1274" s="289" t="str">
        <f t="shared" si="22"/>
        <v/>
      </c>
      <c r="S1274" s="241"/>
    </row>
    <row r="1275" spans="1:19" ht="18" customHeight="1">
      <c r="A1275" s="298"/>
      <c r="B1275" s="299"/>
      <c r="C1275" s="241"/>
      <c r="D1275" s="298"/>
      <c r="E1275" s="300"/>
      <c r="F1275" s="298"/>
      <c r="G1275" s="241"/>
      <c r="H1275" s="302"/>
      <c r="J1275" s="241"/>
      <c r="M1275" s="303"/>
      <c r="N1275" s="281"/>
      <c r="O1275" s="304"/>
      <c r="P1275" s="305"/>
      <c r="Q1275" s="306"/>
      <c r="R1275" s="289" t="str">
        <f t="shared" si="22"/>
        <v/>
      </c>
      <c r="S1275" s="241"/>
    </row>
    <row r="1276" spans="1:19" ht="18" customHeight="1">
      <c r="A1276" s="298"/>
      <c r="B1276" s="299"/>
      <c r="C1276" s="241"/>
      <c r="D1276" s="298"/>
      <c r="E1276" s="300"/>
      <c r="F1276" s="298"/>
      <c r="G1276" s="241"/>
      <c r="H1276" s="302"/>
      <c r="J1276" s="241"/>
      <c r="M1276" s="303"/>
      <c r="N1276" s="281"/>
      <c r="O1276" s="304"/>
      <c r="P1276" s="305"/>
      <c r="Q1276" s="306"/>
      <c r="R1276" s="289" t="str">
        <f>IF(SUM(Q1276)&gt;0,SUM(Q1276-P1276),"")</f>
        <v/>
      </c>
      <c r="S1276" s="241"/>
    </row>
    <row r="1277" spans="1:19" ht="18" customHeight="1">
      <c r="A1277" s="298"/>
      <c r="B1277" s="299"/>
      <c r="C1277" s="241"/>
      <c r="D1277" s="298"/>
      <c r="E1277" s="300"/>
      <c r="F1277" s="298"/>
      <c r="G1277" s="241"/>
      <c r="H1277" s="302"/>
      <c r="J1277" s="241"/>
      <c r="M1277" s="303"/>
      <c r="N1277" s="281"/>
      <c r="O1277" s="304"/>
      <c r="P1277" s="305"/>
      <c r="Q1277" s="306"/>
      <c r="R1277" s="289" t="str">
        <f>IF(SUM(Q1277)&gt;0,SUM(Q1277-P1277),"")</f>
        <v/>
      </c>
      <c r="S1277" s="241"/>
    </row>
    <row r="1278" spans="1:19" ht="18" customHeight="1">
      <c r="A1278" s="298"/>
      <c r="B1278" s="299"/>
      <c r="C1278" s="241"/>
      <c r="D1278" s="298"/>
      <c r="E1278" s="300"/>
      <c r="F1278" s="298"/>
      <c r="G1278" s="241"/>
      <c r="H1278" s="302"/>
      <c r="J1278" s="241"/>
      <c r="M1278" s="303"/>
      <c r="N1278" s="281"/>
      <c r="O1278" s="304"/>
      <c r="P1278" s="305"/>
      <c r="Q1278" s="306"/>
      <c r="R1278" s="289" t="str">
        <f>IF(SUM(Q1278)&gt;0,SUM(Q1278-P1278),"")</f>
        <v/>
      </c>
      <c r="S1278" s="241"/>
    </row>
    <row r="1279" spans="1:19" ht="18" customHeight="1">
      <c r="B1279" s="299"/>
      <c r="C1279" s="241"/>
      <c r="D1279" s="298"/>
      <c r="G1279" s="241"/>
      <c r="H1279" s="302"/>
      <c r="J1279" s="241"/>
      <c r="M1279" s="303"/>
      <c r="O1279" s="304"/>
      <c r="P1279" s="305"/>
      <c r="Q1279" s="306"/>
      <c r="R1279" s="289" t="str">
        <f>IF(SUM(Q1279)&gt;0,SUM(Q1279-P1279),"")</f>
        <v/>
      </c>
      <c r="S1279" s="241"/>
    </row>
  </sheetData>
  <sheetProtection selectLockedCells="1"/>
  <autoFilter ref="A3:R517" xr:uid="{00000000-0009-0000-0000-000000000000}">
    <sortState xmlns:xlrd2="http://schemas.microsoft.com/office/spreadsheetml/2017/richdata2" ref="A4:R577">
      <sortCondition ref="Q3:Q577"/>
    </sortState>
  </autoFilter>
  <conditionalFormatting sqref="B492:B8006">
    <cfRule type="expression" dxfId="951" priority="10">
      <formula>Q492&gt;0</formula>
    </cfRule>
  </conditionalFormatting>
  <conditionalFormatting sqref="D1">
    <cfRule type="expression" dxfId="950" priority="9" stopIfTrue="1">
      <formula>Q1&gt;0</formula>
    </cfRule>
  </conditionalFormatting>
  <conditionalFormatting sqref="B275:B491 B4:B272">
    <cfRule type="expression" dxfId="949" priority="6">
      <formula>Q4&gt;0</formula>
    </cfRule>
  </conditionalFormatting>
  <conditionalFormatting sqref="B273">
    <cfRule type="expression" dxfId="948" priority="7">
      <formula>Q274&gt;0</formula>
    </cfRule>
  </conditionalFormatting>
  <conditionalFormatting sqref="B274">
    <cfRule type="expression" dxfId="947" priority="8">
      <formula>#REF!&gt;0</formula>
    </cfRule>
  </conditionalFormatting>
  <conditionalFormatting sqref="B274">
    <cfRule type="expression" dxfId="946" priority="5">
      <formula>Q275&gt;0</formula>
    </cfRule>
  </conditionalFormatting>
  <conditionalFormatting sqref="B274">
    <cfRule type="expression" dxfId="945" priority="4">
      <formula>Q275&gt;0</formula>
    </cfRule>
  </conditionalFormatting>
  <conditionalFormatting sqref="B274">
    <cfRule type="expression" dxfId="944" priority="3">
      <formula>Q275&gt;0</formula>
    </cfRule>
  </conditionalFormatting>
  <conditionalFormatting sqref="B363:B364">
    <cfRule type="expression" dxfId="943" priority="2">
      <formula>Q363&gt;0</formula>
    </cfRule>
  </conditionalFormatting>
  <conditionalFormatting sqref="E491">
    <cfRule type="expression" dxfId="942" priority="1">
      <formula>T491&gt;0</formula>
    </cfRule>
  </conditionalFormatting>
  <printOptions horizontalCentered="1" verticalCentered="1" gridLines="1"/>
  <pageMargins left="0" right="0" top="0" bottom="0" header="0.5" footer="0.5"/>
  <pageSetup scale="6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1]!MPDataXfer">
                <anchor>
                  <from>
                    <xdr:col>3</xdr:col>
                    <xdr:colOff>200025</xdr:colOff>
                    <xdr:row>0</xdr:row>
                    <xdr:rowOff>123825</xdr:rowOff>
                  </from>
                  <to>
                    <xdr:col>4</xdr:col>
                    <xdr:colOff>1609725</xdr:colOff>
                    <xdr:row>0</xdr:row>
                    <xdr:rowOff>581025</xdr:rowOff>
                  </to>
                </anchor>
              </controlPr>
            </control>
          </mc:Choice>
        </mc:AlternateContent>
        <mc:AlternateContent xmlns:mc="http://schemas.openxmlformats.org/markup-compatibility/2006">
          <mc:Choice Requires="x14">
            <control shapeId="670722" r:id="rId5" name="Button 2">
              <controlPr defaultSize="0" print="0" autoFill="0" autoPict="0" macro="[1]!OpenInputForm">
                <anchor>
                  <from>
                    <xdr:col>7</xdr:col>
                    <xdr:colOff>152400</xdr:colOff>
                    <xdr:row>0</xdr:row>
                    <xdr:rowOff>123825</xdr:rowOff>
                  </from>
                  <to>
                    <xdr:col>9</xdr:col>
                    <xdr:colOff>800100</xdr:colOff>
                    <xdr:row>0</xdr:row>
                    <xdr:rowOff>581025</xdr:rowOff>
                  </to>
                </anchor>
              </controlPr>
            </control>
          </mc:Choice>
        </mc:AlternateContent>
        <mc:AlternateContent xmlns:mc="http://schemas.openxmlformats.org/markup-compatibility/2006">
          <mc:Choice Requires="x14">
            <control shapeId="670723" r:id="rId6" name="Button 3">
              <controlPr defaultSize="0" print="0" autoFill="0" autoPict="0" macro="[1]!MPDataXferL">
                <anchor>
                  <from>
                    <xdr:col>4</xdr:col>
                    <xdr:colOff>1819275</xdr:colOff>
                    <xdr:row>0</xdr:row>
                    <xdr:rowOff>123825</xdr:rowOff>
                  </from>
                  <to>
                    <xdr:col>6</xdr:col>
                    <xdr:colOff>1190625</xdr:colOff>
                    <xdr:row>0</xdr:row>
                    <xdr:rowOff>581025</xdr:rowOff>
                  </to>
                </anchor>
              </controlPr>
            </control>
          </mc:Choice>
        </mc:AlternateContent>
        <mc:AlternateContent xmlns:mc="http://schemas.openxmlformats.org/markup-compatibility/2006">
          <mc:Choice Requires="x14">
            <control shapeId="670724" r:id="rId7" name="Button 4">
              <controlPr defaultSize="0" print="0" autoFill="0" autoPict="0" macro="[1]!LookForFile">
                <anchor>
                  <from>
                    <xdr:col>0</xdr:col>
                    <xdr:colOff>295275</xdr:colOff>
                    <xdr:row>0</xdr:row>
                    <xdr:rowOff>123825</xdr:rowOff>
                  </from>
                  <to>
                    <xdr:col>3</xdr:col>
                    <xdr:colOff>0</xdr:colOff>
                    <xdr:row>0</xdr:row>
                    <xdr:rowOff>581025</xdr:rowOff>
                  </to>
                </anchor>
              </controlPr>
            </control>
          </mc:Choice>
        </mc:AlternateContent>
        <mc:AlternateContent xmlns:mc="http://schemas.openxmlformats.org/markup-compatibility/2006">
          <mc:Choice Requires="x14">
            <control shapeId="670725" r:id="rId8" name="Button 5">
              <controlPr defaultSize="0" print="0" autoFill="0" autoPict="0" macro="[1]!AddComment">
                <anchor>
                  <from>
                    <xdr:col>9</xdr:col>
                    <xdr:colOff>990600</xdr:colOff>
                    <xdr:row>0</xdr:row>
                    <xdr:rowOff>114300</xdr:rowOff>
                  </from>
                  <to>
                    <xdr:col>10</xdr:col>
                    <xdr:colOff>304800</xdr:colOff>
                    <xdr:row>0</xdr:row>
                    <xdr:rowOff>571500</xdr:rowOff>
                  </to>
                </anchor>
              </controlPr>
            </control>
          </mc:Choice>
        </mc:AlternateContent>
        <mc:AlternateContent xmlns:mc="http://schemas.openxmlformats.org/markup-compatibility/2006">
          <mc:Choice Requires="x14">
            <control shapeId="670726" r:id="rId9" name="Button 6">
              <controlPr defaultSize="0" print="0" autoFill="0" autoPict="0" macro="[1]!MPDataXferLMHI">
                <anchor>
                  <from>
                    <xdr:col>3</xdr:col>
                    <xdr:colOff>200025</xdr:colOff>
                    <xdr:row>1</xdr:row>
                    <xdr:rowOff>47625</xdr:rowOff>
                  </from>
                  <to>
                    <xdr:col>4</xdr:col>
                    <xdr:colOff>1609725</xdr:colOff>
                    <xdr:row>1</xdr:row>
                    <xdr:rowOff>495300</xdr:rowOff>
                  </to>
                </anchor>
              </controlPr>
            </control>
          </mc:Choice>
        </mc:AlternateContent>
        <mc:AlternateContent xmlns:mc="http://schemas.openxmlformats.org/markup-compatibility/2006">
          <mc:Choice Requires="x14">
            <control shapeId="670727" r:id="rId10" name="Button 7">
              <controlPr defaultSize="0" print="0" autoFill="0" autoPict="0" macro="[1]!PastDUE">
                <anchor>
                  <from>
                    <xdr:col>4</xdr:col>
                    <xdr:colOff>1819275</xdr:colOff>
                    <xdr:row>1</xdr:row>
                    <xdr:rowOff>47625</xdr:rowOff>
                  </from>
                  <to>
                    <xdr:col>6</xdr:col>
                    <xdr:colOff>1190625</xdr:colOff>
                    <xdr:row>1</xdr:row>
                    <xdr:rowOff>495300</xdr:rowOff>
                  </to>
                </anchor>
              </controlPr>
            </control>
          </mc:Choice>
        </mc:AlternateContent>
        <mc:AlternateContent xmlns:mc="http://schemas.openxmlformats.org/markup-compatibility/2006">
          <mc:Choice Requires="x14">
            <control shapeId="670728" r:id="rId11" name="Button 8">
              <controlPr defaultSize="0" print="0" autoFill="0" autoPict="0" macro="[1]!cmdPrint_Click">
                <anchor>
                  <from>
                    <xdr:col>0</xdr:col>
                    <xdr:colOff>295275</xdr:colOff>
                    <xdr:row>1</xdr:row>
                    <xdr:rowOff>47625</xdr:rowOff>
                  </from>
                  <to>
                    <xdr:col>3</xdr:col>
                    <xdr:colOff>9525</xdr:colOff>
                    <xdr:row>1</xdr:row>
                    <xdr:rowOff>504825</xdr:rowOff>
                  </to>
                </anchor>
              </controlPr>
            </control>
          </mc:Choice>
        </mc:AlternateContent>
        <mc:AlternateContent xmlns:mc="http://schemas.openxmlformats.org/markup-compatibility/2006">
          <mc:Choice Requires="x14">
            <control shapeId="670729" r:id="rId12" name="Button 9">
              <controlPr defaultSize="0" print="0" autoFill="0" autoPict="0" macro="[1]!KinectrisData">
                <anchor>
                  <from>
                    <xdr:col>7</xdr:col>
                    <xdr:colOff>152400</xdr:colOff>
                    <xdr:row>1</xdr:row>
                    <xdr:rowOff>47625</xdr:rowOff>
                  </from>
                  <to>
                    <xdr:col>9</xdr:col>
                    <xdr:colOff>800100</xdr:colOff>
                    <xdr:row>1</xdr:row>
                    <xdr:rowOff>504825</xdr:rowOff>
                  </to>
                </anchor>
              </controlPr>
            </control>
          </mc:Choice>
        </mc:AlternateContent>
        <mc:AlternateContent xmlns:mc="http://schemas.openxmlformats.org/markup-compatibility/2006">
          <mc:Choice Requires="x14">
            <control shapeId="670730" r:id="rId13" name="Button 10">
              <controlPr defaultSize="0" print="0" autoFill="0" autoPict="0" macro="[1]!FixButton.FixButton">
                <anchor>
                  <from>
                    <xdr:col>10</xdr:col>
                    <xdr:colOff>485775</xdr:colOff>
                    <xdr:row>0</xdr:row>
                    <xdr:rowOff>114300</xdr:rowOff>
                  </from>
                  <to>
                    <xdr:col>11</xdr:col>
                    <xdr:colOff>1323975</xdr:colOff>
                    <xdr:row>0</xdr:row>
                    <xdr:rowOff>571500</xdr:rowOff>
                  </to>
                </anchor>
              </controlPr>
            </control>
          </mc:Choice>
        </mc:AlternateContent>
        <mc:AlternateContent xmlns:mc="http://schemas.openxmlformats.org/markup-compatibility/2006">
          <mc:Choice Requires="x14">
            <control shapeId="670731" r:id="rId14" name="Button 11">
              <controlPr defaultSize="0" print="0" autoFill="0" autoPict="0" macro="[1]!Delete_Crossed_Out_Shipping">
                <anchor>
                  <from>
                    <xdr:col>9</xdr:col>
                    <xdr:colOff>990600</xdr:colOff>
                    <xdr:row>1</xdr:row>
                    <xdr:rowOff>47625</xdr:rowOff>
                  </from>
                  <to>
                    <xdr:col>10</xdr:col>
                    <xdr:colOff>314325</xdr:colOff>
                    <xdr:row>1</xdr:row>
                    <xdr:rowOff>504825</xdr:rowOff>
                  </to>
                </anchor>
              </controlPr>
            </control>
          </mc:Choice>
        </mc:AlternateContent>
        <mc:AlternateContent xmlns:mc="http://schemas.openxmlformats.org/markup-compatibility/2006">
          <mc:Choice Requires="x14">
            <control shapeId="670732" r:id="rId15" name="Button 12">
              <controlPr defaultSize="0" print="0" autoFill="0" autoPict="0" macro="[1]!CreateHyperlinks">
                <anchor>
                  <from>
                    <xdr:col>10</xdr:col>
                    <xdr:colOff>485775</xdr:colOff>
                    <xdr:row>1</xdr:row>
                    <xdr:rowOff>47625</xdr:rowOff>
                  </from>
                  <to>
                    <xdr:col>11</xdr:col>
                    <xdr:colOff>1323975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topLeftCell="A4" zoomScale="70" zoomScaleNormal="70"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8.5703125" style="18" bestFit="1" customWidth="1"/>
    <col min="8" max="8" width="6.42578125" style="18" bestFit="1" customWidth="1"/>
    <col min="9" max="9" width="2.42578125" style="18" bestFit="1" customWidth="1"/>
    <col min="10" max="10" width="6.42578125" style="18" bestFit="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E4" s="222"/>
      <c r="F4" s="5"/>
      <c r="G4" s="31" t="s">
        <v>75</v>
      </c>
    </row>
    <row r="5" spans="3:10" s="1" customFormat="1" ht="25.5" customHeight="1">
      <c r="C5" s="6" t="s">
        <v>66</v>
      </c>
      <c r="E5" s="24">
        <f>G5+1</f>
        <v>39132</v>
      </c>
      <c r="F5" s="5"/>
      <c r="G5" s="203">
        <v>39131</v>
      </c>
    </row>
    <row r="6" spans="3:10" s="1" customFormat="1" ht="6" customHeight="1">
      <c r="C6" s="2"/>
      <c r="E6" s="27"/>
      <c r="F6" s="32"/>
      <c r="G6" s="28"/>
    </row>
    <row r="7" spans="3:10" s="1" customFormat="1" ht="25.5" customHeight="1">
      <c r="C7" s="6" t="s">
        <v>8</v>
      </c>
      <c r="E7" s="172">
        <f>G7+1</f>
        <v>72906</v>
      </c>
      <c r="F7" s="5"/>
      <c r="G7" s="204">
        <v>72905</v>
      </c>
      <c r="H7" s="33">
        <v>72907</v>
      </c>
      <c r="I7" s="1">
        <v>1</v>
      </c>
      <c r="J7" s="1">
        <f>H7-I7</f>
        <v>72906</v>
      </c>
    </row>
    <row r="8" spans="3:10" s="1" customFormat="1" ht="6" customHeight="1">
      <c r="C8" s="2"/>
      <c r="E8" s="25"/>
      <c r="F8" s="5"/>
    </row>
    <row r="9" spans="3:10" s="1" customFormat="1" ht="25.5" customHeight="1">
      <c r="C9" s="6" t="s">
        <v>9</v>
      </c>
      <c r="E9" s="187" t="s">
        <v>41</v>
      </c>
      <c r="F9" s="5"/>
    </row>
    <row r="10" spans="3:10" s="1" customFormat="1" ht="6" customHeight="1">
      <c r="C10" s="2"/>
      <c r="E10" s="25"/>
      <c r="F10" s="5"/>
    </row>
    <row r="11" spans="3:10" s="1" customFormat="1" ht="25.5" customHeight="1">
      <c r="C11" s="6" t="s">
        <v>67</v>
      </c>
      <c r="E11" s="187"/>
      <c r="F11" s="5"/>
      <c r="G11" s="7"/>
    </row>
    <row r="12" spans="3:10" s="1" customFormat="1" ht="6" customHeight="1">
      <c r="C12" s="2"/>
      <c r="E12" s="25"/>
      <c r="F12" s="5"/>
    </row>
    <row r="13" spans="3:10" s="1" customFormat="1" ht="25.5" customHeight="1">
      <c r="C13" s="6" t="s">
        <v>11</v>
      </c>
      <c r="E13" s="223"/>
      <c r="F13" s="5"/>
    </row>
    <row r="14" spans="3:10" s="1" customFormat="1" ht="6" customHeight="1">
      <c r="C14" s="2"/>
      <c r="E14" s="25"/>
      <c r="F14" s="5"/>
    </row>
    <row r="15" spans="3:10" s="1" customFormat="1" ht="25.5" customHeight="1">
      <c r="C15" s="6" t="s">
        <v>69</v>
      </c>
      <c r="E15" s="221"/>
      <c r="F15" s="5"/>
    </row>
    <row r="16" spans="3:10" s="1" customFormat="1" ht="6" customHeight="1">
      <c r="C16" s="2"/>
      <c r="E16" s="25"/>
      <c r="F16" s="5"/>
    </row>
    <row r="17" spans="1:6" s="1" customFormat="1" ht="25.5" customHeight="1">
      <c r="C17" s="6" t="s">
        <v>64</v>
      </c>
      <c r="E17" s="187" t="s">
        <v>748</v>
      </c>
      <c r="F17" s="5"/>
    </row>
    <row r="18" spans="1:6" s="1" customFormat="1" ht="6" customHeight="1">
      <c r="C18" s="2"/>
      <c r="E18" s="25"/>
      <c r="F18" s="5"/>
    </row>
    <row r="19" spans="1:6" s="1" customFormat="1" ht="25.5" customHeight="1">
      <c r="C19" s="6" t="s">
        <v>63</v>
      </c>
      <c r="E19" s="188"/>
      <c r="F19" s="22"/>
    </row>
    <row r="20" spans="1:6" s="1" customFormat="1" ht="6" customHeight="1">
      <c r="C20" s="2"/>
      <c r="E20" s="25"/>
      <c r="F20" s="5"/>
    </row>
    <row r="21" spans="1:6" s="1" customFormat="1" ht="25.5" customHeight="1">
      <c r="C21" s="6" t="s">
        <v>12</v>
      </c>
      <c r="E21" s="187"/>
      <c r="F21" s="5"/>
    </row>
    <row r="22" spans="1:6" s="1" customFormat="1" ht="6" customHeight="1">
      <c r="C22" s="2"/>
      <c r="E22" s="25"/>
      <c r="F22" s="5"/>
    </row>
    <row r="23" spans="1:6" s="1" customFormat="1" ht="25.5" customHeight="1">
      <c r="C23" s="6" t="s">
        <v>19</v>
      </c>
      <c r="E23" s="155"/>
      <c r="F23" s="5"/>
    </row>
    <row r="24" spans="1:6" s="1" customFormat="1" ht="6" customHeight="1">
      <c r="C24" s="2"/>
      <c r="E24" s="25"/>
      <c r="F24" s="5"/>
    </row>
    <row r="25" spans="1:6" s="1" customFormat="1" ht="25.5" customHeight="1">
      <c r="C25" s="6" t="s">
        <v>68</v>
      </c>
      <c r="E25" s="215" t="s">
        <v>748</v>
      </c>
      <c r="F25" s="5"/>
    </row>
    <row r="26" spans="1:6" s="1" customFormat="1" ht="6" customHeight="1">
      <c r="A26" s="8"/>
      <c r="B26" s="8"/>
      <c r="C26" s="9"/>
      <c r="D26" s="8"/>
      <c r="E26" s="26"/>
      <c r="F26" s="5"/>
    </row>
    <row r="27" spans="1:6" s="1" customFormat="1" ht="25.5" customHeight="1">
      <c r="C27" s="6" t="s">
        <v>21</v>
      </c>
      <c r="E27" s="214"/>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46049</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FFA6C093-E866-4B92-9807-8D478A2763D4}" scale="70" hiddenRows="1" hiddenColumns="1" topLeftCell="A4">
      <selection activeCell="E5" sqref="E5"/>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2383B994-5DA1-4BB7-BA01-728624653006}" scale="70" hiddenRows="1" hiddenColumns="1">
      <selection activeCell="G7" sqref="G7"/>
      <pageMargins left="0.75" right="0.75" top="1" bottom="1" header="0.5" footer="0.5"/>
      <pageSetup paperSize="9" orientation="portrait" r:id="rId3"/>
      <headerFooter alignWithMargins="0"/>
    </customSheetView>
  </customSheetViews>
  <phoneticPr fontId="87"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InsertCurrentDate">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_EMT.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87"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87"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4"/>
  <sheetViews>
    <sheetView topLeftCell="A52" workbookViewId="0">
      <selection activeCell="G69" sqref="G69"/>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207"/>
      <c r="E1" s="21" t="e">
        <f>MATCH(D1,A1:A79)</f>
        <v>#N/A</v>
      </c>
      <c r="F1" s="21" t="e">
        <f>VLOOKUP(E1,B1:C79,2)</f>
        <v>#N/A</v>
      </c>
      <c r="G1" s="21" t="s">
        <v>78</v>
      </c>
      <c r="H1" s="21" t="e">
        <f>F1</f>
        <v>#N/A</v>
      </c>
      <c r="I1" s="21" t="s">
        <v>79</v>
      </c>
      <c r="J1" s="212"/>
      <c r="K1" s="21" t="e">
        <f>CONCATENATE(G1,H1,I1,J1)</f>
        <v>#N/A</v>
      </c>
      <c r="L1" s="34" t="s">
        <v>80</v>
      </c>
      <c r="M1" s="87" t="s">
        <v>113</v>
      </c>
      <c r="N1" s="21" t="s">
        <v>114</v>
      </c>
    </row>
    <row r="2" spans="1:14">
      <c r="A2" s="86" t="s">
        <v>224</v>
      </c>
      <c r="B2" s="21">
        <v>2</v>
      </c>
      <c r="C2" s="21" t="s">
        <v>224</v>
      </c>
      <c r="K2" s="21" t="e">
        <f>CONCATENATE(G1,H1)</f>
        <v>#N/A</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438</v>
      </c>
      <c r="B66" s="21">
        <v>66</v>
      </c>
      <c r="C66" s="21" t="s">
        <v>438</v>
      </c>
    </row>
    <row r="67" spans="1:3">
      <c r="A67" s="86" t="s">
        <v>203</v>
      </c>
      <c r="B67" s="21">
        <v>67</v>
      </c>
      <c r="C67" s="21" t="s">
        <v>181</v>
      </c>
    </row>
    <row r="68" spans="1:3">
      <c r="A68" s="86" t="s">
        <v>204</v>
      </c>
      <c r="B68" s="21">
        <v>68</v>
      </c>
      <c r="C68" s="21" t="s">
        <v>205</v>
      </c>
    </row>
    <row r="69" spans="1:3">
      <c r="A69" s="20" t="s">
        <v>1</v>
      </c>
      <c r="B69" s="21">
        <v>69</v>
      </c>
      <c r="C69" s="21" t="s">
        <v>1</v>
      </c>
    </row>
    <row r="70" spans="1:3">
      <c r="A70" s="86" t="s">
        <v>103</v>
      </c>
      <c r="B70" s="21">
        <v>70</v>
      </c>
      <c r="C70" s="21" t="s">
        <v>103</v>
      </c>
    </row>
    <row r="71" spans="1:3">
      <c r="A71" s="86" t="s">
        <v>123</v>
      </c>
      <c r="B71" s="21">
        <v>71</v>
      </c>
      <c r="C71" s="21" t="s">
        <v>123</v>
      </c>
    </row>
    <row r="72" spans="1:3">
      <c r="A72" s="86" t="s">
        <v>206</v>
      </c>
      <c r="B72" s="21">
        <v>72</v>
      </c>
      <c r="C72" s="21" t="s">
        <v>206</v>
      </c>
    </row>
    <row r="73" spans="1:3">
      <c r="A73" s="86" t="s">
        <v>122</v>
      </c>
      <c r="B73" s="21">
        <v>73</v>
      </c>
      <c r="C73" s="21" t="s">
        <v>122</v>
      </c>
    </row>
    <row r="74" spans="1:3">
      <c r="A74" s="20" t="s">
        <v>27</v>
      </c>
      <c r="B74" s="21">
        <v>74</v>
      </c>
      <c r="C74" s="21" t="s">
        <v>27</v>
      </c>
    </row>
    <row r="75" spans="1:3">
      <c r="A75" s="86" t="s">
        <v>209</v>
      </c>
      <c r="B75" s="21">
        <v>75</v>
      </c>
      <c r="C75" s="21" t="s">
        <v>210</v>
      </c>
    </row>
    <row r="76" spans="1:3">
      <c r="A76" s="86" t="s">
        <v>217</v>
      </c>
      <c r="B76" s="21">
        <v>76</v>
      </c>
      <c r="C76" s="21" t="s">
        <v>217</v>
      </c>
    </row>
    <row r="77" spans="1:3">
      <c r="A77" s="86" t="s">
        <v>29</v>
      </c>
      <c r="B77" s="21">
        <v>77</v>
      </c>
      <c r="C77" s="21" t="s">
        <v>83</v>
      </c>
    </row>
    <row r="78" spans="1:3">
      <c r="A78" s="20" t="s">
        <v>33</v>
      </c>
      <c r="B78" s="21">
        <v>78</v>
      </c>
      <c r="C78" s="21" t="s">
        <v>83</v>
      </c>
    </row>
    <row r="79" spans="1:3">
      <c r="A79" s="86" t="s">
        <v>208</v>
      </c>
      <c r="B79" s="21">
        <v>79</v>
      </c>
      <c r="C79" s="21" t="s">
        <v>208</v>
      </c>
    </row>
    <row r="84" spans="5:5">
      <c r="E84" s="21" t="s">
        <v>438</v>
      </c>
    </row>
  </sheetData>
  <sortState xmlns:xlrd2="http://schemas.microsoft.com/office/spreadsheetml/2017/richdata2" ref="A2:L73">
    <sortCondition ref="A1"/>
  </sortState>
  <customSheetViews>
    <customSheetView guid="{FFA6C093-E866-4B92-9807-8D478A2763D4}" state="hidden" topLeftCell="A46">
      <selection activeCell="E61" sqref="E6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2383B994-5DA1-4BB7-BA01-728624653006}" state="hidden" topLeftCell="A46">
      <selection activeCell="D1" sqref="D1"/>
      <pageMargins left="0.7" right="0.7" top="0.75" bottom="0.75" header="0.3" footer="0.3"/>
      <pageSetup paperSize="17" orientation="portrait" horizontalDpi="4294967295" verticalDpi="4294967295" r:id="rId3"/>
    </customSheetView>
  </customSheetViews>
  <phoneticPr fontId="87"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E9" sqref="E9:J9"/>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34">
        <v>725</v>
      </c>
      <c r="C6" s="435"/>
      <c r="D6" s="435"/>
      <c r="E6" s="435"/>
      <c r="F6" s="435"/>
      <c r="G6" s="435"/>
      <c r="H6" s="436"/>
      <c r="I6" s="109" t="s">
        <v>133</v>
      </c>
      <c r="J6" s="437"/>
      <c r="K6" s="437"/>
      <c r="L6" s="109" t="s">
        <v>134</v>
      </c>
      <c r="M6" s="110"/>
      <c r="N6" s="438">
        <v>4</v>
      </c>
      <c r="O6" s="439"/>
      <c r="P6" s="111" t="s">
        <v>135</v>
      </c>
      <c r="Q6" s="440" t="s">
        <v>252</v>
      </c>
      <c r="R6" s="441"/>
    </row>
    <row r="7" spans="1:18" ht="19.5" customHeight="1">
      <c r="A7" s="112" t="s">
        <v>136</v>
      </c>
      <c r="B7" s="442"/>
      <c r="C7" s="442"/>
      <c r="D7" s="442"/>
      <c r="E7" s="113" t="s">
        <v>137</v>
      </c>
      <c r="F7" s="114">
        <v>45744</v>
      </c>
      <c r="G7" s="443" t="s">
        <v>138</v>
      </c>
      <c r="H7" s="444"/>
      <c r="I7" s="444"/>
      <c r="J7" s="445">
        <v>44353</v>
      </c>
      <c r="K7" s="446"/>
      <c r="L7" s="446"/>
      <c r="M7" s="446"/>
      <c r="N7" s="446"/>
      <c r="O7" s="115"/>
      <c r="P7" s="116"/>
      <c r="Q7" s="117" t="s">
        <v>139</v>
      </c>
      <c r="R7" s="118">
        <v>3</v>
      </c>
    </row>
    <row r="8" spans="1:18" ht="18.75" customHeight="1">
      <c r="A8" s="109" t="s">
        <v>140</v>
      </c>
      <c r="B8" s="448">
        <v>45723</v>
      </c>
      <c r="C8" s="448"/>
      <c r="D8" s="448"/>
      <c r="E8" s="449"/>
      <c r="F8" s="109" t="s">
        <v>141</v>
      </c>
      <c r="G8" s="110"/>
      <c r="H8" s="110"/>
      <c r="I8" s="450">
        <v>21</v>
      </c>
      <c r="J8" s="450"/>
      <c r="K8" s="450"/>
      <c r="L8" s="450"/>
      <c r="M8" s="450"/>
      <c r="N8" s="450"/>
      <c r="O8" s="450"/>
      <c r="P8" s="450"/>
      <c r="Q8" s="110"/>
      <c r="R8" s="119"/>
    </row>
    <row r="9" spans="1:18" ht="18" customHeight="1">
      <c r="A9" s="120" t="s">
        <v>142</v>
      </c>
      <c r="B9" s="110"/>
      <c r="C9" s="110"/>
      <c r="D9" s="121"/>
      <c r="E9" s="451"/>
      <c r="F9" s="452"/>
      <c r="G9" s="452"/>
      <c r="H9" s="452"/>
      <c r="I9" s="452"/>
      <c r="J9" s="452"/>
      <c r="K9" s="110"/>
      <c r="L9" s="122" t="s">
        <v>64</v>
      </c>
      <c r="M9" s="122"/>
      <c r="N9" s="207"/>
      <c r="O9" s="110"/>
      <c r="P9" s="111" t="s">
        <v>143</v>
      </c>
      <c r="Q9" s="184"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53" t="s">
        <v>148</v>
      </c>
      <c r="R10" s="454"/>
    </row>
    <row r="11" spans="1:18" ht="20.25" customHeight="1">
      <c r="A11" s="125"/>
      <c r="B11" s="126"/>
      <c r="C11" s="127"/>
      <c r="D11" s="128" t="s">
        <v>149</v>
      </c>
      <c r="E11" s="128">
        <v>10</v>
      </c>
      <c r="F11" s="455" t="s">
        <v>150</v>
      </c>
      <c r="G11" s="456"/>
      <c r="H11" s="456"/>
      <c r="I11" s="456"/>
      <c r="J11" s="456"/>
      <c r="K11" s="456"/>
      <c r="L11" s="456"/>
      <c r="M11" s="456"/>
      <c r="N11" s="457"/>
      <c r="O11" s="129"/>
      <c r="P11" s="130"/>
      <c r="Q11" s="125"/>
      <c r="R11" s="131"/>
    </row>
    <row r="12" spans="1:18" ht="20.25" customHeight="1">
      <c r="A12" s="132"/>
      <c r="B12" s="133"/>
      <c r="C12" s="127"/>
      <c r="D12" s="134" t="s">
        <v>92</v>
      </c>
      <c r="E12" s="134">
        <v>20</v>
      </c>
      <c r="F12" s="458" t="s">
        <v>151</v>
      </c>
      <c r="G12" s="458"/>
      <c r="H12" s="458"/>
      <c r="I12" s="458"/>
      <c r="J12" s="458"/>
      <c r="K12" s="458"/>
      <c r="L12" s="458"/>
      <c r="M12" s="458"/>
      <c r="N12" s="458"/>
      <c r="O12" s="135"/>
      <c r="P12" s="135"/>
      <c r="Q12" s="132"/>
      <c r="R12" s="136"/>
    </row>
    <row r="13" spans="1:18" ht="20.25" customHeight="1">
      <c r="A13" s="132" t="s">
        <v>152</v>
      </c>
      <c r="B13" s="133"/>
      <c r="C13" s="127"/>
      <c r="D13" s="134" t="s">
        <v>153</v>
      </c>
      <c r="E13" s="134">
        <v>30</v>
      </c>
      <c r="F13" s="458" t="s">
        <v>154</v>
      </c>
      <c r="G13" s="458"/>
      <c r="H13" s="458"/>
      <c r="I13" s="458"/>
      <c r="J13" s="458"/>
      <c r="K13" s="458"/>
      <c r="L13" s="458"/>
      <c r="M13" s="458"/>
      <c r="N13" s="458"/>
      <c r="O13" s="135"/>
      <c r="P13" s="135"/>
      <c r="Q13" s="132"/>
      <c r="R13" s="136"/>
    </row>
    <row r="14" spans="1:18" ht="20.25" customHeight="1">
      <c r="A14" s="132"/>
      <c r="B14" s="133"/>
      <c r="C14" s="127"/>
      <c r="D14" s="134" t="s">
        <v>149</v>
      </c>
      <c r="E14" s="134">
        <v>40</v>
      </c>
      <c r="F14" s="458" t="s">
        <v>155</v>
      </c>
      <c r="G14" s="458"/>
      <c r="H14" s="458"/>
      <c r="I14" s="458"/>
      <c r="J14" s="458"/>
      <c r="K14" s="458"/>
      <c r="L14" s="458"/>
      <c r="M14" s="458"/>
      <c r="N14" s="458"/>
      <c r="O14" s="135"/>
      <c r="P14" s="135"/>
      <c r="Q14" s="132"/>
      <c r="R14" s="136"/>
    </row>
    <row r="15" spans="1:18" ht="20.25" customHeight="1">
      <c r="A15" s="132"/>
      <c r="B15" s="133"/>
      <c r="C15" s="127"/>
      <c r="D15" s="137"/>
      <c r="E15" s="137"/>
      <c r="F15" s="447"/>
      <c r="G15" s="447"/>
      <c r="H15" s="447"/>
      <c r="I15" s="447"/>
      <c r="J15" s="447"/>
      <c r="K15" s="447"/>
      <c r="L15" s="447"/>
      <c r="M15" s="447"/>
      <c r="N15" s="447"/>
      <c r="O15" s="135"/>
      <c r="P15" s="135"/>
      <c r="Q15" s="132"/>
      <c r="R15" s="136"/>
    </row>
    <row r="16" spans="1:18" ht="20.25" customHeight="1">
      <c r="A16" s="132"/>
      <c r="B16" s="133"/>
      <c r="C16" s="127"/>
      <c r="D16" s="137"/>
      <c r="E16" s="137"/>
      <c r="F16" s="447"/>
      <c r="G16" s="447"/>
      <c r="H16" s="447"/>
      <c r="I16" s="447"/>
      <c r="J16" s="447"/>
      <c r="K16" s="447"/>
      <c r="L16" s="447"/>
      <c r="M16" s="447"/>
      <c r="N16" s="447"/>
      <c r="O16" s="135"/>
      <c r="P16" s="135"/>
      <c r="Q16" s="132"/>
      <c r="R16" s="136"/>
    </row>
    <row r="17" spans="1:18" ht="20.25" customHeight="1">
      <c r="A17" s="132"/>
      <c r="B17" s="133"/>
      <c r="C17" s="127"/>
      <c r="D17" s="137"/>
      <c r="E17" s="137"/>
      <c r="F17" s="447"/>
      <c r="G17" s="447"/>
      <c r="H17" s="447"/>
      <c r="I17" s="447"/>
      <c r="J17" s="447"/>
      <c r="K17" s="447"/>
      <c r="L17" s="447"/>
      <c r="M17" s="447"/>
      <c r="N17" s="447"/>
      <c r="O17" s="135"/>
      <c r="P17" s="135"/>
      <c r="Q17" s="132"/>
      <c r="R17" s="136"/>
    </row>
    <row r="18" spans="1:18" ht="20.25" customHeight="1">
      <c r="A18" s="132"/>
      <c r="B18" s="133"/>
      <c r="C18" s="127"/>
      <c r="D18" s="137"/>
      <c r="E18" s="137"/>
      <c r="F18" s="447"/>
      <c r="G18" s="447"/>
      <c r="H18" s="447"/>
      <c r="I18" s="447"/>
      <c r="J18" s="447"/>
      <c r="K18" s="447"/>
      <c r="L18" s="447"/>
      <c r="M18" s="447"/>
      <c r="N18" s="447"/>
      <c r="O18" s="135"/>
      <c r="P18" s="135"/>
      <c r="Q18" s="132"/>
      <c r="R18" s="136"/>
    </row>
    <row r="19" spans="1:18" ht="20.25" customHeight="1">
      <c r="A19" s="132"/>
      <c r="B19" s="133"/>
      <c r="C19" s="127"/>
      <c r="D19" s="137"/>
      <c r="E19" s="137"/>
      <c r="F19" s="447"/>
      <c r="G19" s="447"/>
      <c r="H19" s="447"/>
      <c r="I19" s="447"/>
      <c r="J19" s="447"/>
      <c r="K19" s="447"/>
      <c r="L19" s="447"/>
      <c r="M19" s="447"/>
      <c r="N19" s="447"/>
      <c r="O19" s="135"/>
      <c r="P19" s="135"/>
      <c r="Q19" s="132"/>
      <c r="R19" s="136"/>
    </row>
    <row r="20" spans="1:18" ht="20.25" customHeight="1">
      <c r="A20" s="132"/>
      <c r="B20" s="133"/>
      <c r="C20" s="127"/>
      <c r="D20" s="138"/>
      <c r="E20" s="138"/>
      <c r="F20" s="459"/>
      <c r="G20" s="460"/>
      <c r="H20" s="460"/>
      <c r="I20" s="460"/>
      <c r="J20" s="460"/>
      <c r="K20" s="460"/>
      <c r="L20" s="460"/>
      <c r="M20" s="460"/>
      <c r="N20" s="460"/>
      <c r="O20" s="135"/>
      <c r="P20" s="135"/>
      <c r="Q20" s="132"/>
      <c r="R20" s="136"/>
    </row>
    <row r="21" spans="1:18" ht="20.25" customHeight="1">
      <c r="A21" s="132"/>
      <c r="B21" s="133"/>
      <c r="C21" s="127"/>
      <c r="D21" s="138"/>
      <c r="E21" s="138"/>
      <c r="F21" s="459"/>
      <c r="G21" s="460"/>
      <c r="H21" s="460"/>
      <c r="I21" s="460"/>
      <c r="J21" s="460"/>
      <c r="K21" s="460"/>
      <c r="L21" s="460"/>
      <c r="M21" s="460"/>
      <c r="N21" s="460"/>
      <c r="O21" s="135"/>
      <c r="P21" s="135"/>
      <c r="Q21" s="132"/>
      <c r="R21" s="136"/>
    </row>
    <row r="22" spans="1:18" ht="20.25" customHeight="1">
      <c r="A22" s="132"/>
      <c r="B22" s="133"/>
      <c r="C22" s="127"/>
      <c r="D22" s="138"/>
      <c r="E22" s="138"/>
      <c r="F22" s="459"/>
      <c r="G22" s="460"/>
      <c r="H22" s="460"/>
      <c r="I22" s="460"/>
      <c r="J22" s="460"/>
      <c r="K22" s="460"/>
      <c r="L22" s="460"/>
      <c r="M22" s="460"/>
      <c r="N22" s="460"/>
      <c r="O22" s="135"/>
      <c r="P22" s="135"/>
      <c r="Q22" s="132"/>
      <c r="R22" s="136"/>
    </row>
    <row r="23" spans="1:18" ht="20.25" customHeight="1">
      <c r="A23" s="132"/>
      <c r="B23" s="133"/>
      <c r="C23" s="127"/>
      <c r="D23" s="138"/>
      <c r="E23" s="138"/>
      <c r="F23" s="459"/>
      <c r="G23" s="460"/>
      <c r="H23" s="460"/>
      <c r="I23" s="460"/>
      <c r="J23" s="460"/>
      <c r="K23" s="460"/>
      <c r="L23" s="460"/>
      <c r="M23" s="460"/>
      <c r="N23" s="460"/>
      <c r="O23" s="135"/>
      <c r="P23" s="135"/>
      <c r="Q23" s="132"/>
      <c r="R23" s="136"/>
    </row>
    <row r="24" spans="1:18" ht="20.25" customHeight="1">
      <c r="A24" s="132"/>
      <c r="B24" s="133"/>
      <c r="C24" s="127"/>
      <c r="D24" s="138"/>
      <c r="E24" s="138"/>
      <c r="F24" s="459"/>
      <c r="G24" s="460"/>
      <c r="H24" s="460"/>
      <c r="I24" s="460"/>
      <c r="J24" s="460"/>
      <c r="K24" s="460"/>
      <c r="L24" s="460"/>
      <c r="M24" s="460"/>
      <c r="N24" s="460"/>
      <c r="O24" s="135"/>
      <c r="P24" s="135"/>
      <c r="Q24" s="132"/>
      <c r="R24" s="136"/>
    </row>
    <row r="25" spans="1:18" ht="20.25" customHeight="1">
      <c r="A25" s="132"/>
      <c r="B25" s="133"/>
      <c r="C25" s="127"/>
      <c r="D25" s="138"/>
      <c r="E25" s="138"/>
      <c r="F25" s="459"/>
      <c r="G25" s="459"/>
      <c r="H25" s="459"/>
      <c r="I25" s="459"/>
      <c r="J25" s="459"/>
      <c r="K25" s="459"/>
      <c r="L25" s="459"/>
      <c r="M25" s="459"/>
      <c r="N25" s="459"/>
      <c r="O25" s="135"/>
      <c r="P25" s="135"/>
      <c r="Q25" s="132"/>
      <c r="R25" s="136"/>
    </row>
    <row r="26" spans="1:18" ht="20.25" customHeight="1">
      <c r="A26" s="132"/>
      <c r="B26" s="133"/>
      <c r="C26" s="127"/>
      <c r="D26" s="138"/>
      <c r="E26" s="138"/>
      <c r="F26" s="461"/>
      <c r="G26" s="462"/>
      <c r="H26" s="462"/>
      <c r="I26" s="462"/>
      <c r="J26" s="462"/>
      <c r="K26" s="462"/>
      <c r="L26" s="462"/>
      <c r="M26" s="462"/>
      <c r="N26" s="463"/>
      <c r="O26" s="135"/>
      <c r="P26" s="135"/>
      <c r="Q26" s="132"/>
      <c r="R26" s="136"/>
    </row>
    <row r="27" spans="1:18" ht="20.25" customHeight="1">
      <c r="A27" s="132"/>
      <c r="B27" s="133"/>
      <c r="C27" s="127"/>
      <c r="D27" s="135"/>
      <c r="E27" s="135"/>
      <c r="F27" s="461"/>
      <c r="G27" s="462"/>
      <c r="H27" s="462"/>
      <c r="I27" s="462"/>
      <c r="J27" s="462"/>
      <c r="K27" s="462"/>
      <c r="L27" s="462"/>
      <c r="M27" s="462"/>
      <c r="N27" s="463"/>
      <c r="O27" s="135"/>
      <c r="P27" s="135"/>
      <c r="Q27" s="132"/>
      <c r="R27" s="136"/>
    </row>
    <row r="28" spans="1:18" ht="20.25" customHeight="1">
      <c r="A28" s="132"/>
      <c r="B28" s="133"/>
      <c r="C28" s="127"/>
      <c r="D28" s="135"/>
      <c r="E28" s="135"/>
      <c r="F28" s="461"/>
      <c r="G28" s="462"/>
      <c r="H28" s="462"/>
      <c r="I28" s="462"/>
      <c r="J28" s="462"/>
      <c r="K28" s="462"/>
      <c r="L28" s="462"/>
      <c r="M28" s="462"/>
      <c r="N28" s="463"/>
      <c r="O28" s="135"/>
      <c r="P28" s="135"/>
      <c r="Q28" s="132"/>
      <c r="R28" s="136"/>
    </row>
    <row r="29" spans="1:18" ht="20.25" customHeight="1">
      <c r="A29" s="132"/>
      <c r="B29" s="133"/>
      <c r="C29" s="127"/>
      <c r="D29" s="135"/>
      <c r="E29" s="135"/>
      <c r="F29" s="459"/>
      <c r="G29" s="460"/>
      <c r="H29" s="460"/>
      <c r="I29" s="460"/>
      <c r="J29" s="460"/>
      <c r="K29" s="460"/>
      <c r="L29" s="460"/>
      <c r="M29" s="460"/>
      <c r="N29" s="460"/>
      <c r="O29" s="135"/>
      <c r="P29" s="135"/>
      <c r="Q29" s="132"/>
      <c r="R29" s="136"/>
    </row>
    <row r="30" spans="1:18" ht="20.25" customHeight="1">
      <c r="A30" s="132"/>
      <c r="B30" s="133"/>
      <c r="C30" s="127"/>
      <c r="D30" s="135"/>
      <c r="E30" s="135"/>
      <c r="F30" s="459"/>
      <c r="G30" s="460"/>
      <c r="H30" s="460"/>
      <c r="I30" s="460"/>
      <c r="J30" s="460"/>
      <c r="K30" s="460"/>
      <c r="L30" s="460"/>
      <c r="M30" s="460"/>
      <c r="N30" s="460"/>
      <c r="O30" s="135"/>
      <c r="P30" s="135"/>
      <c r="Q30" s="132"/>
      <c r="R30" s="136"/>
    </row>
    <row r="31" spans="1:18" ht="20.25" customHeight="1">
      <c r="A31" s="132"/>
      <c r="B31" s="133"/>
      <c r="C31" s="127"/>
      <c r="D31" s="135"/>
      <c r="E31" s="135"/>
      <c r="F31" s="459"/>
      <c r="G31" s="460"/>
      <c r="H31" s="460"/>
      <c r="I31" s="460"/>
      <c r="J31" s="460"/>
      <c r="K31" s="460"/>
      <c r="L31" s="460"/>
      <c r="M31" s="460"/>
      <c r="N31" s="460"/>
      <c r="O31" s="135"/>
      <c r="P31" s="135"/>
      <c r="Q31" s="132"/>
      <c r="R31" s="136"/>
    </row>
    <row r="32" spans="1:18" ht="20.25" customHeight="1">
      <c r="A32" s="132"/>
      <c r="B32" s="133"/>
      <c r="C32" s="127"/>
      <c r="D32" s="135"/>
      <c r="E32" s="135"/>
      <c r="F32" s="459"/>
      <c r="G32" s="460"/>
      <c r="H32" s="460"/>
      <c r="I32" s="460"/>
      <c r="J32" s="460"/>
      <c r="K32" s="460"/>
      <c r="L32" s="460"/>
      <c r="M32" s="460"/>
      <c r="N32" s="460"/>
      <c r="O32" s="135"/>
      <c r="P32" s="135"/>
      <c r="Q32" s="132"/>
      <c r="R32" s="136"/>
    </row>
    <row r="33" spans="1:18" ht="19.5" customHeight="1">
      <c r="A33" s="132"/>
      <c r="B33" s="133"/>
      <c r="C33" s="127"/>
      <c r="D33" s="135"/>
      <c r="E33" s="135"/>
      <c r="F33" s="459"/>
      <c r="G33" s="460"/>
      <c r="H33" s="460"/>
      <c r="I33" s="460"/>
      <c r="J33" s="460"/>
      <c r="K33" s="460"/>
      <c r="L33" s="460"/>
      <c r="M33" s="460"/>
      <c r="N33" s="460"/>
      <c r="O33" s="135"/>
      <c r="P33" s="135"/>
      <c r="Q33" s="132"/>
      <c r="R33" s="136"/>
    </row>
    <row r="34" spans="1:18" ht="20.25" customHeight="1">
      <c r="A34" s="132"/>
      <c r="B34" s="133"/>
      <c r="C34" s="127"/>
      <c r="D34" s="135"/>
      <c r="E34" s="135"/>
      <c r="F34" s="459"/>
      <c r="G34" s="460"/>
      <c r="H34" s="460"/>
      <c r="I34" s="460"/>
      <c r="J34" s="460"/>
      <c r="K34" s="460"/>
      <c r="L34" s="460"/>
      <c r="M34" s="460"/>
      <c r="N34" s="460"/>
      <c r="O34" s="135"/>
      <c r="P34" s="135"/>
      <c r="Q34" s="132"/>
      <c r="R34" s="136"/>
    </row>
    <row r="35" spans="1:18" ht="20.25" customHeight="1">
      <c r="A35" s="132"/>
      <c r="B35" s="133"/>
      <c r="C35" s="127"/>
      <c r="D35" s="135"/>
      <c r="E35" s="135"/>
      <c r="F35" s="459"/>
      <c r="G35" s="460"/>
      <c r="H35" s="460"/>
      <c r="I35" s="460"/>
      <c r="J35" s="460"/>
      <c r="K35" s="460"/>
      <c r="L35" s="460"/>
      <c r="M35" s="460"/>
      <c r="N35" s="460"/>
      <c r="O35" s="135"/>
      <c r="P35" s="135"/>
      <c r="Q35" s="132"/>
      <c r="R35" s="136"/>
    </row>
    <row r="36" spans="1:18" ht="20.25" customHeight="1">
      <c r="A36" s="132"/>
      <c r="B36" s="133"/>
      <c r="C36" s="127"/>
      <c r="D36" s="135"/>
      <c r="E36" s="135"/>
      <c r="F36" s="461"/>
      <c r="G36" s="467"/>
      <c r="H36" s="467"/>
      <c r="I36" s="467"/>
      <c r="J36" s="467"/>
      <c r="K36" s="467"/>
      <c r="L36" s="467"/>
      <c r="M36" s="467"/>
      <c r="N36" s="468"/>
      <c r="O36" s="135"/>
      <c r="P36" s="135"/>
      <c r="Q36" s="132"/>
      <c r="R36" s="136"/>
    </row>
    <row r="37" spans="1:18" ht="20.25" customHeight="1">
      <c r="A37" s="132"/>
      <c r="B37" s="133"/>
      <c r="C37" s="127"/>
      <c r="D37" s="135"/>
      <c r="E37" s="135"/>
      <c r="F37" s="461"/>
      <c r="G37" s="467"/>
      <c r="H37" s="467"/>
      <c r="I37" s="467"/>
      <c r="J37" s="467"/>
      <c r="K37" s="467"/>
      <c r="L37" s="467"/>
      <c r="M37" s="467"/>
      <c r="N37" s="468"/>
      <c r="O37" s="135"/>
      <c r="P37" s="135"/>
      <c r="Q37" s="132"/>
      <c r="R37" s="136"/>
    </row>
    <row r="38" spans="1:18" ht="20.25" customHeight="1">
      <c r="A38" s="132"/>
      <c r="B38" s="133"/>
      <c r="C38" s="127"/>
      <c r="D38" s="135"/>
      <c r="E38" s="135"/>
      <c r="F38" s="461"/>
      <c r="G38" s="467"/>
      <c r="H38" s="467"/>
      <c r="I38" s="467"/>
      <c r="J38" s="467"/>
      <c r="K38" s="467"/>
      <c r="L38" s="467"/>
      <c r="M38" s="467"/>
      <c r="N38" s="468"/>
      <c r="O38" s="135"/>
      <c r="P38" s="135"/>
      <c r="Q38" s="132"/>
      <c r="R38" s="136"/>
    </row>
    <row r="39" spans="1:18" ht="20.25" customHeight="1">
      <c r="A39" s="132"/>
      <c r="B39" s="133"/>
      <c r="C39" s="127"/>
      <c r="D39" s="135"/>
      <c r="E39" s="135"/>
      <c r="F39" s="461"/>
      <c r="G39" s="467"/>
      <c r="H39" s="467"/>
      <c r="I39" s="467"/>
      <c r="J39" s="467"/>
      <c r="K39" s="467"/>
      <c r="L39" s="467"/>
      <c r="M39" s="467"/>
      <c r="N39" s="468"/>
      <c r="O39" s="135"/>
      <c r="P39" s="135"/>
      <c r="Q39" s="132"/>
      <c r="R39" s="136"/>
    </row>
    <row r="40" spans="1:18" ht="20.25" customHeight="1">
      <c r="A40" s="132"/>
      <c r="B40" s="133"/>
      <c r="C40" s="127"/>
      <c r="D40" s="135"/>
      <c r="E40" s="135"/>
      <c r="F40" s="461"/>
      <c r="G40" s="467"/>
      <c r="H40" s="467"/>
      <c r="I40" s="467"/>
      <c r="J40" s="467"/>
      <c r="K40" s="467"/>
      <c r="L40" s="467"/>
      <c r="M40" s="467"/>
      <c r="N40" s="468"/>
      <c r="O40" s="135"/>
      <c r="P40" s="135"/>
      <c r="Q40" s="132"/>
      <c r="R40" s="136"/>
    </row>
    <row r="41" spans="1:18" ht="20.25" customHeight="1">
      <c r="A41" s="132"/>
      <c r="B41" s="133"/>
      <c r="C41" s="127"/>
      <c r="D41" s="135"/>
      <c r="E41" s="135"/>
      <c r="F41" s="459"/>
      <c r="G41" s="460"/>
      <c r="H41" s="460"/>
      <c r="I41" s="460"/>
      <c r="J41" s="460"/>
      <c r="K41" s="460"/>
      <c r="L41" s="460"/>
      <c r="M41" s="460"/>
      <c r="N41" s="460"/>
      <c r="O41" s="135"/>
      <c r="P41" s="135"/>
      <c r="Q41" s="132"/>
      <c r="R41" s="136"/>
    </row>
    <row r="42" spans="1:18" ht="20.25" customHeight="1">
      <c r="A42" s="139"/>
      <c r="B42" s="140"/>
      <c r="C42" s="127"/>
      <c r="D42" s="141"/>
      <c r="E42" s="141"/>
      <c r="F42" s="464"/>
      <c r="G42" s="465"/>
      <c r="H42" s="465"/>
      <c r="I42" s="465"/>
      <c r="J42" s="465"/>
      <c r="K42" s="465"/>
      <c r="L42" s="465"/>
      <c r="M42" s="465"/>
      <c r="N42" s="466"/>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69" t="s">
        <v>157</v>
      </c>
      <c r="B48" s="444"/>
      <c r="C48" s="444"/>
      <c r="D48" s="444"/>
      <c r="E48" s="444"/>
      <c r="F48" s="444"/>
      <c r="G48" s="470"/>
      <c r="H48" s="469" t="s">
        <v>162</v>
      </c>
      <c r="I48" s="444"/>
      <c r="J48" s="444"/>
      <c r="K48" s="470"/>
      <c r="L48" s="469" t="s">
        <v>158</v>
      </c>
      <c r="M48" s="444"/>
      <c r="N48" s="470"/>
      <c r="P48" s="444" t="s">
        <v>162</v>
      </c>
      <c r="Q48" s="444"/>
      <c r="R48" s="116"/>
    </row>
    <row r="49" spans="1:18">
      <c r="A49" s="152"/>
      <c r="B49" s="113"/>
      <c r="C49" s="113"/>
      <c r="D49" s="471" t="s">
        <v>159</v>
      </c>
      <c r="E49" s="471"/>
      <c r="F49" s="471"/>
      <c r="G49" s="472"/>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3"/>
      <headerFooter alignWithMargins="0"/>
    </customSheetView>
  </customSheetViews>
  <mergeCells count="48">
    <mergeCell ref="A48:G48"/>
    <mergeCell ref="H48:K48"/>
    <mergeCell ref="L48:N48"/>
    <mergeCell ref="P48:Q48"/>
    <mergeCell ref="D49:G49"/>
    <mergeCell ref="F42:N42"/>
    <mergeCell ref="F31:N31"/>
    <mergeCell ref="F32:N32"/>
    <mergeCell ref="F33:N33"/>
    <mergeCell ref="F34:N34"/>
    <mergeCell ref="F35:N35"/>
    <mergeCell ref="F36:N36"/>
    <mergeCell ref="F37:N37"/>
    <mergeCell ref="F38:N38"/>
    <mergeCell ref="F39:N39"/>
    <mergeCell ref="F40:N40"/>
    <mergeCell ref="F41:N41"/>
    <mergeCell ref="F30:N30"/>
    <mergeCell ref="F19:N19"/>
    <mergeCell ref="F20:N20"/>
    <mergeCell ref="F21:N21"/>
    <mergeCell ref="F22:N22"/>
    <mergeCell ref="F23:N23"/>
    <mergeCell ref="F24:N24"/>
    <mergeCell ref="F25:N25"/>
    <mergeCell ref="F26:N26"/>
    <mergeCell ref="F27:N27"/>
    <mergeCell ref="F28:N28"/>
    <mergeCell ref="F29:N29"/>
    <mergeCell ref="F18:N18"/>
    <mergeCell ref="B8:E8"/>
    <mergeCell ref="I8:P8"/>
    <mergeCell ref="E9:J9"/>
    <mergeCell ref="Q10:R10"/>
    <mergeCell ref="F11:N11"/>
    <mergeCell ref="F12:N12"/>
    <mergeCell ref="F13:N13"/>
    <mergeCell ref="F14:N14"/>
    <mergeCell ref="F15:N15"/>
    <mergeCell ref="F16:N16"/>
    <mergeCell ref="F17:N17"/>
    <mergeCell ref="B6:H6"/>
    <mergeCell ref="J6:K6"/>
    <mergeCell ref="N6:O6"/>
    <mergeCell ref="Q6:R6"/>
    <mergeCell ref="B7:D7"/>
    <mergeCell ref="G7:I7"/>
    <mergeCell ref="J7:N7"/>
  </mergeCells>
  <phoneticPr fontId="87"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6" t="s">
        <v>8</v>
      </c>
      <c r="B1" s="159" t="s">
        <v>9</v>
      </c>
      <c r="C1" s="158" t="s">
        <v>10</v>
      </c>
      <c r="D1" s="159" t="s">
        <v>11</v>
      </c>
      <c r="E1" s="159" t="s">
        <v>12</v>
      </c>
      <c r="F1" s="161" t="s">
        <v>21</v>
      </c>
    </row>
    <row r="2" spans="1:6" ht="14.25">
      <c r="A2" s="167">
        <v>64125</v>
      </c>
      <c r="B2" s="170" t="s">
        <v>47</v>
      </c>
      <c r="C2" s="168">
        <v>1</v>
      </c>
      <c r="D2" s="170" t="s">
        <v>177</v>
      </c>
      <c r="E2" s="170" t="s">
        <v>176</v>
      </c>
      <c r="F2" s="171"/>
    </row>
    <row r="3" spans="1:6" ht="14.25">
      <c r="A3" s="165">
        <v>64260</v>
      </c>
      <c r="B3" s="160" t="s">
        <v>7</v>
      </c>
      <c r="C3" s="157" t="s">
        <v>172</v>
      </c>
      <c r="D3" s="160" t="s">
        <v>178</v>
      </c>
      <c r="E3" s="160" t="s">
        <v>179</v>
      </c>
      <c r="F3" s="162"/>
    </row>
    <row r="4" spans="1:6" ht="14.25">
      <c r="A4" s="165">
        <v>64111</v>
      </c>
      <c r="B4" s="160" t="s">
        <v>33</v>
      </c>
      <c r="C4" s="157">
        <v>1</v>
      </c>
      <c r="D4" s="160" t="s">
        <v>173</v>
      </c>
      <c r="E4" s="160" t="s">
        <v>174</v>
      </c>
      <c r="F4" s="162" t="s">
        <v>175</v>
      </c>
    </row>
    <row r="5" spans="1:6" ht="14.25">
      <c r="A5" s="165">
        <v>64418</v>
      </c>
      <c r="B5" s="160"/>
      <c r="C5" s="157"/>
      <c r="D5" s="160"/>
      <c r="E5" s="160"/>
      <c r="F5" s="162"/>
    </row>
  </sheetData>
  <autoFilter ref="A1:F5" xr:uid="{00000000-0009-0000-0000-000006000000}">
    <sortState xmlns:xlrd2="http://schemas.microsoft.com/office/spreadsheetml/2017/richdata2" ref="A2:F5">
      <sortCondition ref="B1:B700"/>
    </sortState>
  </autoFilter>
  <customSheetViews>
    <customSheetView guid="{FFA6C093-E866-4B92-9807-8D478A2763D4}" showAutoFilter="1">
      <pageMargins left="0.7" right="0.7" top="0.75" bottom="0.75" header="0.3" footer="0.3"/>
      <pageSetup paperSize="17" orientation="portrait" horizontalDpi="4294967295" verticalDpi="4294967295" r:id="rId1"/>
      <autoFilter ref="A1:F5" xr:uid="{BB451018-69A1-40E9-A733-A2184B4159F9}">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3A316DA1-FFE5-4EBB-B563-5138C6F344C7}">
        <sortState xmlns:xlrd2="http://schemas.microsoft.com/office/spreadsheetml/2017/richdata2" ref="A2:F5">
          <sortCondition ref="B1:B700"/>
        </sortState>
      </autoFilter>
    </customSheetView>
    <customSheetView guid="{2383B994-5DA1-4BB7-BA01-728624653006}" showAutoFilter="1">
      <pageMargins left="0.7" right="0.7" top="0.75" bottom="0.75" header="0.3" footer="0.3"/>
      <pageSetup paperSize="17" orientation="portrait" horizontalDpi="4294967295" verticalDpi="4294967295" r:id="rId3"/>
      <autoFilter ref="A1:F5" xr:uid="{FDE595B0-FED9-4AF5-8903-7BA33C1CEDB8}">
        <sortState xmlns:xlrd2="http://schemas.microsoft.com/office/spreadsheetml/2017/richdata2" ref="A2:F5">
          <sortCondition ref="B1:B700"/>
        </sortState>
      </autoFilter>
    </customSheetView>
  </customSheetViews>
  <phoneticPr fontId="87"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5.75"/>
  <cols>
    <col min="1" max="1" width="10.42578125" style="195" customWidth="1"/>
    <col min="2" max="2" width="9.42578125" style="196" customWidth="1"/>
    <col min="3" max="3" width="12.42578125" style="197" customWidth="1"/>
    <col min="4" max="4" width="5" style="195" customWidth="1"/>
    <col min="5" max="5" width="33.85546875" style="197" customWidth="1"/>
    <col min="6" max="6" width="5" style="195" customWidth="1"/>
    <col min="7" max="7" width="11.140625" style="198" customWidth="1"/>
    <col min="8" max="8" width="11.140625" style="195" customWidth="1"/>
    <col min="9" max="9" width="55.85546875" style="197" customWidth="1"/>
    <col min="10" max="10" width="15.42578125" style="195" customWidth="1"/>
    <col min="11" max="11" width="12.5703125" style="198" customWidth="1"/>
    <col min="12" max="12" width="59.140625" style="219" customWidth="1"/>
    <col min="13" max="13" width="21.42578125" style="220" customWidth="1"/>
    <col min="14" max="16384" width="9.42578125" style="199"/>
  </cols>
  <sheetData>
    <row r="1" spans="1:13" s="194" customFormat="1" ht="27.75" customHeight="1">
      <c r="A1" s="200" t="s">
        <v>14</v>
      </c>
      <c r="B1" s="189" t="s">
        <v>8</v>
      </c>
      <c r="C1" s="190" t="s">
        <v>9</v>
      </c>
      <c r="D1" s="191" t="s">
        <v>10</v>
      </c>
      <c r="E1" s="190" t="s">
        <v>11</v>
      </c>
      <c r="F1" s="191" t="s">
        <v>70</v>
      </c>
      <c r="G1" s="192" t="s">
        <v>18</v>
      </c>
      <c r="H1" s="217" t="s">
        <v>63</v>
      </c>
      <c r="I1" s="190" t="s">
        <v>12</v>
      </c>
      <c r="J1" s="191" t="s">
        <v>20</v>
      </c>
      <c r="K1" s="192" t="s">
        <v>21</v>
      </c>
      <c r="L1" s="193" t="s">
        <v>212</v>
      </c>
      <c r="M1" s="218" t="s">
        <v>213</v>
      </c>
    </row>
  </sheetData>
  <customSheetViews>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87"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FFA6C093-E866-4B92-9807-8D478A2763D4}">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2383B994-5DA1-4BB7-BA01-728624653006}">
      <pageMargins left="0.7" right="0.7" top="0.75" bottom="0.75" header="0.3" footer="0.3"/>
      <pageSetup orientation="portrait" r:id="rId3"/>
    </customSheetView>
  </customSheetViews>
  <phoneticPr fontId="87"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sqref="A1:K33"/>
    </sheetView>
  </sheetViews>
  <sheetFormatPr defaultRowHeight="12.75"/>
  <sheetData>
    <row r="1" spans="1:11" ht="15.75">
      <c r="A1" s="177"/>
      <c r="B1" s="178"/>
      <c r="C1" s="173"/>
      <c r="D1" s="180"/>
      <c r="E1" s="173"/>
      <c r="F1" s="208"/>
      <c r="G1" s="179"/>
      <c r="H1" s="180"/>
      <c r="I1" s="173"/>
      <c r="J1" s="180"/>
      <c r="K1" s="209"/>
    </row>
    <row r="2" spans="1:11" ht="15.75">
      <c r="A2" s="203"/>
      <c r="B2" s="204"/>
      <c r="C2" s="176"/>
      <c r="D2" s="203"/>
      <c r="E2" s="205"/>
      <c r="F2" s="203"/>
      <c r="G2" s="211"/>
      <c r="H2" s="184"/>
      <c r="I2" s="176"/>
      <c r="J2" s="184"/>
      <c r="K2" s="210"/>
    </row>
    <row r="3" spans="1:11" ht="15.75">
      <c r="A3" s="203"/>
      <c r="B3" s="204"/>
      <c r="C3" s="176"/>
      <c r="D3" s="203"/>
      <c r="E3" s="205"/>
      <c r="F3" s="203"/>
      <c r="G3" s="211"/>
      <c r="H3" s="184"/>
      <c r="I3" s="176"/>
      <c r="J3" s="184"/>
      <c r="K3" s="210"/>
    </row>
    <row r="4" spans="1:11" ht="15.75">
      <c r="A4" s="203"/>
      <c r="B4" s="204"/>
      <c r="C4" s="176"/>
      <c r="D4" s="203"/>
      <c r="E4" s="205"/>
      <c r="F4" s="203"/>
      <c r="G4" s="211"/>
      <c r="H4" s="184"/>
      <c r="I4" s="176"/>
      <c r="J4" s="184"/>
      <c r="K4" s="210"/>
    </row>
    <row r="5" spans="1:11" ht="15.75">
      <c r="A5" s="203"/>
      <c r="B5" s="204"/>
      <c r="C5" s="176"/>
      <c r="D5" s="203"/>
      <c r="E5" s="205"/>
      <c r="F5" s="203"/>
      <c r="G5" s="211"/>
      <c r="H5" s="184"/>
      <c r="I5" s="216"/>
      <c r="J5" s="184"/>
      <c r="K5" s="210"/>
    </row>
    <row r="6" spans="1:11" ht="15.75">
      <c r="A6" s="203"/>
      <c r="B6" s="204"/>
      <c r="C6" s="176"/>
      <c r="D6" s="203"/>
      <c r="E6" s="205"/>
      <c r="F6" s="206"/>
      <c r="G6" s="211"/>
      <c r="H6" s="184"/>
      <c r="I6" s="176"/>
      <c r="J6" s="184"/>
      <c r="K6" s="210"/>
    </row>
    <row r="7" spans="1:11" ht="15.75">
      <c r="A7" s="203"/>
      <c r="B7" s="204"/>
      <c r="C7" s="176"/>
      <c r="D7" s="203"/>
      <c r="E7" s="205"/>
      <c r="F7" s="206"/>
      <c r="G7" s="211"/>
      <c r="H7" s="184"/>
      <c r="I7" s="176"/>
      <c r="J7" s="184"/>
      <c r="K7" s="210"/>
    </row>
    <row r="8" spans="1:11" ht="15.75">
      <c r="A8" s="203"/>
      <c r="B8" s="204"/>
      <c r="C8" s="176"/>
      <c r="D8" s="203"/>
      <c r="E8" s="205"/>
      <c r="F8" s="203"/>
      <c r="G8" s="211"/>
      <c r="H8" s="184"/>
      <c r="I8" s="176"/>
      <c r="J8" s="184"/>
      <c r="K8" s="210"/>
    </row>
    <row r="9" spans="1:11" ht="15.75">
      <c r="A9" s="203"/>
      <c r="B9" s="204"/>
      <c r="C9" s="176"/>
      <c r="D9" s="203"/>
      <c r="E9" s="205"/>
      <c r="F9" s="203"/>
      <c r="G9" s="211"/>
      <c r="H9" s="184"/>
      <c r="I9" s="176"/>
      <c r="J9" s="184"/>
      <c r="K9" s="210"/>
    </row>
    <row r="10" spans="1:11" ht="15.75">
      <c r="A10" s="203"/>
      <c r="B10" s="204"/>
      <c r="C10" s="176"/>
      <c r="D10" s="203"/>
      <c r="E10" s="205"/>
      <c r="F10" s="203"/>
      <c r="G10" s="211"/>
      <c r="H10" s="184"/>
      <c r="I10" s="176"/>
      <c r="J10" s="184"/>
      <c r="K10" s="210"/>
    </row>
    <row r="11" spans="1:11" ht="15.75">
      <c r="A11" s="203"/>
      <c r="B11" s="204"/>
      <c r="C11" s="176"/>
      <c r="D11" s="203"/>
      <c r="E11" s="205"/>
      <c r="F11" s="203"/>
      <c r="G11" s="211"/>
      <c r="H11" s="184"/>
      <c r="I11" s="176"/>
      <c r="J11" s="184"/>
      <c r="K11" s="213"/>
    </row>
    <row r="12" spans="1:11" ht="15.75">
      <c r="A12" s="203"/>
      <c r="B12" s="204"/>
      <c r="C12" s="176"/>
      <c r="D12" s="203"/>
      <c r="E12" s="205"/>
      <c r="F12" s="203"/>
      <c r="G12" s="211"/>
      <c r="H12" s="184"/>
      <c r="I12" s="176"/>
      <c r="J12" s="184"/>
      <c r="K12" s="213"/>
    </row>
    <row r="13" spans="1:11" ht="15.75">
      <c r="A13" s="203"/>
      <c r="B13" s="204"/>
      <c r="C13" s="176"/>
      <c r="D13" s="203"/>
      <c r="E13" s="205"/>
      <c r="F13" s="203"/>
      <c r="G13" s="211"/>
      <c r="H13" s="184"/>
      <c r="I13" s="176"/>
      <c r="J13" s="184"/>
      <c r="K13" s="213"/>
    </row>
    <row r="14" spans="1:11" ht="15.75">
      <c r="A14" s="203"/>
      <c r="B14" s="204"/>
      <c r="C14" s="176"/>
      <c r="D14" s="203"/>
      <c r="E14" s="205"/>
      <c r="F14" s="203"/>
      <c r="G14" s="211"/>
      <c r="H14" s="184"/>
      <c r="I14" s="176"/>
      <c r="J14" s="184"/>
      <c r="K14" s="210"/>
    </row>
    <row r="15" spans="1:11" ht="15.75">
      <c r="A15" s="203"/>
      <c r="B15" s="204"/>
      <c r="C15" s="176"/>
      <c r="D15" s="203"/>
      <c r="E15" s="205"/>
      <c r="F15" s="203"/>
      <c r="G15" s="211"/>
      <c r="H15" s="184"/>
      <c r="I15" s="176"/>
      <c r="J15" s="184"/>
      <c r="K15" s="210"/>
    </row>
    <row r="16" spans="1:11" ht="15.75">
      <c r="A16" s="203"/>
      <c r="B16" s="204"/>
      <c r="C16" s="176"/>
      <c r="D16" s="203"/>
      <c r="E16" s="205"/>
      <c r="F16" s="203"/>
      <c r="G16" s="211"/>
      <c r="H16" s="184"/>
      <c r="I16" s="176"/>
      <c r="J16" s="184"/>
      <c r="K16" s="210"/>
    </row>
    <row r="17" spans="1:11" ht="15.75">
      <c r="A17" s="203"/>
      <c r="B17" s="204"/>
      <c r="C17" s="176"/>
      <c r="D17" s="203"/>
      <c r="E17" s="205"/>
      <c r="F17" s="203"/>
      <c r="G17" s="211"/>
      <c r="H17" s="184"/>
      <c r="I17" s="176"/>
      <c r="J17" s="184"/>
      <c r="K17" s="210"/>
    </row>
    <row r="18" spans="1:11" ht="15.75">
      <c r="A18" s="203"/>
      <c r="B18" s="204"/>
      <c r="C18" s="176"/>
      <c r="D18" s="203"/>
      <c r="E18" s="205"/>
      <c r="F18" s="203"/>
      <c r="G18" s="211"/>
      <c r="H18" s="184"/>
      <c r="I18" s="176"/>
      <c r="J18" s="184"/>
      <c r="K18" s="210"/>
    </row>
    <row r="19" spans="1:11" ht="15.75">
      <c r="A19" s="203"/>
      <c r="B19" s="204"/>
      <c r="C19" s="176"/>
      <c r="D19" s="203"/>
      <c r="E19" s="205"/>
      <c r="F19" s="203"/>
      <c r="G19" s="211"/>
      <c r="H19" s="184"/>
      <c r="I19" s="176"/>
      <c r="J19" s="184"/>
      <c r="K19" s="210"/>
    </row>
    <row r="20" spans="1:11" ht="15.75">
      <c r="A20" s="203"/>
      <c r="B20" s="204"/>
      <c r="C20" s="176"/>
      <c r="D20" s="203"/>
      <c r="E20" s="205"/>
      <c r="F20" s="203"/>
      <c r="G20" s="211"/>
      <c r="H20" s="184"/>
      <c r="I20" s="176"/>
      <c r="J20" s="184"/>
      <c r="K20" s="210"/>
    </row>
    <row r="21" spans="1:11" ht="15.75">
      <c r="A21" s="203"/>
      <c r="B21" s="204"/>
      <c r="C21" s="176"/>
      <c r="D21" s="203"/>
      <c r="E21" s="205"/>
      <c r="F21" s="203"/>
      <c r="G21" s="211"/>
      <c r="H21" s="184"/>
      <c r="I21" s="176"/>
      <c r="J21" s="184"/>
      <c r="K21" s="210"/>
    </row>
    <row r="22" spans="1:11" ht="15.75">
      <c r="A22" s="203"/>
      <c r="B22" s="204"/>
      <c r="C22" s="176"/>
      <c r="D22" s="203"/>
      <c r="E22" s="205"/>
      <c r="F22" s="203"/>
      <c r="G22" s="211"/>
      <c r="H22" s="184"/>
      <c r="I22" s="176"/>
      <c r="J22" s="184"/>
      <c r="K22" s="210"/>
    </row>
    <row r="23" spans="1:11" ht="15.75">
      <c r="A23" s="203"/>
      <c r="B23" s="204"/>
      <c r="C23" s="176"/>
      <c r="D23" s="203"/>
      <c r="E23" s="205"/>
      <c r="F23" s="203"/>
      <c r="G23" s="211"/>
      <c r="H23" s="184"/>
      <c r="I23" s="176"/>
      <c r="J23" s="184"/>
      <c r="K23" s="210"/>
    </row>
    <row r="24" spans="1:11" ht="15.75">
      <c r="A24" s="203"/>
      <c r="B24" s="204"/>
      <c r="C24" s="176"/>
      <c r="D24" s="203"/>
      <c r="E24" s="205"/>
      <c r="F24" s="203"/>
      <c r="G24" s="211"/>
      <c r="H24" s="184"/>
      <c r="I24" s="176"/>
      <c r="J24" s="184"/>
      <c r="K24" s="210"/>
    </row>
    <row r="25" spans="1:11" ht="15.75">
      <c r="A25" s="203"/>
      <c r="B25" s="204"/>
      <c r="C25" s="176"/>
      <c r="D25" s="203"/>
      <c r="E25" s="205"/>
      <c r="F25" s="203"/>
      <c r="G25" s="211"/>
      <c r="H25" s="184"/>
      <c r="I25" s="176"/>
      <c r="J25" s="184"/>
      <c r="K25" s="210"/>
    </row>
    <row r="26" spans="1:11" ht="15.75">
      <c r="A26" s="203"/>
      <c r="B26" s="204"/>
      <c r="C26" s="176"/>
      <c r="D26" s="203"/>
      <c r="E26" s="205"/>
      <c r="F26" s="203"/>
      <c r="G26" s="211"/>
      <c r="H26" s="184"/>
      <c r="I26" s="176"/>
      <c r="J26" s="184"/>
      <c r="K26" s="210"/>
    </row>
    <row r="27" spans="1:11" ht="15.75">
      <c r="A27" s="203"/>
      <c r="B27" s="204"/>
      <c r="C27" s="176"/>
      <c r="D27" s="203"/>
      <c r="E27" s="205"/>
      <c r="F27" s="203"/>
      <c r="G27" s="211"/>
      <c r="H27" s="184"/>
      <c r="I27" s="176"/>
      <c r="J27" s="184"/>
      <c r="K27" s="210"/>
    </row>
    <row r="28" spans="1:11" ht="15.75">
      <c r="A28" s="203"/>
      <c r="B28" s="204"/>
      <c r="C28" s="176"/>
      <c r="D28" s="203"/>
      <c r="E28" s="205"/>
      <c r="F28" s="203"/>
      <c r="G28" s="211"/>
      <c r="H28" s="184"/>
      <c r="I28" s="176"/>
      <c r="J28" s="184"/>
      <c r="K28" s="210"/>
    </row>
    <row r="29" spans="1:11" ht="15.75">
      <c r="A29" s="203"/>
      <c r="B29" s="204"/>
      <c r="C29" s="176"/>
      <c r="D29" s="203"/>
      <c r="E29" s="205"/>
      <c r="F29" s="203"/>
      <c r="G29" s="211"/>
      <c r="H29" s="184"/>
      <c r="I29" s="176"/>
      <c r="J29" s="184"/>
      <c r="K29" s="210"/>
    </row>
    <row r="30" spans="1:11" ht="15.75">
      <c r="A30" s="203"/>
      <c r="B30" s="204"/>
      <c r="C30" s="176"/>
      <c r="D30" s="203"/>
      <c r="E30" s="205"/>
      <c r="F30" s="203"/>
      <c r="G30" s="211"/>
      <c r="H30" s="184"/>
      <c r="I30" s="176"/>
      <c r="J30" s="184"/>
      <c r="K30" s="210"/>
    </row>
    <row r="31" spans="1:11" ht="15.75">
      <c r="A31" s="203"/>
      <c r="B31" s="204"/>
      <c r="C31" s="176"/>
      <c r="D31" s="203"/>
      <c r="E31" s="205"/>
      <c r="F31" s="203"/>
      <c r="G31" s="211"/>
      <c r="H31" s="184"/>
      <c r="I31" s="176"/>
      <c r="J31" s="184"/>
      <c r="K31" s="210"/>
    </row>
    <row r="32" spans="1:11" ht="15.75">
      <c r="A32" s="203"/>
      <c r="B32" s="204"/>
      <c r="C32" s="176"/>
      <c r="D32" s="203"/>
      <c r="E32" s="205"/>
      <c r="F32" s="203"/>
      <c r="G32" s="211"/>
      <c r="H32" s="184"/>
      <c r="I32" s="176"/>
      <c r="J32" s="184"/>
      <c r="K32" s="210"/>
    </row>
    <row r="33" spans="1:11" ht="15.75">
      <c r="A33" s="203"/>
      <c r="B33" s="204"/>
      <c r="C33" s="176"/>
      <c r="D33" s="203"/>
      <c r="E33" s="205"/>
      <c r="F33" s="203"/>
      <c r="G33" s="211"/>
      <c r="H33" s="184"/>
      <c r="I33" s="176"/>
      <c r="J33" s="184"/>
      <c r="K33" s="210"/>
    </row>
    <row r="34" spans="1:11" ht="15.75">
      <c r="A34" s="181"/>
      <c r="B34" s="182"/>
      <c r="C34" s="174"/>
      <c r="D34" s="184"/>
      <c r="E34" s="174"/>
      <c r="F34" s="175"/>
      <c r="G34" s="183"/>
      <c r="H34" s="184"/>
      <c r="I34" s="174"/>
      <c r="J34" s="175"/>
      <c r="K34" s="186"/>
    </row>
    <row r="35" spans="1:11" ht="15.75">
      <c r="A35" s="181"/>
      <c r="B35" s="182"/>
      <c r="C35" s="174"/>
      <c r="D35" s="184"/>
      <c r="E35" s="174"/>
      <c r="F35" s="175"/>
      <c r="G35" s="183"/>
      <c r="H35" s="184"/>
      <c r="I35" s="174"/>
      <c r="J35" s="175"/>
      <c r="K35" s="186"/>
    </row>
    <row r="36" spans="1:11" ht="15.75">
      <c r="A36" s="181"/>
      <c r="B36" s="182"/>
      <c r="C36" s="174"/>
      <c r="D36" s="184"/>
      <c r="E36" s="174"/>
      <c r="F36" s="175"/>
      <c r="G36" s="183"/>
      <c r="H36" s="184"/>
      <c r="I36" s="185"/>
      <c r="J36" s="184"/>
      <c r="K36" s="186"/>
    </row>
    <row r="37" spans="1:11" ht="15.75">
      <c r="A37" s="181"/>
      <c r="B37" s="182"/>
      <c r="C37" s="174"/>
      <c r="D37" s="184"/>
      <c r="E37" s="174"/>
      <c r="F37" s="175"/>
      <c r="G37" s="183"/>
      <c r="H37" s="184"/>
      <c r="I37" s="174"/>
      <c r="J37" s="175"/>
      <c r="K37" s="186"/>
    </row>
    <row r="38" spans="1:11" ht="15.75">
      <c r="A38" s="181"/>
      <c r="B38" s="182"/>
      <c r="C38" s="174"/>
      <c r="D38" s="184"/>
      <c r="E38" s="174"/>
      <c r="F38" s="201"/>
      <c r="G38" s="183"/>
      <c r="H38" s="184"/>
      <c r="I38" s="174"/>
      <c r="J38" s="184"/>
      <c r="K38" s="186"/>
    </row>
    <row r="39" spans="1:11" ht="15.75">
      <c r="A39" s="181"/>
      <c r="B39" s="182"/>
      <c r="C39" s="174"/>
      <c r="D39" s="184"/>
      <c r="E39" s="174"/>
      <c r="F39" s="201"/>
      <c r="G39" s="183"/>
      <c r="H39" s="184"/>
      <c r="I39" s="174"/>
      <c r="J39" s="184"/>
      <c r="K39" s="186"/>
    </row>
    <row r="40" spans="1:11" ht="15.75">
      <c r="A40" s="181"/>
      <c r="B40" s="182"/>
      <c r="C40" s="174"/>
      <c r="D40" s="184"/>
      <c r="E40" s="174"/>
      <c r="F40" s="201"/>
      <c r="G40" s="183"/>
      <c r="H40" s="184"/>
      <c r="I40" s="174"/>
      <c r="J40" s="184"/>
      <c r="K40" s="186"/>
    </row>
    <row r="41" spans="1:11" ht="15.75">
      <c r="A41" s="181"/>
      <c r="B41" s="182"/>
      <c r="C41" s="174"/>
      <c r="D41" s="184"/>
      <c r="E41" s="174"/>
      <c r="F41" s="201"/>
      <c r="G41" s="183"/>
      <c r="H41" s="184"/>
      <c r="I41" s="174"/>
      <c r="J41" s="184"/>
      <c r="K41" s="186"/>
    </row>
    <row r="42" spans="1:11" ht="15.75">
      <c r="A42" s="181"/>
      <c r="B42" s="182"/>
      <c r="C42" s="174"/>
      <c r="D42" s="184"/>
      <c r="E42" s="174"/>
      <c r="F42" s="201"/>
      <c r="G42" s="183"/>
      <c r="H42" s="184"/>
      <c r="I42" s="174"/>
      <c r="J42" s="184"/>
      <c r="K42" s="186"/>
    </row>
    <row r="43" spans="1:11" ht="15.75">
      <c r="A43" s="181"/>
      <c r="B43" s="182"/>
      <c r="C43" s="174"/>
      <c r="D43" s="184"/>
      <c r="E43" s="174"/>
      <c r="F43" s="201"/>
      <c r="G43" s="183"/>
      <c r="H43" s="184"/>
      <c r="I43" s="174"/>
      <c r="J43" s="184"/>
      <c r="K43" s="186"/>
    </row>
    <row r="44" spans="1:11" ht="15.75">
      <c r="A44" s="181"/>
      <c r="B44" s="182"/>
      <c r="C44" s="174"/>
      <c r="D44" s="184"/>
      <c r="E44" s="174"/>
      <c r="F44" s="201"/>
      <c r="G44" s="183"/>
      <c r="H44" s="184"/>
      <c r="I44" s="174"/>
      <c r="J44" s="184"/>
      <c r="K44" s="186"/>
    </row>
    <row r="45" spans="1:11" ht="15.75">
      <c r="A45" s="181"/>
      <c r="B45" s="182"/>
      <c r="C45" s="174"/>
      <c r="D45" s="184"/>
      <c r="E45" s="174"/>
      <c r="F45" s="201"/>
      <c r="G45" s="183"/>
      <c r="H45" s="184"/>
      <c r="I45" s="174"/>
      <c r="J45" s="184"/>
      <c r="K45" s="186"/>
    </row>
    <row r="46" spans="1:11" ht="15.75">
      <c r="A46" s="181"/>
      <c r="B46" s="182"/>
      <c r="C46" s="174"/>
      <c r="D46" s="184"/>
      <c r="E46" s="174"/>
      <c r="F46" s="201"/>
      <c r="G46" s="183"/>
      <c r="H46" s="184"/>
      <c r="I46" s="174"/>
      <c r="J46" s="184"/>
      <c r="K46" s="186"/>
    </row>
    <row r="47" spans="1:11" ht="15.75">
      <c r="A47" s="181"/>
      <c r="B47" s="182"/>
      <c r="C47" s="174"/>
      <c r="D47" s="184"/>
      <c r="E47" s="174"/>
      <c r="F47" s="201"/>
      <c r="G47" s="183"/>
      <c r="H47" s="184"/>
      <c r="I47" s="174"/>
      <c r="J47" s="184"/>
      <c r="K47" s="186"/>
    </row>
    <row r="48" spans="1:11" ht="15.75">
      <c r="A48" s="181"/>
      <c r="B48" s="182"/>
      <c r="C48" s="174"/>
      <c r="D48" s="184"/>
      <c r="E48" s="174"/>
      <c r="F48" s="201"/>
      <c r="G48" s="183"/>
      <c r="H48" s="184"/>
      <c r="I48" s="174"/>
      <c r="J48" s="184"/>
      <c r="K48" s="186"/>
    </row>
    <row r="49" spans="1:11" ht="15.75">
      <c r="A49" s="181"/>
      <c r="B49" s="182"/>
      <c r="C49" s="174"/>
      <c r="D49" s="184"/>
      <c r="E49" s="174"/>
      <c r="F49" s="201"/>
      <c r="G49" s="183"/>
      <c r="H49" s="184"/>
      <c r="I49" s="174"/>
      <c r="J49" s="184"/>
      <c r="K49" s="186"/>
    </row>
    <row r="50" spans="1:11" ht="15.75">
      <c r="A50" s="181"/>
      <c r="B50" s="182"/>
      <c r="C50" s="174"/>
      <c r="D50" s="184"/>
      <c r="E50" s="174"/>
      <c r="F50" s="201"/>
      <c r="G50" s="183"/>
      <c r="H50" s="184"/>
      <c r="I50" s="174"/>
      <c r="J50" s="184"/>
      <c r="K50" s="186"/>
    </row>
    <row r="51" spans="1:11" ht="15.75">
      <c r="A51" s="181"/>
      <c r="B51" s="182"/>
      <c r="C51" s="174"/>
      <c r="D51" s="184"/>
      <c r="E51" s="174"/>
      <c r="F51" s="175"/>
      <c r="G51" s="183"/>
      <c r="H51" s="184"/>
      <c r="I51" s="174"/>
      <c r="J51" s="175"/>
      <c r="K51" s="186"/>
    </row>
    <row r="52" spans="1:11" ht="15.75">
      <c r="A52" s="181"/>
      <c r="B52" s="182"/>
      <c r="C52" s="174"/>
      <c r="D52" s="184"/>
      <c r="E52" s="174"/>
      <c r="F52" s="201"/>
      <c r="G52" s="183"/>
      <c r="H52" s="184"/>
      <c r="I52" s="174"/>
      <c r="J52" s="175"/>
      <c r="K52" s="186"/>
    </row>
    <row r="53" spans="1:11" ht="15.75">
      <c r="A53" s="181"/>
      <c r="B53" s="182"/>
      <c r="C53" s="174"/>
      <c r="D53" s="184"/>
      <c r="E53" s="174"/>
      <c r="F53" s="201"/>
      <c r="G53" s="183"/>
      <c r="H53" s="184"/>
      <c r="I53" s="174"/>
      <c r="J53" s="175"/>
      <c r="K53" s="186"/>
    </row>
    <row r="54" spans="1:11" ht="15.75">
      <c r="A54" s="181"/>
      <c r="B54" s="182"/>
      <c r="C54" s="174"/>
      <c r="D54" s="184"/>
      <c r="E54" s="174"/>
      <c r="F54" s="201"/>
      <c r="G54" s="183"/>
      <c r="H54" s="184"/>
      <c r="I54" s="174"/>
      <c r="J54" s="175"/>
      <c r="K54" s="186"/>
    </row>
    <row r="55" spans="1:11" ht="15.75">
      <c r="A55" s="181"/>
      <c r="B55" s="182"/>
      <c r="C55" s="174"/>
      <c r="D55" s="184"/>
      <c r="E55" s="174"/>
      <c r="F55" s="201"/>
      <c r="G55" s="183"/>
      <c r="H55" s="184"/>
      <c r="I55" s="174"/>
      <c r="J55" s="175"/>
      <c r="K55" s="186"/>
    </row>
    <row r="56" spans="1:11" ht="15.75">
      <c r="A56" s="181"/>
      <c r="B56" s="182"/>
      <c r="C56" s="174"/>
      <c r="D56" s="184"/>
      <c r="E56" s="174"/>
      <c r="F56" s="201"/>
      <c r="G56" s="183"/>
      <c r="H56" s="184"/>
      <c r="I56" s="174"/>
      <c r="J56" s="175"/>
      <c r="K56" s="186"/>
    </row>
    <row r="57" spans="1:11" ht="15.75">
      <c r="A57" s="181"/>
      <c r="B57" s="182"/>
      <c r="C57" s="174"/>
      <c r="D57" s="184"/>
      <c r="E57" s="174"/>
      <c r="F57" s="201"/>
      <c r="G57" s="183"/>
      <c r="H57" s="184"/>
      <c r="I57" s="174"/>
      <c r="J57" s="175"/>
      <c r="K57" s="186"/>
    </row>
    <row r="58" spans="1:11" ht="15.75">
      <c r="A58" s="181"/>
      <c r="B58" s="182"/>
      <c r="C58" s="174"/>
      <c r="D58" s="184"/>
      <c r="E58" s="174"/>
      <c r="F58" s="201"/>
      <c r="G58" s="183"/>
      <c r="H58" s="184"/>
      <c r="I58" s="174"/>
      <c r="J58" s="175"/>
      <c r="K58" s="186"/>
    </row>
    <row r="59" spans="1:11" ht="15.75">
      <c r="A59" s="181"/>
      <c r="B59" s="182"/>
      <c r="C59" s="174"/>
      <c r="D59" s="184"/>
      <c r="E59" s="174"/>
      <c r="F59" s="201"/>
      <c r="G59" s="183"/>
      <c r="H59" s="184"/>
      <c r="I59" s="174"/>
      <c r="J59" s="175"/>
      <c r="K59" s="186"/>
    </row>
    <row r="60" spans="1:11" ht="15.75">
      <c r="A60" s="181"/>
      <c r="B60" s="182"/>
      <c r="C60" s="174"/>
      <c r="D60" s="184"/>
      <c r="E60" s="174"/>
      <c r="F60" s="201"/>
      <c r="G60" s="183"/>
      <c r="H60" s="184"/>
      <c r="I60" s="174"/>
      <c r="J60" s="175"/>
      <c r="K60" s="186"/>
    </row>
    <row r="61" spans="1:11" ht="15.75">
      <c r="A61" s="181"/>
      <c r="B61" s="182"/>
      <c r="C61" s="174"/>
      <c r="D61" s="184"/>
      <c r="E61" s="174"/>
      <c r="F61" s="201"/>
      <c r="G61" s="183"/>
      <c r="H61" s="184"/>
      <c r="I61" s="174"/>
      <c r="J61" s="175"/>
      <c r="K61" s="186"/>
    </row>
    <row r="62" spans="1:11" ht="15.75">
      <c r="A62" s="181"/>
      <c r="B62" s="182"/>
      <c r="C62" s="174"/>
      <c r="D62" s="184"/>
      <c r="E62" s="174"/>
      <c r="F62" s="201"/>
      <c r="G62" s="183"/>
      <c r="H62" s="184"/>
      <c r="I62" s="174"/>
      <c r="J62" s="175"/>
      <c r="K62" s="186"/>
    </row>
    <row r="63" spans="1:11" ht="15.75">
      <c r="A63" s="181"/>
      <c r="B63" s="182"/>
      <c r="C63" s="174"/>
      <c r="D63" s="184"/>
      <c r="E63" s="174"/>
      <c r="F63" s="201"/>
      <c r="G63" s="183"/>
      <c r="H63" s="184"/>
      <c r="I63" s="174"/>
      <c r="J63" s="175"/>
      <c r="K63" s="186"/>
    </row>
    <row r="64" spans="1:11" ht="15.75">
      <c r="A64" s="181"/>
      <c r="B64" s="182"/>
      <c r="C64" s="174"/>
      <c r="D64" s="184"/>
      <c r="E64" s="174"/>
      <c r="F64" s="201"/>
      <c r="G64" s="183"/>
      <c r="H64" s="184"/>
      <c r="I64" s="174"/>
      <c r="J64" s="175"/>
      <c r="K64" s="186"/>
    </row>
    <row r="65" spans="1:11" ht="15.75">
      <c r="A65" s="181"/>
      <c r="B65" s="182"/>
      <c r="C65" s="174"/>
      <c r="D65" s="184"/>
      <c r="E65" s="174"/>
      <c r="F65" s="175"/>
      <c r="G65" s="183"/>
      <c r="H65" s="184"/>
      <c r="I65" s="174"/>
      <c r="J65" s="175"/>
      <c r="K65" s="186"/>
    </row>
    <row r="66" spans="1:11" ht="15.75">
      <c r="A66" s="181"/>
      <c r="B66" s="182"/>
      <c r="C66" s="174"/>
      <c r="D66" s="184"/>
      <c r="E66" s="174"/>
      <c r="F66" s="175"/>
      <c r="G66" s="183"/>
      <c r="H66" s="184"/>
      <c r="I66" s="174"/>
      <c r="J66" s="201"/>
      <c r="K66" s="186"/>
    </row>
    <row r="67" spans="1:11" ht="15.75">
      <c r="A67" s="181"/>
      <c r="B67" s="182"/>
      <c r="C67" s="174"/>
      <c r="D67" s="184"/>
      <c r="E67" s="174"/>
      <c r="F67" s="175"/>
      <c r="G67" s="183"/>
      <c r="H67" s="184"/>
      <c r="I67" s="174"/>
      <c r="J67" s="201"/>
      <c r="K67" s="186"/>
    </row>
    <row r="68" spans="1:11" ht="15.75">
      <c r="A68" s="181"/>
      <c r="B68" s="182"/>
      <c r="C68" s="174"/>
      <c r="D68" s="184"/>
      <c r="E68" s="174"/>
      <c r="F68" s="175"/>
      <c r="G68" s="183"/>
      <c r="H68" s="184"/>
      <c r="I68" s="174"/>
      <c r="J68" s="201"/>
      <c r="K68" s="186"/>
    </row>
    <row r="69" spans="1:11" ht="15.75">
      <c r="A69" s="181"/>
      <c r="B69" s="182"/>
      <c r="C69" s="174"/>
      <c r="D69" s="184"/>
      <c r="E69" s="174"/>
      <c r="F69" s="175"/>
      <c r="G69" s="183"/>
      <c r="H69" s="184"/>
      <c r="I69" s="174"/>
      <c r="J69" s="175"/>
      <c r="K69" s="186"/>
    </row>
    <row r="70" spans="1:11" ht="15.75">
      <c r="A70" s="181"/>
      <c r="B70" s="182"/>
      <c r="C70" s="174"/>
      <c r="D70" s="184"/>
      <c r="E70" s="174"/>
      <c r="F70" s="175"/>
      <c r="G70" s="183"/>
      <c r="H70" s="184"/>
      <c r="I70" s="174"/>
      <c r="J70" s="175"/>
      <c r="K70" s="186"/>
    </row>
    <row r="71" spans="1:11" ht="15.75">
      <c r="A71" s="181"/>
      <c r="B71" s="182"/>
      <c r="C71" s="174"/>
      <c r="D71" s="184"/>
      <c r="E71" s="174"/>
      <c r="F71" s="175"/>
      <c r="G71" s="183"/>
      <c r="H71" s="184"/>
      <c r="I71" s="174"/>
      <c r="J71" s="175"/>
      <c r="K71" s="186"/>
    </row>
    <row r="72" spans="1:11" ht="15.75">
      <c r="A72" s="181"/>
      <c r="B72" s="182"/>
      <c r="C72" s="174"/>
      <c r="D72" s="184"/>
      <c r="E72" s="174"/>
      <c r="F72" s="175"/>
      <c r="G72" s="183"/>
      <c r="H72" s="184"/>
      <c r="I72" s="174"/>
      <c r="J72" s="175"/>
      <c r="K72" s="186"/>
    </row>
    <row r="73" spans="1:11" ht="15.75">
      <c r="A73" s="181"/>
      <c r="B73" s="182"/>
      <c r="C73" s="174"/>
      <c r="D73" s="184"/>
      <c r="E73" s="174"/>
      <c r="F73" s="175"/>
      <c r="G73" s="183"/>
      <c r="H73" s="184"/>
      <c r="I73" s="174"/>
      <c r="J73" s="175"/>
      <c r="K73" s="186"/>
    </row>
    <row r="74" spans="1:11" ht="15.75">
      <c r="A74" s="181"/>
      <c r="B74" s="182"/>
      <c r="C74" s="174"/>
      <c r="D74" s="184"/>
      <c r="E74" s="174"/>
      <c r="F74" s="175"/>
      <c r="G74" s="183"/>
      <c r="H74" s="184"/>
      <c r="I74" s="174"/>
      <c r="J74" s="175"/>
      <c r="K74" s="186"/>
    </row>
    <row r="75" spans="1:11" ht="15.75">
      <c r="A75" s="181"/>
      <c r="B75" s="182"/>
      <c r="C75" s="174"/>
      <c r="D75" s="202"/>
      <c r="E75" s="174"/>
      <c r="F75" s="175"/>
      <c r="G75" s="183"/>
      <c r="H75" s="184"/>
      <c r="I75" s="174"/>
      <c r="J75" s="175"/>
      <c r="K75" s="186"/>
    </row>
    <row r="76" spans="1:11" ht="15.75">
      <c r="A76" s="181"/>
      <c r="B76" s="182"/>
      <c r="C76" s="174"/>
      <c r="D76" s="184"/>
      <c r="E76" s="174"/>
      <c r="F76" s="175"/>
      <c r="G76" s="183"/>
      <c r="H76" s="184"/>
      <c r="I76" s="174"/>
      <c r="J76" s="175"/>
      <c r="K76" s="186"/>
    </row>
    <row r="77" spans="1:11" ht="15.75">
      <c r="A77" s="181"/>
      <c r="B77" s="182"/>
      <c r="C77" s="174"/>
      <c r="D77" s="184"/>
      <c r="E77" s="174"/>
      <c r="F77" s="175"/>
      <c r="G77" s="183"/>
      <c r="H77" s="184"/>
      <c r="I77" s="174"/>
      <c r="J77" s="175"/>
      <c r="K77" s="186"/>
    </row>
    <row r="78" spans="1:11" ht="15.75">
      <c r="A78" s="181"/>
      <c r="B78" s="182"/>
      <c r="C78" s="174"/>
      <c r="D78" s="184"/>
      <c r="E78" s="174"/>
      <c r="F78" s="175"/>
      <c r="G78" s="183"/>
      <c r="H78" s="184"/>
      <c r="I78" s="174"/>
      <c r="J78" s="175"/>
      <c r="K78" s="186"/>
    </row>
    <row r="79" spans="1:11" ht="15.75">
      <c r="A79" s="181"/>
      <c r="B79" s="182"/>
      <c r="C79" s="174"/>
      <c r="D79" s="184"/>
      <c r="E79" s="174"/>
      <c r="F79" s="175"/>
      <c r="G79" s="183"/>
      <c r="H79" s="184"/>
      <c r="I79" s="174"/>
      <c r="J79" s="175"/>
      <c r="K79" s="186"/>
    </row>
    <row r="80" spans="1:11" ht="15.75">
      <c r="A80" s="181"/>
      <c r="B80" s="182"/>
      <c r="C80" s="174"/>
      <c r="D80" s="184"/>
      <c r="E80" s="174"/>
      <c r="F80" s="175"/>
      <c r="G80" s="183"/>
      <c r="H80" s="184"/>
      <c r="I80" s="174"/>
      <c r="J80" s="175"/>
      <c r="K80" s="186"/>
    </row>
    <row r="81" spans="1:11" ht="15.75">
      <c r="A81" s="181"/>
      <c r="B81" s="182"/>
      <c r="C81" s="174"/>
      <c r="D81" s="184"/>
      <c r="E81" s="174"/>
      <c r="F81" s="175"/>
      <c r="G81" s="183"/>
      <c r="H81" s="184"/>
      <c r="I81" s="174"/>
      <c r="J81" s="175"/>
      <c r="K81" s="186"/>
    </row>
    <row r="82" spans="1:11" ht="15.75">
      <c r="A82" s="181"/>
      <c r="B82" s="182"/>
      <c r="C82" s="174"/>
      <c r="D82" s="184"/>
      <c r="E82" s="174"/>
      <c r="F82" s="175"/>
      <c r="G82" s="183"/>
      <c r="H82" s="184"/>
      <c r="I82" s="174"/>
      <c r="J82" s="175"/>
      <c r="K82" s="186"/>
    </row>
    <row r="83" spans="1:11" ht="15.75">
      <c r="A83" s="181"/>
      <c r="B83" s="182"/>
      <c r="C83" s="174"/>
      <c r="D83" s="184"/>
      <c r="E83" s="174"/>
      <c r="F83" s="175"/>
      <c r="G83" s="183"/>
      <c r="H83" s="184"/>
      <c r="I83" s="174"/>
      <c r="J83" s="175"/>
      <c r="K83" s="186"/>
    </row>
    <row r="84" spans="1:11" ht="15.75">
      <c r="A84" s="181"/>
      <c r="B84" s="182"/>
      <c r="C84" s="174"/>
      <c r="D84" s="184"/>
      <c r="E84" s="174"/>
      <c r="F84" s="175"/>
      <c r="G84" s="183"/>
      <c r="H84" s="184"/>
      <c r="I84" s="174"/>
      <c r="J84" s="175"/>
      <c r="K84" s="186"/>
    </row>
    <row r="85" spans="1:11" ht="15.75">
      <c r="A85" s="181"/>
      <c r="B85" s="182"/>
      <c r="C85" s="174"/>
      <c r="D85" s="184"/>
      <c r="E85" s="174"/>
      <c r="F85" s="175"/>
      <c r="G85" s="183"/>
      <c r="H85" s="184"/>
      <c r="I85" s="174"/>
      <c r="J85" s="175"/>
      <c r="K85" s="186"/>
    </row>
    <row r="86" spans="1:11" ht="15.75">
      <c r="A86" s="181"/>
      <c r="B86" s="182"/>
      <c r="C86" s="174"/>
      <c r="D86" s="184"/>
      <c r="E86" s="174"/>
      <c r="F86" s="175"/>
      <c r="G86" s="183"/>
      <c r="H86" s="184"/>
      <c r="I86" s="174"/>
      <c r="J86" s="175"/>
      <c r="K86" s="186"/>
    </row>
    <row r="87" spans="1:11" ht="15.75">
      <c r="A87" s="181"/>
      <c r="B87" s="182"/>
      <c r="C87" s="174"/>
      <c r="D87" s="184"/>
      <c r="E87" s="174"/>
      <c r="F87" s="175"/>
      <c r="G87" s="183"/>
      <c r="H87" s="184"/>
      <c r="I87" s="174"/>
      <c r="J87" s="175"/>
      <c r="K87" s="186"/>
    </row>
    <row r="88" spans="1:11" ht="15.75">
      <c r="A88" s="181"/>
      <c r="B88" s="182"/>
      <c r="C88" s="174"/>
      <c r="D88" s="184"/>
      <c r="E88" s="174"/>
      <c r="F88" s="175"/>
      <c r="G88" s="183"/>
      <c r="H88" s="184"/>
      <c r="I88" s="174"/>
      <c r="J88" s="175"/>
      <c r="K88" s="186"/>
    </row>
    <row r="89" spans="1:11" ht="15.75">
      <c r="A89" s="181"/>
      <c r="B89" s="182"/>
      <c r="C89" s="174"/>
      <c r="D89" s="184"/>
      <c r="E89" s="174"/>
      <c r="F89" s="175"/>
      <c r="G89" s="183"/>
      <c r="H89" s="184"/>
      <c r="I89" s="174"/>
      <c r="J89" s="175"/>
      <c r="K89" s="186"/>
    </row>
    <row r="90" spans="1:11" ht="15.75">
      <c r="A90" s="181"/>
      <c r="B90" s="182"/>
      <c r="C90" s="174"/>
      <c r="D90" s="184"/>
      <c r="E90" s="174"/>
      <c r="F90" s="175"/>
      <c r="G90" s="183"/>
      <c r="H90" s="184"/>
      <c r="I90" s="174"/>
      <c r="J90" s="175"/>
      <c r="K90" s="186"/>
    </row>
    <row r="91" spans="1:11" ht="15.75">
      <c r="A91" s="181"/>
      <c r="B91" s="182"/>
      <c r="C91" s="174"/>
      <c r="D91" s="184"/>
      <c r="E91" s="174"/>
      <c r="F91" s="175"/>
      <c r="G91" s="183"/>
      <c r="H91" s="184"/>
      <c r="I91" s="174"/>
      <c r="J91" s="175"/>
      <c r="K91" s="186"/>
    </row>
    <row r="92" spans="1:11" ht="15.75">
      <c r="A92" s="181"/>
      <c r="B92" s="182"/>
      <c r="C92" s="174"/>
      <c r="D92" s="184"/>
      <c r="E92" s="174"/>
      <c r="F92" s="175"/>
      <c r="G92" s="183"/>
      <c r="H92" s="184"/>
      <c r="I92" s="174"/>
      <c r="J92" s="175"/>
      <c r="K92" s="186"/>
    </row>
    <row r="93" spans="1:11" ht="15.75">
      <c r="A93" s="181"/>
      <c r="B93" s="182"/>
      <c r="C93" s="174"/>
      <c r="D93" s="184"/>
      <c r="E93" s="174"/>
      <c r="F93" s="175"/>
      <c r="G93" s="183"/>
      <c r="H93" s="184"/>
      <c r="I93" s="174"/>
      <c r="J93" s="175"/>
      <c r="K93" s="186"/>
    </row>
    <row r="94" spans="1:11" ht="15.75">
      <c r="A94" s="181"/>
      <c r="B94" s="182"/>
      <c r="C94" s="174"/>
      <c r="D94" s="184"/>
      <c r="E94" s="174"/>
      <c r="F94" s="175"/>
      <c r="G94" s="183"/>
      <c r="H94" s="184"/>
      <c r="I94" s="174"/>
      <c r="J94" s="175"/>
      <c r="K94" s="186"/>
    </row>
    <row r="95" spans="1:11" ht="15.75">
      <c r="A95" s="181"/>
      <c r="B95" s="182"/>
      <c r="C95" s="174"/>
      <c r="D95" s="184"/>
      <c r="E95" s="174"/>
      <c r="F95" s="175"/>
      <c r="G95" s="183"/>
      <c r="H95" s="184"/>
      <c r="I95" s="174"/>
      <c r="J95" s="175"/>
      <c r="K95" s="186"/>
    </row>
    <row r="96" spans="1:11" ht="15.75">
      <c r="A96" s="181"/>
      <c r="B96" s="182"/>
      <c r="C96" s="174"/>
      <c r="D96" s="184"/>
      <c r="E96" s="174"/>
      <c r="F96" s="175"/>
      <c r="G96" s="183"/>
      <c r="H96" s="184"/>
      <c r="I96" s="174"/>
      <c r="J96" s="175"/>
      <c r="K96" s="186"/>
    </row>
    <row r="97" spans="1:11" ht="15.75">
      <c r="A97" s="181"/>
      <c r="B97" s="182"/>
      <c r="C97" s="174"/>
      <c r="D97" s="184"/>
      <c r="E97" s="174"/>
      <c r="F97" s="175"/>
      <c r="G97" s="183"/>
      <c r="H97" s="184"/>
      <c r="I97" s="174"/>
      <c r="J97" s="175"/>
      <c r="K97" s="186"/>
    </row>
    <row r="98" spans="1:11" ht="15.75">
      <c r="A98" s="181"/>
      <c r="B98" s="182"/>
      <c r="C98" s="174"/>
      <c r="D98" s="184"/>
      <c r="E98" s="174"/>
      <c r="F98" s="175"/>
      <c r="G98" s="183"/>
      <c r="H98" s="184"/>
      <c r="I98" s="174"/>
      <c r="J98" s="175"/>
      <c r="K98" s="186"/>
    </row>
    <row r="99" spans="1:11" ht="15.75">
      <c r="A99" s="181"/>
      <c r="B99" s="182"/>
      <c r="C99" s="174"/>
      <c r="D99" s="184"/>
      <c r="E99" s="174"/>
      <c r="F99" s="175"/>
      <c r="G99" s="183"/>
      <c r="H99" s="184"/>
      <c r="I99" s="174"/>
      <c r="J99" s="175"/>
      <c r="K99" s="186"/>
    </row>
    <row r="100" spans="1:11" ht="15.75">
      <c r="A100" s="181"/>
      <c r="B100" s="182"/>
      <c r="C100" s="174"/>
      <c r="D100" s="184"/>
      <c r="E100" s="174"/>
      <c r="F100" s="175"/>
      <c r="G100" s="183"/>
      <c r="H100" s="184"/>
      <c r="I100" s="174"/>
      <c r="J100" s="175"/>
      <c r="K100" s="186"/>
    </row>
    <row r="101" spans="1:11" ht="15.75">
      <c r="A101" s="181"/>
      <c r="B101" s="182"/>
      <c r="C101" s="174"/>
      <c r="D101" s="184"/>
      <c r="E101" s="174"/>
      <c r="F101" s="175"/>
      <c r="G101" s="183"/>
      <c r="H101" s="184"/>
      <c r="I101" s="174"/>
      <c r="J101" s="175"/>
      <c r="K101" s="186"/>
    </row>
    <row r="102" spans="1:11" ht="15.75">
      <c r="A102" s="181"/>
      <c r="B102" s="182"/>
      <c r="C102" s="174"/>
      <c r="D102" s="184"/>
      <c r="E102" s="174"/>
      <c r="F102" s="175"/>
      <c r="G102" s="183"/>
      <c r="H102" s="184"/>
      <c r="I102" s="174"/>
      <c r="J102" s="175"/>
      <c r="K102" s="186"/>
    </row>
    <row r="103" spans="1:11" ht="15.75">
      <c r="A103" s="181"/>
      <c r="B103" s="182"/>
      <c r="C103" s="174"/>
      <c r="D103" s="184"/>
      <c r="E103" s="174"/>
      <c r="F103" s="175"/>
      <c r="G103" s="183"/>
      <c r="H103" s="184"/>
      <c r="I103" s="174"/>
      <c r="J103" s="175"/>
      <c r="K103" s="186"/>
    </row>
    <row r="104" spans="1:11" ht="15.75">
      <c r="A104" s="181"/>
      <c r="B104" s="182"/>
      <c r="C104" s="174"/>
      <c r="D104" s="184"/>
      <c r="E104" s="174"/>
      <c r="F104" s="175"/>
      <c r="G104" s="183"/>
      <c r="H104" s="184"/>
      <c r="I104" s="174"/>
      <c r="J104" s="175"/>
      <c r="K104" s="186"/>
    </row>
    <row r="105" spans="1:11" ht="15.75">
      <c r="A105" s="181"/>
      <c r="B105" s="182"/>
      <c r="C105" s="174"/>
      <c r="D105" s="184"/>
      <c r="E105" s="174"/>
      <c r="F105" s="175"/>
      <c r="G105" s="183"/>
      <c r="H105" s="184"/>
      <c r="I105" s="174"/>
      <c r="J105" s="175"/>
      <c r="K105" s="186"/>
    </row>
    <row r="106" spans="1:11" ht="15.75">
      <c r="A106" s="181"/>
      <c r="B106" s="182"/>
      <c r="C106" s="174"/>
      <c r="D106" s="184"/>
      <c r="E106" s="174"/>
      <c r="F106" s="175"/>
      <c r="G106" s="183"/>
      <c r="H106" s="184"/>
      <c r="I106" s="174"/>
      <c r="J106" s="175"/>
      <c r="K106" s="186"/>
    </row>
    <row r="107" spans="1:11" ht="15.75">
      <c r="A107" s="181"/>
      <c r="B107" s="182"/>
      <c r="C107" s="174"/>
      <c r="D107" s="184"/>
      <c r="E107" s="174"/>
      <c r="F107" s="175"/>
      <c r="G107" s="183"/>
      <c r="H107" s="184"/>
      <c r="I107" s="174"/>
      <c r="J107" s="175"/>
      <c r="K107" s="186"/>
    </row>
    <row r="108" spans="1:11" ht="15.75">
      <c r="A108" s="181"/>
      <c r="B108" s="182"/>
      <c r="C108" s="174"/>
      <c r="D108" s="184"/>
      <c r="E108" s="174"/>
      <c r="F108" s="175"/>
      <c r="G108" s="183"/>
      <c r="H108" s="184"/>
      <c r="I108" s="174"/>
      <c r="J108" s="175"/>
      <c r="K108" s="186"/>
    </row>
    <row r="109" spans="1:11" ht="15.75">
      <c r="A109" s="181"/>
      <c r="B109" s="182"/>
      <c r="C109" s="174"/>
      <c r="D109" s="184"/>
      <c r="E109" s="174"/>
      <c r="F109" s="175"/>
      <c r="G109" s="183"/>
      <c r="H109" s="184"/>
      <c r="I109" s="174"/>
      <c r="J109" s="175"/>
      <c r="K109" s="186"/>
    </row>
    <row r="110" spans="1:11" ht="15.75">
      <c r="A110" s="181"/>
      <c r="B110" s="182"/>
      <c r="C110" s="174"/>
      <c r="D110" s="184"/>
      <c r="E110" s="174"/>
      <c r="F110" s="175"/>
      <c r="G110" s="183"/>
      <c r="H110" s="184"/>
      <c r="I110" s="174"/>
      <c r="J110" s="175"/>
      <c r="K110" s="186"/>
    </row>
    <row r="111" spans="1:11" ht="15.75">
      <c r="A111" s="181"/>
      <c r="B111" s="182"/>
      <c r="C111" s="174"/>
      <c r="D111" s="184"/>
      <c r="E111" s="174"/>
      <c r="F111" s="175"/>
      <c r="G111" s="183"/>
      <c r="H111" s="184"/>
      <c r="I111" s="174"/>
      <c r="J111" s="175"/>
      <c r="K111" s="186"/>
    </row>
    <row r="112" spans="1:11" ht="15.75">
      <c r="A112" s="181"/>
      <c r="B112" s="182"/>
      <c r="C112" s="174"/>
      <c r="D112" s="184"/>
      <c r="E112" s="174"/>
      <c r="F112" s="175"/>
      <c r="G112" s="183"/>
      <c r="H112" s="184"/>
      <c r="I112" s="174"/>
      <c r="J112" s="175"/>
      <c r="K112" s="186"/>
    </row>
    <row r="113" spans="1:11" ht="15.75">
      <c r="A113" s="181"/>
      <c r="B113" s="182"/>
      <c r="C113" s="174"/>
      <c r="D113" s="184"/>
      <c r="E113" s="174"/>
      <c r="F113" s="175"/>
      <c r="G113" s="183"/>
      <c r="H113" s="184"/>
      <c r="I113" s="174"/>
      <c r="J113" s="175"/>
      <c r="K113" s="186"/>
    </row>
    <row r="114" spans="1:11" ht="15.75">
      <c r="A114" s="181"/>
      <c r="B114" s="182"/>
      <c r="C114" s="174"/>
      <c r="D114" s="184"/>
      <c r="E114" s="174"/>
      <c r="F114" s="175"/>
      <c r="G114" s="183"/>
      <c r="H114" s="184"/>
      <c r="I114" s="174"/>
      <c r="J114" s="175"/>
      <c r="K114" s="186"/>
    </row>
    <row r="115" spans="1:11" ht="15.75">
      <c r="A115" s="181"/>
      <c r="B115" s="182"/>
      <c r="C115" s="174"/>
      <c r="D115" s="184"/>
      <c r="E115" s="174"/>
      <c r="F115" s="175"/>
      <c r="G115" s="183"/>
      <c r="H115" s="184"/>
      <c r="I115" s="174"/>
      <c r="J115" s="175"/>
      <c r="K115" s="186"/>
    </row>
    <row r="116" spans="1:11" ht="15.75">
      <c r="A116" s="181"/>
      <c r="B116" s="182"/>
      <c r="C116" s="174"/>
      <c r="D116" s="184"/>
      <c r="E116" s="174"/>
      <c r="F116" s="175"/>
      <c r="G116" s="183"/>
      <c r="H116" s="184"/>
      <c r="I116" s="174"/>
      <c r="J116" s="175"/>
      <c r="K116" s="186"/>
    </row>
    <row r="117" spans="1:11" ht="15.75">
      <c r="A117" s="181"/>
      <c r="B117" s="182"/>
      <c r="C117" s="174"/>
      <c r="D117" s="184"/>
      <c r="E117" s="174"/>
      <c r="F117" s="175"/>
      <c r="G117" s="183"/>
      <c r="H117" s="184"/>
      <c r="I117" s="174"/>
      <c r="J117" s="175"/>
      <c r="K117" s="186"/>
    </row>
    <row r="118" spans="1:11" ht="15.75">
      <c r="A118" s="181"/>
      <c r="B118" s="182"/>
      <c r="C118" s="174"/>
      <c r="D118" s="184"/>
      <c r="E118" s="174"/>
      <c r="F118" s="175"/>
      <c r="G118" s="183"/>
      <c r="H118" s="184"/>
      <c r="I118" s="174"/>
      <c r="J118" s="175"/>
      <c r="K118" s="186"/>
    </row>
    <row r="119" spans="1:11" ht="15.75">
      <c r="A119" s="181"/>
      <c r="B119" s="182"/>
      <c r="C119" s="174"/>
      <c r="D119" s="184"/>
      <c r="E119" s="174"/>
      <c r="F119" s="175"/>
      <c r="G119" s="183"/>
      <c r="H119" s="184"/>
      <c r="I119" s="174"/>
      <c r="J119" s="175"/>
      <c r="K119" s="186"/>
    </row>
    <row r="120" spans="1:11" ht="15.75">
      <c r="A120" s="181"/>
      <c r="B120" s="182"/>
      <c r="C120" s="174"/>
      <c r="D120" s="184"/>
      <c r="E120" s="174"/>
      <c r="F120" s="175"/>
      <c r="G120" s="183"/>
      <c r="H120" s="184"/>
      <c r="I120" s="174"/>
      <c r="J120" s="175"/>
      <c r="K120" s="186"/>
    </row>
    <row r="121" spans="1:11" ht="15.75">
      <c r="A121" s="181"/>
      <c r="B121" s="182"/>
      <c r="C121" s="174"/>
      <c r="D121" s="184"/>
      <c r="E121" s="174"/>
      <c r="F121" s="175"/>
      <c r="G121" s="183"/>
      <c r="H121" s="184"/>
      <c r="I121" s="174"/>
      <c r="J121" s="175"/>
      <c r="K121" s="186"/>
    </row>
    <row r="122" spans="1:11" ht="15.75">
      <c r="A122" s="181"/>
      <c r="B122" s="182"/>
      <c r="C122" s="174"/>
      <c r="D122" s="184"/>
      <c r="E122" s="174"/>
      <c r="F122" s="175"/>
      <c r="G122" s="183"/>
      <c r="H122" s="184"/>
      <c r="I122" s="174"/>
      <c r="J122" s="175"/>
      <c r="K122" s="186"/>
    </row>
    <row r="123" spans="1:11" ht="15.75">
      <c r="A123" s="181"/>
      <c r="B123" s="182"/>
      <c r="C123" s="174"/>
      <c r="D123" s="184"/>
      <c r="E123" s="174"/>
      <c r="F123" s="175"/>
      <c r="G123" s="183"/>
      <c r="H123" s="184"/>
      <c r="I123" s="174"/>
      <c r="J123" s="175"/>
      <c r="K123" s="186"/>
    </row>
    <row r="124" spans="1:11" ht="15.75">
      <c r="A124" s="181"/>
      <c r="B124" s="182"/>
      <c r="C124" s="174"/>
      <c r="D124" s="184"/>
      <c r="E124" s="174"/>
      <c r="F124" s="175"/>
      <c r="G124" s="183"/>
      <c r="H124" s="184"/>
      <c r="I124" s="174"/>
      <c r="J124" s="175"/>
      <c r="K124" s="186"/>
    </row>
    <row r="125" spans="1:11" ht="15.75">
      <c r="A125" s="181"/>
      <c r="B125" s="182"/>
      <c r="C125" s="174"/>
      <c r="D125" s="184"/>
      <c r="E125" s="174"/>
      <c r="F125" s="175"/>
      <c r="G125" s="183"/>
      <c r="H125" s="184"/>
      <c r="I125" s="174"/>
      <c r="J125" s="175"/>
      <c r="K125" s="186"/>
    </row>
    <row r="126" spans="1:11" ht="15.75">
      <c r="A126" s="181"/>
      <c r="B126" s="182"/>
      <c r="C126" s="174"/>
      <c r="D126" s="184"/>
      <c r="E126" s="174"/>
      <c r="F126" s="175"/>
      <c r="G126" s="183"/>
      <c r="H126" s="184"/>
      <c r="I126" s="174"/>
      <c r="J126" s="175"/>
      <c r="K126" s="186"/>
    </row>
    <row r="127" spans="1:11" ht="15.75">
      <c r="A127" s="181"/>
      <c r="B127" s="182"/>
      <c r="C127" s="174"/>
      <c r="D127" s="184"/>
      <c r="E127" s="174"/>
      <c r="F127" s="175"/>
      <c r="G127" s="183"/>
      <c r="H127" s="184"/>
      <c r="I127" s="174"/>
      <c r="J127" s="175"/>
      <c r="K127" s="186"/>
    </row>
    <row r="128" spans="1:11" ht="15.75">
      <c r="A128" s="181"/>
      <c r="B128" s="182"/>
      <c r="C128" s="174"/>
      <c r="D128" s="184"/>
      <c r="E128" s="174"/>
      <c r="F128" s="175"/>
      <c r="G128" s="183"/>
      <c r="H128" s="184"/>
      <c r="I128" s="174"/>
      <c r="J128" s="175"/>
      <c r="K128" s="186"/>
    </row>
    <row r="129" spans="1:11" ht="15.75">
      <c r="A129" s="181"/>
      <c r="B129" s="182"/>
      <c r="C129" s="174"/>
      <c r="D129" s="184"/>
      <c r="E129" s="174"/>
      <c r="F129" s="175"/>
      <c r="G129" s="183"/>
      <c r="H129" s="184"/>
      <c r="I129" s="174"/>
      <c r="J129" s="175"/>
      <c r="K129" s="186"/>
    </row>
    <row r="130" spans="1:11" ht="15.75">
      <c r="A130" s="181"/>
      <c r="B130" s="182"/>
      <c r="C130" s="174"/>
      <c r="D130" s="184"/>
      <c r="E130" s="174"/>
      <c r="F130" s="175"/>
      <c r="G130" s="183"/>
      <c r="H130" s="184"/>
      <c r="I130" s="174"/>
      <c r="J130" s="175"/>
      <c r="K130" s="186"/>
    </row>
    <row r="131" spans="1:11" ht="15.75">
      <c r="A131" s="181"/>
      <c r="B131" s="182"/>
      <c r="C131" s="174"/>
      <c r="D131" s="184"/>
      <c r="E131" s="174"/>
      <c r="F131" s="175"/>
      <c r="G131" s="183"/>
      <c r="H131" s="184"/>
      <c r="I131" s="174"/>
      <c r="J131" s="175"/>
      <c r="K131" s="186"/>
    </row>
    <row r="132" spans="1:11" ht="15.75">
      <c r="A132" s="181"/>
      <c r="B132" s="182"/>
      <c r="C132" s="174"/>
      <c r="D132" s="184"/>
      <c r="E132" s="174"/>
      <c r="F132" s="175"/>
      <c r="G132" s="183"/>
      <c r="H132" s="184"/>
      <c r="I132" s="174"/>
      <c r="J132" s="175"/>
      <c r="K132" s="186"/>
    </row>
    <row r="133" spans="1:11" ht="15.75">
      <c r="A133" s="181"/>
      <c r="B133" s="182"/>
      <c r="C133" s="174"/>
      <c r="D133" s="184"/>
      <c r="E133" s="174"/>
      <c r="F133" s="175"/>
      <c r="G133" s="183"/>
      <c r="H133" s="184"/>
      <c r="I133" s="174"/>
      <c r="J133" s="175"/>
      <c r="K133" s="186"/>
    </row>
    <row r="134" spans="1:11" ht="15.75">
      <c r="A134" s="181"/>
      <c r="B134" s="182"/>
      <c r="C134" s="174"/>
      <c r="D134" s="184"/>
      <c r="E134" s="174"/>
      <c r="F134" s="175"/>
      <c r="G134" s="183"/>
      <c r="H134" s="184"/>
      <c r="I134" s="174"/>
      <c r="J134" s="175"/>
      <c r="K134" s="186"/>
    </row>
    <row r="135" spans="1:11" ht="15.75">
      <c r="A135" s="181"/>
      <c r="B135" s="182"/>
      <c r="C135" s="174"/>
      <c r="D135" s="184"/>
      <c r="E135" s="174"/>
      <c r="F135" s="175"/>
      <c r="G135" s="183"/>
      <c r="H135" s="184"/>
      <c r="I135" s="174"/>
      <c r="J135" s="175"/>
      <c r="K135" s="186"/>
    </row>
    <row r="136" spans="1:11" ht="15.75">
      <c r="A136" s="181"/>
      <c r="B136" s="182"/>
      <c r="C136" s="174"/>
      <c r="D136" s="184"/>
      <c r="E136" s="174"/>
      <c r="F136" s="175"/>
      <c r="G136" s="183"/>
      <c r="H136" s="184"/>
      <c r="I136" s="174"/>
      <c r="J136" s="175"/>
      <c r="K136" s="186"/>
    </row>
    <row r="137" spans="1:11" ht="15.75">
      <c r="A137" s="181"/>
      <c r="B137" s="182"/>
      <c r="C137" s="174"/>
      <c r="D137" s="184"/>
      <c r="E137" s="174"/>
      <c r="F137" s="175"/>
      <c r="G137" s="183"/>
      <c r="H137" s="184"/>
      <c r="I137" s="174"/>
      <c r="J137" s="175"/>
      <c r="K137" s="186"/>
    </row>
    <row r="138" spans="1:11" ht="15.75">
      <c r="A138" s="181"/>
      <c r="B138" s="182"/>
      <c r="C138" s="174"/>
      <c r="D138" s="184"/>
      <c r="E138" s="174"/>
      <c r="F138" s="175"/>
      <c r="G138" s="183"/>
      <c r="H138" s="184"/>
      <c r="I138" s="174"/>
      <c r="J138" s="175"/>
      <c r="K138" s="186"/>
    </row>
    <row r="139" spans="1:11" ht="15.75">
      <c r="A139" s="181"/>
      <c r="B139" s="182"/>
      <c r="C139" s="174"/>
      <c r="D139" s="184"/>
      <c r="E139" s="174"/>
      <c r="F139" s="175"/>
      <c r="G139" s="183"/>
      <c r="H139" s="184"/>
      <c r="I139" s="174"/>
      <c r="J139" s="175"/>
      <c r="K139" s="186"/>
    </row>
    <row r="140" spans="1:11" ht="15.75">
      <c r="A140" s="181"/>
      <c r="B140" s="182"/>
      <c r="C140" s="174"/>
      <c r="D140" s="184"/>
      <c r="E140" s="174"/>
      <c r="F140" s="175"/>
      <c r="G140" s="183"/>
      <c r="H140" s="184"/>
      <c r="I140" s="174"/>
      <c r="J140" s="175"/>
      <c r="K140" s="186"/>
    </row>
    <row r="141" spans="1:11" ht="15.75">
      <c r="A141" s="181"/>
      <c r="B141" s="182"/>
      <c r="C141" s="174"/>
      <c r="D141" s="184"/>
      <c r="E141" s="174"/>
      <c r="F141" s="175"/>
      <c r="G141" s="183"/>
      <c r="H141" s="184"/>
      <c r="I141" s="174"/>
      <c r="J141" s="175"/>
      <c r="K141" s="186"/>
    </row>
    <row r="142" spans="1:11" ht="15.75">
      <c r="A142" s="181"/>
      <c r="B142" s="182"/>
      <c r="C142" s="174"/>
      <c r="D142" s="184"/>
      <c r="E142" s="174"/>
      <c r="F142" s="175"/>
      <c r="G142" s="183"/>
      <c r="H142" s="184"/>
      <c r="I142" s="174"/>
      <c r="J142" s="175"/>
      <c r="K142" s="186"/>
    </row>
    <row r="143" spans="1:11" ht="15.75">
      <c r="A143" s="181"/>
      <c r="B143" s="182"/>
      <c r="C143" s="174"/>
      <c r="D143" s="184"/>
      <c r="E143" s="174"/>
      <c r="F143" s="175"/>
      <c r="G143" s="183"/>
      <c r="H143" s="184"/>
      <c r="I143" s="174"/>
      <c r="J143" s="175"/>
      <c r="K143" s="186"/>
    </row>
    <row r="144" spans="1:11" ht="15.75">
      <c r="A144" s="181"/>
      <c r="B144" s="182"/>
      <c r="C144" s="174"/>
      <c r="D144" s="184"/>
      <c r="E144" s="174"/>
      <c r="F144" s="175"/>
      <c r="G144" s="183"/>
      <c r="H144" s="184"/>
      <c r="I144" s="174"/>
      <c r="J144" s="175"/>
      <c r="K144" s="186"/>
    </row>
    <row r="145" spans="1:11" ht="15.75">
      <c r="A145" s="181"/>
      <c r="B145" s="182"/>
      <c r="C145" s="174"/>
      <c r="D145" s="184"/>
      <c r="E145" s="174"/>
      <c r="F145" s="175"/>
      <c r="G145" s="183"/>
      <c r="H145" s="184"/>
      <c r="I145" s="174"/>
      <c r="J145" s="175"/>
      <c r="K145" s="186"/>
    </row>
    <row r="146" spans="1:11" ht="15.75">
      <c r="A146" s="181"/>
      <c r="B146" s="182"/>
      <c r="C146" s="174"/>
      <c r="D146" s="184"/>
      <c r="E146" s="174"/>
      <c r="F146" s="175"/>
      <c r="G146" s="183"/>
      <c r="H146" s="184"/>
      <c r="I146" s="174"/>
      <c r="J146" s="175"/>
      <c r="K146" s="186"/>
    </row>
    <row r="147" spans="1:11" ht="15.75">
      <c r="A147" s="181"/>
      <c r="B147" s="182"/>
      <c r="C147" s="174"/>
      <c r="D147" s="184"/>
      <c r="E147" s="174"/>
      <c r="F147" s="175"/>
      <c r="G147" s="183"/>
      <c r="H147" s="184"/>
      <c r="I147" s="174"/>
      <c r="J147" s="175"/>
      <c r="K147" s="186"/>
    </row>
    <row r="148" spans="1:11" ht="15.75">
      <c r="A148" s="181"/>
      <c r="B148" s="182"/>
      <c r="C148" s="174"/>
      <c r="D148" s="184"/>
      <c r="E148" s="174"/>
      <c r="F148" s="175"/>
      <c r="G148" s="183"/>
      <c r="H148" s="184"/>
      <c r="I148" s="174"/>
      <c r="J148" s="175"/>
      <c r="K148" s="186"/>
    </row>
    <row r="149" spans="1:11" ht="15.75">
      <c r="A149" s="181"/>
      <c r="B149" s="182"/>
      <c r="C149" s="174"/>
      <c r="D149" s="184"/>
      <c r="E149" s="174"/>
      <c r="F149" s="175"/>
      <c r="G149" s="183"/>
      <c r="H149" s="184"/>
      <c r="I149" s="174"/>
      <c r="J149" s="175"/>
      <c r="K149" s="186"/>
    </row>
    <row r="150" spans="1:11" ht="15.75">
      <c r="A150" s="181"/>
      <c r="B150" s="182"/>
      <c r="C150" s="174"/>
      <c r="D150" s="184"/>
      <c r="E150" s="174"/>
      <c r="F150" s="175"/>
      <c r="G150" s="183"/>
      <c r="H150" s="184"/>
      <c r="I150" s="174"/>
      <c r="J150" s="175"/>
      <c r="K150" s="186"/>
    </row>
    <row r="151" spans="1:11" ht="15.75">
      <c r="A151" s="181"/>
      <c r="B151" s="182"/>
      <c r="C151" s="174"/>
      <c r="D151" s="184"/>
      <c r="E151" s="174"/>
      <c r="F151" s="175"/>
      <c r="G151" s="183"/>
      <c r="H151" s="184"/>
      <c r="I151" s="174"/>
      <c r="J151" s="175"/>
      <c r="K151" s="186"/>
    </row>
    <row r="152" spans="1:11" ht="15.75">
      <c r="A152" s="181"/>
      <c r="B152" s="182"/>
      <c r="C152" s="174"/>
      <c r="D152" s="184"/>
      <c r="E152" s="174"/>
      <c r="F152" s="175"/>
      <c r="G152" s="183"/>
      <c r="H152" s="184"/>
      <c r="I152" s="174"/>
      <c r="J152" s="175"/>
      <c r="K152" s="186"/>
    </row>
    <row r="153" spans="1:11" ht="14.25">
      <c r="A153" s="165"/>
      <c r="B153" s="165"/>
      <c r="C153" s="166"/>
      <c r="D153" s="165"/>
      <c r="E153" s="166"/>
      <c r="F153" s="165"/>
      <c r="G153" s="163"/>
      <c r="H153" s="165"/>
      <c r="I153" s="166"/>
      <c r="J153" s="165"/>
      <c r="K153" s="163"/>
    </row>
    <row r="154" spans="1:11" ht="14.25">
      <c r="A154" s="157"/>
      <c r="B154" s="165"/>
      <c r="C154" s="160"/>
      <c r="D154" s="157"/>
      <c r="E154" s="160"/>
      <c r="F154" s="157"/>
      <c r="G154" s="162"/>
      <c r="H154" s="157"/>
      <c r="I154" s="160"/>
      <c r="J154" s="157"/>
      <c r="K154" s="162"/>
    </row>
    <row r="155" spans="1:11" ht="14.25">
      <c r="A155" s="157"/>
      <c r="B155" s="165"/>
      <c r="C155" s="160"/>
      <c r="D155" s="157"/>
      <c r="E155" s="160"/>
      <c r="F155" s="157"/>
      <c r="G155" s="162"/>
      <c r="H155" s="157"/>
      <c r="I155" s="160"/>
      <c r="J155" s="157"/>
      <c r="K155" s="162"/>
    </row>
    <row r="156" spans="1:11" ht="14.25">
      <c r="A156" s="157"/>
      <c r="B156" s="165"/>
      <c r="C156" s="160"/>
      <c r="D156" s="157"/>
      <c r="E156" s="160"/>
      <c r="F156" s="157"/>
      <c r="G156" s="162"/>
      <c r="H156" s="157"/>
      <c r="I156" s="160"/>
      <c r="J156" s="157"/>
      <c r="K156" s="162"/>
    </row>
    <row r="157" spans="1:11" ht="14.25">
      <c r="A157" s="157"/>
      <c r="B157" s="165"/>
      <c r="C157" s="160"/>
      <c r="D157" s="157"/>
      <c r="E157" s="160"/>
      <c r="F157" s="157"/>
      <c r="G157" s="162"/>
      <c r="H157" s="157"/>
      <c r="I157" s="160"/>
      <c r="J157" s="157"/>
      <c r="K157" s="162"/>
    </row>
    <row r="158" spans="1:11" ht="14.25">
      <c r="A158" s="157"/>
      <c r="B158" s="165"/>
      <c r="C158" s="160"/>
      <c r="D158" s="157"/>
      <c r="E158" s="160"/>
      <c r="F158" s="157"/>
      <c r="G158" s="162"/>
      <c r="H158" s="157"/>
      <c r="I158" s="160"/>
      <c r="J158" s="157"/>
      <c r="K158" s="162"/>
    </row>
    <row r="159" spans="1:11" ht="14.25">
      <c r="A159" s="165"/>
      <c r="B159" s="165"/>
      <c r="C159" s="166"/>
      <c r="D159" s="165"/>
      <c r="E159" s="166"/>
      <c r="F159" s="165"/>
      <c r="G159" s="163"/>
      <c r="H159" s="165"/>
      <c r="I159" s="166"/>
      <c r="J159" s="165"/>
      <c r="K159" s="163"/>
    </row>
    <row r="160" spans="1:11" ht="14.25">
      <c r="A160" s="157"/>
      <c r="B160" s="165"/>
      <c r="C160" s="160"/>
      <c r="D160" s="157"/>
      <c r="E160" s="160"/>
      <c r="F160" s="157"/>
      <c r="G160" s="162"/>
      <c r="H160" s="157"/>
      <c r="I160" s="160"/>
      <c r="J160" s="157"/>
      <c r="K160" s="162"/>
    </row>
    <row r="161" spans="1:11" ht="14.25">
      <c r="A161" s="157"/>
      <c r="B161" s="165"/>
      <c r="C161" s="160"/>
      <c r="D161" s="157"/>
      <c r="E161" s="160"/>
      <c r="F161" s="157"/>
      <c r="G161" s="162"/>
      <c r="H161" s="157"/>
      <c r="I161" s="160"/>
      <c r="J161" s="157"/>
      <c r="K161" s="162"/>
    </row>
    <row r="162" spans="1:11" ht="14.25">
      <c r="A162" s="157"/>
      <c r="B162" s="165"/>
      <c r="C162" s="160"/>
      <c r="D162" s="157"/>
      <c r="E162" s="160"/>
      <c r="F162" s="157"/>
      <c r="G162" s="162"/>
      <c r="H162" s="157"/>
      <c r="I162" s="160"/>
      <c r="J162" s="157"/>
      <c r="K162" s="162"/>
    </row>
    <row r="163" spans="1:11" ht="14.25">
      <c r="A163" s="157"/>
      <c r="B163" s="165"/>
      <c r="C163" s="160"/>
      <c r="D163" s="157"/>
      <c r="E163" s="160"/>
      <c r="F163" s="157"/>
      <c r="G163" s="162"/>
      <c r="H163" s="157"/>
      <c r="I163" s="160"/>
      <c r="J163" s="157"/>
      <c r="K163" s="162"/>
    </row>
    <row r="164" spans="1:11" ht="14.25">
      <c r="A164" s="157"/>
      <c r="B164" s="165"/>
      <c r="C164" s="160"/>
      <c r="D164" s="157"/>
      <c r="E164" s="160"/>
      <c r="F164" s="157"/>
      <c r="G164" s="162"/>
      <c r="H164" s="157"/>
      <c r="I164" s="160"/>
      <c r="J164" s="157"/>
      <c r="K164" s="162"/>
    </row>
    <row r="165" spans="1:11" ht="14.25">
      <c r="A165" s="157"/>
      <c r="B165" s="165"/>
      <c r="C165" s="160"/>
      <c r="D165" s="157"/>
      <c r="E165" s="160"/>
      <c r="F165" s="157"/>
      <c r="G165" s="162"/>
      <c r="H165" s="157"/>
      <c r="I165" s="160"/>
      <c r="J165" s="157"/>
      <c r="K165" s="162"/>
    </row>
    <row r="166" spans="1:11" ht="14.25">
      <c r="A166" s="157"/>
      <c r="B166" s="165"/>
      <c r="C166" s="160"/>
      <c r="D166" s="157"/>
      <c r="E166" s="160"/>
      <c r="F166" s="157"/>
      <c r="G166" s="162"/>
      <c r="H166" s="157"/>
      <c r="I166" s="160"/>
      <c r="J166" s="157"/>
      <c r="K166" s="162"/>
    </row>
    <row r="167" spans="1:11" ht="14.25">
      <c r="A167" s="157"/>
      <c r="B167" s="165"/>
      <c r="C167" s="160"/>
      <c r="D167" s="157"/>
      <c r="E167" s="160"/>
      <c r="F167" s="157"/>
      <c r="G167" s="162"/>
      <c r="H167" s="157"/>
      <c r="I167" s="160"/>
      <c r="J167" s="157"/>
      <c r="K167" s="162"/>
    </row>
    <row r="168" spans="1:11" ht="14.25">
      <c r="A168" s="157"/>
      <c r="B168" s="165"/>
      <c r="C168" s="160"/>
      <c r="D168" s="157"/>
      <c r="E168" s="160"/>
      <c r="F168" s="157"/>
      <c r="G168" s="162"/>
      <c r="H168" s="157"/>
      <c r="I168" s="160"/>
      <c r="J168" s="157"/>
      <c r="K168" s="162"/>
    </row>
    <row r="169" spans="1:11" ht="14.25">
      <c r="A169" s="157"/>
      <c r="B169" s="165"/>
      <c r="C169" s="160"/>
      <c r="D169" s="157"/>
      <c r="E169" s="160"/>
      <c r="F169" s="157"/>
      <c r="G169" s="162"/>
      <c r="H169" s="157"/>
      <c r="I169" s="160"/>
      <c r="J169" s="157"/>
      <c r="K169" s="162"/>
    </row>
    <row r="170" spans="1:11" ht="14.25">
      <c r="A170" s="157"/>
      <c r="B170" s="165"/>
      <c r="C170" s="160"/>
      <c r="D170" s="157"/>
      <c r="E170" s="160"/>
      <c r="F170" s="157"/>
      <c r="G170" s="162"/>
      <c r="H170" s="157"/>
      <c r="I170" s="160"/>
      <c r="J170" s="157"/>
      <c r="K170" s="162"/>
    </row>
    <row r="171" spans="1:11" ht="14.25">
      <c r="A171" s="165"/>
      <c r="B171" s="165"/>
      <c r="C171" s="166"/>
      <c r="D171" s="165"/>
      <c r="E171" s="166"/>
      <c r="F171" s="165"/>
      <c r="G171" s="163"/>
      <c r="H171" s="165"/>
      <c r="I171" s="166"/>
      <c r="J171" s="165"/>
      <c r="K171" s="163"/>
    </row>
    <row r="172" spans="1:11" ht="14.25">
      <c r="A172" s="157"/>
      <c r="B172" s="165"/>
      <c r="C172" s="160"/>
      <c r="D172" s="157"/>
      <c r="E172" s="160"/>
      <c r="F172" s="157"/>
      <c r="G172" s="162"/>
      <c r="H172" s="157"/>
      <c r="I172" s="160"/>
      <c r="J172" s="157"/>
      <c r="K172" s="162"/>
    </row>
    <row r="173" spans="1:11" ht="14.25">
      <c r="A173" s="157"/>
      <c r="B173" s="165"/>
      <c r="C173" s="160"/>
      <c r="D173" s="157"/>
      <c r="E173" s="160"/>
      <c r="F173" s="157"/>
      <c r="G173" s="162"/>
      <c r="H173" s="157"/>
      <c r="I173" s="160"/>
      <c r="J173" s="157"/>
      <c r="K173" s="162"/>
    </row>
    <row r="174" spans="1:11" ht="14.25">
      <c r="A174" s="157"/>
      <c r="B174" s="165"/>
      <c r="C174" s="160"/>
      <c r="D174" s="157"/>
      <c r="E174" s="160"/>
      <c r="F174" s="157"/>
      <c r="G174" s="162"/>
      <c r="H174" s="157"/>
      <c r="I174" s="160"/>
      <c r="J174" s="157"/>
      <c r="K174" s="162"/>
    </row>
    <row r="175" spans="1:11" ht="14.25">
      <c r="A175" s="157"/>
      <c r="B175" s="165"/>
      <c r="C175" s="160"/>
      <c r="D175" s="157"/>
      <c r="E175" s="160"/>
      <c r="F175" s="157"/>
      <c r="G175" s="162"/>
      <c r="H175" s="157"/>
      <c r="I175" s="160"/>
      <c r="J175" s="157"/>
      <c r="K175" s="162"/>
    </row>
    <row r="176" spans="1:11" ht="14.25">
      <c r="A176" s="157"/>
      <c r="B176" s="165"/>
      <c r="C176" s="160"/>
      <c r="D176" s="157"/>
      <c r="E176" s="160"/>
      <c r="F176" s="157"/>
      <c r="G176" s="162"/>
      <c r="H176" s="157"/>
      <c r="I176" s="160"/>
      <c r="J176" s="157"/>
      <c r="K176" s="162"/>
    </row>
    <row r="177" spans="1:11" ht="14.25">
      <c r="A177" s="157"/>
      <c r="B177" s="165"/>
      <c r="C177" s="160"/>
      <c r="D177" s="157"/>
      <c r="E177" s="160"/>
      <c r="F177" s="157"/>
      <c r="G177" s="162"/>
      <c r="H177" s="157"/>
      <c r="I177" s="160"/>
      <c r="J177" s="157"/>
      <c r="K177" s="162"/>
    </row>
    <row r="178" spans="1:11" ht="14.25">
      <c r="A178" s="157"/>
      <c r="B178" s="165"/>
      <c r="C178" s="160"/>
      <c r="D178" s="157"/>
      <c r="E178" s="160"/>
      <c r="F178" s="157"/>
      <c r="G178" s="162"/>
      <c r="H178" s="157"/>
      <c r="I178" s="160"/>
      <c r="J178" s="157"/>
      <c r="K178" s="162"/>
    </row>
    <row r="179" spans="1:11" ht="14.25">
      <c r="A179" s="157"/>
      <c r="B179" s="165"/>
      <c r="C179" s="160"/>
      <c r="D179" s="157"/>
      <c r="E179" s="160"/>
      <c r="F179" s="157"/>
      <c r="G179" s="162"/>
      <c r="H179" s="157"/>
      <c r="I179" s="160"/>
      <c r="J179" s="157"/>
      <c r="K179" s="162"/>
    </row>
    <row r="180" spans="1:11" ht="14.25">
      <c r="A180" s="157"/>
      <c r="B180" s="165"/>
      <c r="C180" s="160"/>
      <c r="D180" s="157"/>
      <c r="E180" s="160"/>
      <c r="F180" s="157"/>
      <c r="G180" s="162"/>
      <c r="H180" s="157"/>
      <c r="I180" s="160"/>
      <c r="J180" s="157"/>
      <c r="K180" s="162"/>
    </row>
    <row r="181" spans="1:11" ht="14.25">
      <c r="A181" s="157"/>
      <c r="B181" s="165"/>
      <c r="C181" s="160"/>
      <c r="D181" s="157"/>
      <c r="E181" s="160"/>
      <c r="F181" s="157"/>
      <c r="G181" s="162"/>
      <c r="H181" s="157"/>
      <c r="I181" s="160"/>
      <c r="J181" s="157"/>
      <c r="K181" s="162"/>
    </row>
    <row r="182" spans="1:11" ht="14.25">
      <c r="A182" s="157"/>
      <c r="B182" s="165"/>
      <c r="C182" s="160"/>
      <c r="D182" s="157"/>
      <c r="E182" s="160"/>
      <c r="F182" s="157"/>
      <c r="G182" s="162"/>
      <c r="H182" s="157"/>
      <c r="I182" s="160"/>
      <c r="J182" s="157"/>
      <c r="K182" s="162"/>
    </row>
    <row r="183" spans="1:11" ht="14.25">
      <c r="A183" s="165"/>
      <c r="B183" s="165"/>
      <c r="C183" s="160"/>
      <c r="D183" s="157"/>
      <c r="E183" s="160"/>
      <c r="F183" s="157"/>
      <c r="G183" s="162"/>
      <c r="H183" s="157"/>
      <c r="I183" s="160"/>
      <c r="J183" s="157"/>
      <c r="K183" s="162"/>
    </row>
    <row r="184" spans="1:11" ht="14.25">
      <c r="A184" s="157"/>
      <c r="B184" s="165"/>
      <c r="C184" s="160"/>
      <c r="D184" s="157"/>
      <c r="E184" s="164"/>
      <c r="F184" s="169"/>
      <c r="G184" s="162"/>
      <c r="H184" s="157"/>
      <c r="I184" s="160"/>
      <c r="J184" s="157"/>
      <c r="K184" s="162"/>
    </row>
    <row r="185" spans="1:11" ht="14.25">
      <c r="A185" s="157"/>
      <c r="B185" s="165"/>
      <c r="C185" s="160"/>
      <c r="D185" s="157"/>
      <c r="E185" s="164"/>
      <c r="F185" s="169"/>
      <c r="G185" s="162"/>
      <c r="H185" s="157"/>
      <c r="I185" s="160"/>
      <c r="J185" s="157"/>
      <c r="K185" s="162"/>
    </row>
    <row r="186" spans="1:11" ht="14.25">
      <c r="A186" s="157"/>
      <c r="B186" s="165"/>
      <c r="C186" s="160"/>
      <c r="D186" s="157"/>
      <c r="E186" s="164"/>
      <c r="F186" s="169"/>
      <c r="G186" s="162"/>
      <c r="H186" s="157"/>
      <c r="I186" s="160"/>
      <c r="J186" s="157"/>
      <c r="K186" s="162"/>
    </row>
    <row r="187" spans="1:11" ht="14.25">
      <c r="A187" s="157"/>
      <c r="B187" s="165"/>
      <c r="C187" s="160"/>
      <c r="D187" s="157"/>
      <c r="E187" s="164"/>
      <c r="F187" s="169"/>
      <c r="G187" s="162"/>
      <c r="H187" s="157"/>
      <c r="I187" s="160"/>
      <c r="J187" s="157"/>
      <c r="K187" s="162"/>
    </row>
    <row r="188" spans="1:11" ht="14.25">
      <c r="A188" s="157"/>
      <c r="B188" s="165"/>
      <c r="C188" s="160"/>
      <c r="D188" s="157"/>
      <c r="E188" s="164"/>
      <c r="F188" s="169"/>
      <c r="G188" s="162"/>
      <c r="H188" s="157"/>
      <c r="I188" s="160"/>
      <c r="J188" s="157"/>
      <c r="K188" s="162"/>
    </row>
    <row r="189" spans="1:11" ht="14.25">
      <c r="A189" s="157"/>
      <c r="B189" s="165"/>
      <c r="C189" s="160"/>
      <c r="D189" s="157"/>
      <c r="E189" s="164"/>
      <c r="F189" s="157"/>
      <c r="G189" s="162"/>
      <c r="H189" s="157"/>
      <c r="I189" s="160"/>
      <c r="J189" s="157"/>
      <c r="K189" s="162"/>
    </row>
    <row r="190" spans="1:11" ht="14.25">
      <c r="A190" s="157"/>
      <c r="B190" s="165"/>
      <c r="C190" s="160"/>
      <c r="D190" s="157"/>
      <c r="E190" s="164"/>
      <c r="F190" s="157"/>
      <c r="G190" s="162"/>
      <c r="H190" s="157"/>
      <c r="I190" s="160"/>
      <c r="J190" s="157"/>
      <c r="K190" s="162"/>
    </row>
    <row r="191" spans="1:11" ht="14.25">
      <c r="A191" s="157"/>
      <c r="B191" s="165"/>
      <c r="C191" s="160"/>
      <c r="D191" s="157"/>
      <c r="E191" s="164"/>
      <c r="F191" s="157"/>
      <c r="G191" s="162"/>
      <c r="H191" s="157"/>
      <c r="I191" s="160"/>
      <c r="J191" s="157"/>
      <c r="K191" s="162"/>
    </row>
    <row r="192" spans="1:11" ht="14.25">
      <c r="A192" s="157"/>
      <c r="B192" s="165"/>
      <c r="C192" s="160"/>
      <c r="D192" s="157"/>
      <c r="E192" s="164"/>
      <c r="F192" s="157"/>
      <c r="G192" s="162"/>
      <c r="H192" s="157"/>
      <c r="I192" s="160"/>
      <c r="J192" s="157"/>
      <c r="K192" s="162"/>
    </row>
    <row r="193" spans="1:11" ht="14.25">
      <c r="A193" s="157"/>
      <c r="B193" s="165"/>
      <c r="C193" s="160"/>
      <c r="D193" s="157"/>
      <c r="E193" s="160"/>
      <c r="F193" s="157"/>
      <c r="G193" s="162"/>
      <c r="H193" s="157"/>
      <c r="I193" s="160"/>
      <c r="J193" s="157"/>
      <c r="K193" s="162"/>
    </row>
    <row r="194" spans="1:11" ht="14.25">
      <c r="A194" s="157"/>
      <c r="B194" s="165"/>
      <c r="C194" s="160"/>
      <c r="D194" s="157"/>
      <c r="E194" s="160"/>
      <c r="F194" s="157"/>
      <c r="G194" s="162"/>
      <c r="H194" s="157"/>
      <c r="I194" s="160"/>
      <c r="J194" s="157"/>
      <c r="K194" s="162"/>
    </row>
    <row r="195" spans="1:11" ht="14.25">
      <c r="A195" s="157"/>
      <c r="B195" s="165"/>
      <c r="C195" s="160"/>
      <c r="D195" s="157"/>
      <c r="E195" s="160"/>
      <c r="F195" s="157"/>
      <c r="G195" s="162"/>
      <c r="H195" s="157"/>
      <c r="I195" s="160"/>
      <c r="J195" s="157"/>
      <c r="K195" s="162"/>
    </row>
    <row r="196" spans="1:11" ht="14.25">
      <c r="A196" s="157"/>
      <c r="B196" s="165"/>
      <c r="C196" s="160"/>
      <c r="D196" s="157"/>
      <c r="E196" s="160"/>
      <c r="F196" s="157"/>
      <c r="G196" s="162"/>
      <c r="H196" s="157"/>
      <c r="I196" s="160"/>
      <c r="J196" s="157"/>
      <c r="K196" s="162"/>
    </row>
    <row r="197" spans="1:11" ht="14.25">
      <c r="A197" s="157"/>
      <c r="B197" s="165"/>
      <c r="C197" s="160"/>
      <c r="D197" s="157"/>
      <c r="E197" s="160"/>
      <c r="F197" s="157"/>
      <c r="G197" s="162"/>
      <c r="H197" s="157"/>
      <c r="I197" s="160"/>
      <c r="J197" s="157"/>
      <c r="K197" s="162"/>
    </row>
    <row r="198" spans="1:11" ht="14.25">
      <c r="A198" s="157"/>
      <c r="B198" s="165"/>
      <c r="C198" s="160"/>
      <c r="D198" s="157"/>
      <c r="E198" s="160"/>
      <c r="F198" s="157"/>
      <c r="G198" s="162"/>
      <c r="H198" s="157"/>
      <c r="I198" s="160"/>
      <c r="J198" s="157"/>
      <c r="K198" s="162"/>
    </row>
    <row r="199" spans="1:11" ht="14.25">
      <c r="A199" s="157"/>
      <c r="B199" s="165"/>
      <c r="C199" s="160"/>
      <c r="D199" s="157"/>
      <c r="E199" s="160"/>
      <c r="F199" s="157"/>
      <c r="G199" s="162"/>
      <c r="H199" s="157"/>
      <c r="I199" s="160"/>
      <c r="J199" s="157"/>
      <c r="K199" s="162"/>
    </row>
    <row r="200" spans="1:11" ht="14.25">
      <c r="A200" s="157"/>
      <c r="B200" s="165"/>
      <c r="C200" s="160"/>
      <c r="D200" s="157"/>
      <c r="E200" s="160"/>
      <c r="F200" s="157"/>
      <c r="G200" s="162"/>
      <c r="H200" s="157"/>
      <c r="I200" s="160"/>
      <c r="J200" s="157"/>
      <c r="K200" s="162"/>
    </row>
    <row r="201" spans="1:11" ht="14.25">
      <c r="A201" s="157"/>
      <c r="B201" s="165"/>
      <c r="C201" s="160"/>
      <c r="D201" s="157"/>
      <c r="E201" s="160"/>
      <c r="F201" s="157"/>
      <c r="G201" s="162"/>
      <c r="H201" s="157"/>
      <c r="I201" s="160"/>
      <c r="J201" s="157"/>
      <c r="K201" s="162"/>
    </row>
    <row r="202" spans="1:11" ht="14.25">
      <c r="A202" s="157"/>
      <c r="B202" s="165"/>
      <c r="C202" s="160"/>
      <c r="D202" s="157"/>
      <c r="E202" s="160"/>
      <c r="F202" s="157"/>
      <c r="G202" s="162"/>
      <c r="H202" s="157"/>
      <c r="I202" s="160"/>
      <c r="J202" s="157"/>
      <c r="K202" s="162"/>
    </row>
    <row r="203" spans="1:11" ht="14.25">
      <c r="A203" s="157"/>
      <c r="B203" s="165"/>
      <c r="C203" s="160"/>
      <c r="D203" s="157"/>
      <c r="E203" s="160"/>
      <c r="F203" s="157"/>
      <c r="G203" s="162"/>
      <c r="H203" s="157"/>
      <c r="I203" s="160"/>
      <c r="J203" s="157"/>
      <c r="K203" s="162"/>
    </row>
    <row r="204" spans="1:11" ht="14.25">
      <c r="A204" s="157"/>
      <c r="B204" s="165"/>
      <c r="C204" s="160"/>
      <c r="D204" s="157"/>
      <c r="E204" s="160"/>
      <c r="F204" s="157"/>
      <c r="G204" s="162"/>
      <c r="H204" s="157"/>
      <c r="I204" s="160"/>
      <c r="J204" s="157"/>
      <c r="K204" s="162"/>
    </row>
    <row r="205" spans="1:11" ht="14.25">
      <c r="A205" s="157"/>
      <c r="B205" s="165"/>
      <c r="C205" s="160"/>
      <c r="D205" s="157"/>
      <c r="E205" s="160"/>
      <c r="F205" s="157"/>
      <c r="G205" s="162"/>
      <c r="H205" s="157"/>
      <c r="I205" s="160"/>
      <c r="J205" s="157"/>
      <c r="K205" s="162"/>
    </row>
    <row r="206" spans="1:11" ht="14.25">
      <c r="A206" s="165"/>
      <c r="B206" s="165"/>
      <c r="C206" s="160"/>
      <c r="D206" s="157"/>
      <c r="E206" s="160"/>
      <c r="F206" s="157"/>
      <c r="G206" s="162"/>
      <c r="H206" s="157"/>
      <c r="I206" s="160"/>
      <c r="J206" s="157"/>
      <c r="K206" s="162"/>
    </row>
    <row r="207" spans="1:11" ht="14.25">
      <c r="A207" s="157"/>
      <c r="B207" s="165"/>
      <c r="C207" s="160"/>
      <c r="D207" s="157"/>
      <c r="E207" s="160"/>
      <c r="F207" s="157"/>
      <c r="G207" s="162"/>
      <c r="H207" s="157"/>
      <c r="I207" s="160"/>
      <c r="J207" s="157"/>
      <c r="K207" s="162"/>
    </row>
    <row r="208" spans="1:11" ht="14.25">
      <c r="A208" s="157"/>
      <c r="B208" s="165"/>
      <c r="C208" s="160"/>
      <c r="D208" s="157"/>
      <c r="E208" s="160"/>
      <c r="F208" s="157"/>
      <c r="G208" s="162"/>
      <c r="H208" s="157"/>
      <c r="I208" s="160"/>
      <c r="J208" s="157"/>
      <c r="K208" s="162"/>
    </row>
    <row r="209" spans="1:11" ht="14.25">
      <c r="A209" s="157"/>
      <c r="B209" s="165"/>
      <c r="C209" s="160"/>
      <c r="D209" s="157"/>
      <c r="E209" s="160"/>
      <c r="F209" s="157"/>
      <c r="G209" s="162"/>
      <c r="H209" s="157"/>
      <c r="I209" s="160"/>
      <c r="J209" s="157"/>
      <c r="K209" s="162"/>
    </row>
    <row r="210" spans="1:11" ht="14.25">
      <c r="A210" s="157"/>
      <c r="B210" s="165"/>
      <c r="C210" s="160"/>
      <c r="D210" s="157"/>
      <c r="E210" s="160"/>
      <c r="F210" s="157"/>
      <c r="G210" s="162"/>
      <c r="H210" s="157"/>
      <c r="I210" s="160"/>
      <c r="J210" s="157"/>
      <c r="K210" s="162"/>
    </row>
    <row r="211" spans="1:11" ht="14.25">
      <c r="A211" s="157"/>
      <c r="B211" s="165"/>
      <c r="C211" s="160"/>
      <c r="D211" s="157"/>
      <c r="E211" s="160"/>
      <c r="F211" s="157"/>
      <c r="G211" s="162"/>
      <c r="H211" s="157"/>
      <c r="I211" s="160"/>
      <c r="J211" s="157"/>
      <c r="K211" s="162"/>
    </row>
    <row r="212" spans="1:11" ht="14.25">
      <c r="A212" s="157"/>
      <c r="B212" s="165"/>
      <c r="C212" s="160"/>
      <c r="D212" s="157"/>
      <c r="E212" s="160"/>
      <c r="F212" s="157"/>
      <c r="G212" s="162"/>
      <c r="H212" s="157"/>
      <c r="I212" s="160"/>
      <c r="J212" s="157"/>
      <c r="K212" s="162"/>
    </row>
    <row r="213" spans="1:11" ht="14.25">
      <c r="A213" s="157"/>
      <c r="B213" s="165"/>
      <c r="C213" s="160"/>
      <c r="D213" s="157"/>
      <c r="E213" s="160"/>
      <c r="F213" s="157"/>
      <c r="G213" s="162"/>
      <c r="H213" s="157"/>
      <c r="I213" s="160"/>
      <c r="J213" s="157"/>
      <c r="K213" s="162"/>
    </row>
    <row r="214" spans="1:11" ht="14.25">
      <c r="A214" s="157"/>
      <c r="B214" s="165"/>
      <c r="C214" s="160"/>
      <c r="D214" s="157"/>
      <c r="E214" s="160"/>
      <c r="F214" s="157"/>
      <c r="G214" s="162"/>
      <c r="H214" s="157"/>
      <c r="I214" s="160"/>
      <c r="J214" s="157"/>
      <c r="K214" s="162"/>
    </row>
    <row r="215" spans="1:11" ht="14.25">
      <c r="A215" s="157"/>
      <c r="B215" s="165"/>
      <c r="C215" s="160"/>
      <c r="D215" s="157"/>
      <c r="E215" s="160"/>
      <c r="F215" s="157"/>
      <c r="G215" s="162"/>
      <c r="H215" s="157"/>
      <c r="I215" s="160"/>
      <c r="J215" s="157"/>
      <c r="K215" s="162"/>
    </row>
    <row r="216" spans="1:11" ht="14.25">
      <c r="A216" s="157"/>
      <c r="B216" s="165"/>
      <c r="C216" s="160"/>
      <c r="D216" s="157"/>
      <c r="E216" s="164"/>
      <c r="F216" s="157"/>
      <c r="G216" s="162"/>
      <c r="H216" s="157"/>
      <c r="I216" s="160"/>
      <c r="J216" s="157"/>
      <c r="K216" s="162"/>
    </row>
    <row r="217" spans="1:11" ht="14.25">
      <c r="A217" s="157"/>
      <c r="B217" s="165"/>
      <c r="C217" s="160"/>
      <c r="D217" s="157"/>
      <c r="E217" s="164"/>
      <c r="F217" s="157"/>
      <c r="G217" s="162"/>
      <c r="H217" s="157"/>
      <c r="I217" s="160"/>
      <c r="J217" s="157"/>
      <c r="K217" s="162"/>
    </row>
    <row r="218" spans="1:11" ht="14.25">
      <c r="A218" s="157"/>
      <c r="B218" s="165"/>
      <c r="C218" s="160"/>
      <c r="D218" s="157"/>
      <c r="E218" s="164"/>
      <c r="F218" s="157"/>
      <c r="G218" s="162"/>
      <c r="H218" s="157"/>
      <c r="I218" s="160"/>
      <c r="J218" s="157"/>
      <c r="K218" s="162"/>
    </row>
    <row r="219" spans="1:11" ht="14.25">
      <c r="A219" s="157"/>
      <c r="B219" s="165"/>
      <c r="C219" s="160"/>
      <c r="D219" s="157"/>
      <c r="E219" s="164"/>
      <c r="F219" s="157"/>
      <c r="G219" s="162"/>
      <c r="H219" s="157"/>
      <c r="I219" s="160"/>
      <c r="J219" s="157"/>
      <c r="K219" s="162"/>
    </row>
    <row r="220" spans="1:11" ht="14.25">
      <c r="A220" s="157"/>
      <c r="B220" s="165"/>
      <c r="C220" s="160"/>
      <c r="D220" s="157"/>
      <c r="E220" s="160"/>
      <c r="F220" s="157"/>
      <c r="G220" s="162"/>
      <c r="H220" s="157"/>
      <c r="I220" s="160"/>
      <c r="J220" s="157"/>
      <c r="K220" s="162"/>
    </row>
    <row r="221" spans="1:11" ht="14.25">
      <c r="A221" s="157"/>
      <c r="B221" s="165"/>
      <c r="C221" s="160"/>
      <c r="D221" s="157"/>
      <c r="E221" s="160"/>
      <c r="F221" s="157"/>
      <c r="G221" s="162"/>
      <c r="H221" s="157"/>
      <c r="I221" s="160"/>
      <c r="J221" s="157"/>
      <c r="K221" s="162"/>
    </row>
    <row r="222" spans="1:11" ht="14.25">
      <c r="A222" s="157"/>
      <c r="B222" s="165"/>
      <c r="C222" s="160"/>
      <c r="D222" s="157"/>
      <c r="E222" s="160"/>
      <c r="F222" s="157"/>
      <c r="G222" s="162"/>
      <c r="H222" s="157"/>
      <c r="I222" s="160"/>
      <c r="J222" s="157"/>
      <c r="K222" s="162"/>
    </row>
    <row r="223" spans="1:11" ht="14.25">
      <c r="A223" s="157"/>
      <c r="B223" s="165"/>
      <c r="C223" s="160"/>
      <c r="D223" s="157"/>
      <c r="E223" s="160"/>
      <c r="F223" s="157"/>
      <c r="G223" s="162"/>
      <c r="H223" s="157"/>
      <c r="I223" s="160"/>
      <c r="J223" s="157"/>
      <c r="K223" s="162"/>
    </row>
    <row r="224" spans="1:11" ht="14.25">
      <c r="A224" s="157"/>
      <c r="B224" s="165"/>
      <c r="C224" s="160"/>
      <c r="D224" s="157"/>
      <c r="E224" s="160"/>
      <c r="F224" s="157"/>
      <c r="G224" s="162"/>
      <c r="H224" s="157"/>
      <c r="I224" s="160"/>
      <c r="J224" s="157"/>
      <c r="K224" s="162"/>
    </row>
    <row r="225" spans="1:11" ht="14.25">
      <c r="A225" s="157"/>
      <c r="B225" s="165"/>
      <c r="C225" s="160"/>
      <c r="D225" s="157"/>
      <c r="E225" s="160"/>
      <c r="F225" s="157"/>
      <c r="G225" s="162"/>
      <c r="H225" s="157"/>
      <c r="I225" s="160"/>
      <c r="J225" s="157"/>
      <c r="K225" s="162"/>
    </row>
    <row r="226" spans="1:11" ht="14.25">
      <c r="A226" s="157"/>
      <c r="B226" s="165"/>
      <c r="C226" s="160"/>
      <c r="D226" s="157"/>
      <c r="E226" s="160"/>
      <c r="F226" s="157"/>
      <c r="G226" s="162"/>
      <c r="H226" s="157"/>
      <c r="I226" s="160"/>
      <c r="J226" s="157"/>
      <c r="K226" s="162"/>
    </row>
    <row r="227" spans="1:11" ht="14.25">
      <c r="A227" s="157"/>
      <c r="B227" s="165"/>
      <c r="C227" s="160"/>
      <c r="D227" s="157"/>
      <c r="E227" s="160"/>
      <c r="F227" s="157"/>
      <c r="G227" s="162"/>
      <c r="H227" s="157"/>
      <c r="I227" s="160"/>
      <c r="J227" s="157"/>
      <c r="K227" s="162"/>
    </row>
    <row r="228" spans="1:11" ht="14.25">
      <c r="A228" s="157"/>
      <c r="B228" s="165"/>
      <c r="C228" s="160"/>
      <c r="D228" s="157"/>
      <c r="E228" s="160"/>
      <c r="F228" s="157"/>
      <c r="G228" s="162"/>
      <c r="H228" s="157"/>
      <c r="I228" s="160"/>
      <c r="J228" s="157"/>
      <c r="K228" s="162"/>
    </row>
  </sheetData>
  <customSheetViews>
    <customSheetView guid="{FFA6C093-E866-4B92-9807-8D478A2763D4}">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2383B994-5DA1-4BB7-BA01-728624653006}">
      <selection activeCell="A148" sqref="A148:XFD148"/>
      <pageMargins left="0.7" right="0.7" top="0.75" bottom="0.75" header="0.3" footer="0.3"/>
      <pageSetup paperSize="17" orientation="portrait" horizontalDpi="4294967295" verticalDpi="4294967295" r:id="rId3"/>
    </customSheetView>
  </customSheetViews>
  <phoneticPr fontId="87"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4" t="s">
        <v>15</v>
      </c>
      <c r="E1" s="21">
        <f>MATCH(D1,A1:A87)</f>
        <v>34</v>
      </c>
      <c r="F1" s="21" t="str">
        <f>VLOOKUP(E1,B1:C87,2)</f>
        <v>Husky</v>
      </c>
      <c r="G1" s="21" t="s">
        <v>78</v>
      </c>
      <c r="H1" s="21" t="str">
        <f>F1</f>
        <v>Husky</v>
      </c>
      <c r="I1" s="21" t="s">
        <v>79</v>
      </c>
      <c r="J1" s="174">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87" type="noConversion"/>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
  <sheetViews>
    <sheetView workbookViewId="0">
      <selection activeCell="J21" sqref="J21"/>
    </sheetView>
  </sheetViews>
  <sheetFormatPr defaultRowHeight="12.75"/>
  <sheetData/>
  <phoneticPr fontId="87"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
  <sheetViews>
    <sheetView workbookViewId="0">
      <selection activeCell="G15" sqref="G15"/>
    </sheetView>
  </sheetViews>
  <sheetFormatPr defaultRowHeight="12.75"/>
  <sheetData/>
  <phoneticPr fontId="87"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Leon</cp:lastModifiedBy>
  <cp:lastPrinted>2025-09-12T18:30:13Z</cp:lastPrinted>
  <dcterms:created xsi:type="dcterms:W3CDTF">2008-12-04T18:55:41Z</dcterms:created>
  <dcterms:modified xsi:type="dcterms:W3CDTF">2026-01-27T17:47:07Z</dcterms:modified>
</cp:coreProperties>
</file>