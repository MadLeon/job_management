
<file path=[Content_Types].xml><?xml version="1.0" encoding="utf-8"?>
<Types xmlns="http://schemas.openxmlformats.org/package/2006/content-types">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xml"/>
  <Override PartName="/xl/vbaProject.bin" ContentType="application/vnd.ms-office.vbaProject"/>
  <Override PartName="/xl/ctrlProps/ctrlProp18.xml" ContentType="application/vnd.ms-excel.controlproperties+xml"/>
  <Override PartName="/xl/ctrlProps/ctrlProp17.xml" ContentType="application/vnd.ms-excel.controlproperti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16.xml" ContentType="application/vnd.ms-excel.controlproperties+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trlProps/ctrlProp13.xml" ContentType="application/vnd.ms-excel.controlproperties+xml"/>
  <Override PartName="/xl/ctrlProps/ctrlProp14.xml" ContentType="application/vnd.ms-excel.controlproperties+xml"/>
  <Override PartName="/xl/ctrlProps/ctrlProp7.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ctrlProps/ctrlProp5.xml" ContentType="application/vnd.ms-excel.controlproperties+xml"/>
  <Override PartName="/xl/ctrlProps/ctrlProp20.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Default Extension="bin" ContentType="application/vnd.openxmlformats-officedocument.spreadsheetml.printerSettings"/>
  <Default Extension="png" ContentType="image/png"/>
  <Override PartName="/xl/ctrlProps/ctrlProp19.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fileSharing userName="MP" algorithmName="SHA-512" hashValue="0m7rh9y30DYIBFmJpGFE/btxUDXpbn2F07Q0RPnWbakCMc0hRl9y0CuFSmjOG0GT2SjA/aXeBJF5io8Jiqw0hQ==" saltValue="4dmHQIc2mTO+0D66S6SwlA==" spinCount="100000"/>
  <workbookPr backupFile="1" codeName="ThisWorkbook"/>
  <bookViews>
    <workbookView xWindow="240" yWindow="110" windowWidth="14810" windowHeight="7370" tabRatio="728"/>
  </bookViews>
  <sheets>
    <sheet name="DELIVERY SCHEDULE" sheetId="2" r:id="rId1"/>
    <sheet name="Input Form" sheetId="3" r:id="rId2"/>
    <sheet name="Report" sheetId="4" state="hidden" r:id="rId3"/>
    <sheet name="Report Old" sheetId="5" state="hidden" r:id="rId4"/>
    <sheet name="Customers" sheetId="6" state="hidden" r:id="rId5"/>
    <sheet name="BUSHINGS" sheetId="7" r:id="rId6"/>
    <sheet name="PastDUE" sheetId="8" r:id="rId7"/>
    <sheet name="Kinectrics" sheetId="9" r:id="rId8"/>
    <sheet name="Cal" sheetId="10" r:id="rId9"/>
    <sheet name="Temp" sheetId="11" r:id="rId10"/>
    <sheet name="CustomersBK" sheetId="13" state="hidden" r:id="rId11"/>
    <sheet name="Sheet1" sheetId="14" r:id="rId12"/>
    <sheet name="Sheet2" sheetId="15" r:id="rId13"/>
  </sheets>
  <externalReferences>
    <externalReference r:id="rId14"/>
  </externalReferences>
  <definedNames>
    <definedName name="_xlnm._FilterDatabase" localSheetId="0" hidden="1">'DELIVERY SCHEDULE'!$A$3:$R$834</definedName>
    <definedName name="_xlnm._FilterDatabase" localSheetId="6" hidden="1">PastDUE!$A$1:$F$5</definedName>
    <definedName name="Contact">'Input Form'!$E$17</definedName>
    <definedName name="Cust" localSheetId="10">CustomersBK!$A$1:$A$87</definedName>
    <definedName name="Cust" localSheetId="7">[1]Customers!$A$1:$A$75</definedName>
    <definedName name="Cust" localSheetId="2">Customers!$A$1:$A$80</definedName>
    <definedName name="Cust" localSheetId="3">Customers!$A$1:$A$80</definedName>
    <definedName name="Cust">Customers!$A$1:$A$80</definedName>
    <definedName name="Customer">'Input Form'!$E$9</definedName>
    <definedName name="date">'Input Form'!$E$27</definedName>
    <definedName name="desc">'Input Form'!$E$21</definedName>
    <definedName name="JobNum">'Input Form'!$E$7</definedName>
    <definedName name="month" localSheetId="10">Report!#REF!</definedName>
    <definedName name="month" localSheetId="7">[1]Report!#REF!</definedName>
    <definedName name="month" localSheetId="3">'Report Old'!$H$6:$H$17</definedName>
    <definedName name="month">Report!#REF!</definedName>
    <definedName name="OD">'Input Form'!$E$30</definedName>
    <definedName name="OE">'Input Form'!$E$5</definedName>
    <definedName name="Parts">'Input Form'!$E$13</definedName>
    <definedName name="po">'Input Form'!$E$25</definedName>
    <definedName name="poline">'Input Form'!$E$19</definedName>
    <definedName name="price">'Input Form'!$E$23</definedName>
    <definedName name="_xlnm.Print_Area" localSheetId="2">Report!$B$1:$F$24</definedName>
    <definedName name="_xlnm.Print_Titles" localSheetId="0">'DELIVERY SCHEDULE'!$1:$3</definedName>
    <definedName name="QTY">'Input Form'!$E$11</definedName>
    <definedName name="Revision">'Input Form'!$E$15</definedName>
    <definedName name="year" localSheetId="10">Report!#REF!</definedName>
    <definedName name="year" localSheetId="7">[1]Report!#REF!</definedName>
    <definedName name="year" localSheetId="3">'Report Old'!$J$6:$J$16</definedName>
    <definedName name="year">Report!#REF!</definedName>
    <definedName name="Z_2383B994_5DA1_4BB7_BA01_728624653006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383B994_5DA1_4BB7_BA01_728624653006_.wvu.Cols" localSheetId="0" hidden="1">'DELIVERY SCHEDULE'!$U:$U</definedName>
    <definedName name="Z_2383B994_5DA1_4BB7_BA01_728624653006_.wvu.Cols" localSheetId="1" hidden="1">'Input Form'!$H:$J</definedName>
    <definedName name="Z_2383B994_5DA1_4BB7_BA01_728624653006_.wvu.Cols" localSheetId="2" hidden="1">Report!$A:$A</definedName>
    <definedName name="Z_2383B994_5DA1_4BB7_BA01_728624653006_.wvu.Cols" localSheetId="3" hidden="1">'Report Old'!$A:$A</definedName>
    <definedName name="Z_2383B994_5DA1_4BB7_BA01_728624653006_.wvu.FilterData" localSheetId="0" hidden="1">'DELIVERY SCHEDULE'!$A$3:$R$3</definedName>
    <definedName name="Z_2383B994_5DA1_4BB7_BA01_728624653006_.wvu.FilterData" localSheetId="6" hidden="1">PastDUE!$A$1:$F$5</definedName>
    <definedName name="Z_2383B994_5DA1_4BB7_BA01_728624653006_.wvu.PrintArea" localSheetId="2" hidden="1">Report!$B$1:$F$24</definedName>
    <definedName name="Z_2383B994_5DA1_4BB7_BA01_728624653006_.wvu.PrintTitles" localSheetId="0" hidden="1">'DELIVERY SCHEDULE'!$1:$3</definedName>
    <definedName name="Z_2383B994_5DA1_4BB7_BA01_728624653006_.wvu.Rows" localSheetId="1" hidden="1">'Input Form'!$102:$102</definedName>
    <definedName name="Z_2383B994_5DA1_4BB7_BA01_728624653006_.wvu.Rows" localSheetId="2" hidden="1">Report!$25:$2000</definedName>
    <definedName name="Z_2CF83A42_D815_4571_8877_DB621A116308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CF83A42_D815_4571_8877_DB621A116308_.wvu.Cols" localSheetId="0" hidden="1">'DELIVERY SCHEDULE'!$U:$U</definedName>
    <definedName name="Z_2CF83A42_D815_4571_8877_DB621A116308_.wvu.Cols" localSheetId="1" hidden="1">'Input Form'!$H:$J</definedName>
    <definedName name="Z_2CF83A42_D815_4571_8877_DB621A116308_.wvu.Cols" localSheetId="2" hidden="1">Report!$A:$A</definedName>
    <definedName name="Z_2CF83A42_D815_4571_8877_DB621A116308_.wvu.Cols" localSheetId="3" hidden="1">'Report Old'!$A:$A</definedName>
    <definedName name="Z_2CF83A42_D815_4571_8877_DB621A116308_.wvu.FilterData" localSheetId="0" hidden="1">'DELIVERY SCHEDULE'!$A$3:$R$3</definedName>
    <definedName name="Z_2CF83A42_D815_4571_8877_DB621A116308_.wvu.FilterData" localSheetId="6" hidden="1">PastDUE!$A$1:$F$5</definedName>
    <definedName name="Z_2CF83A42_D815_4571_8877_DB621A116308_.wvu.PrintArea" localSheetId="2" hidden="1">Report!$B$1:$F$24</definedName>
    <definedName name="Z_2CF83A42_D815_4571_8877_DB621A116308_.wvu.PrintTitles" localSheetId="0" hidden="1">'DELIVERY SCHEDULE'!$1:$3</definedName>
    <definedName name="Z_2CF83A42_D815_4571_8877_DB621A116308_.wvu.Rows" localSheetId="1" hidden="1">'Input Form'!$102:$102</definedName>
    <definedName name="Z_2CF83A42_D815_4571_8877_DB621A116308_.wvu.Rows" localSheetId="2" hidden="1">Report!$25:$2000</definedName>
    <definedName name="Z_FFA6C093_E866_4B92_9807_8D478A2763D4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FFA6C093_E866_4B92_9807_8D478A2763D4_.wvu.Cols" localSheetId="0" hidden="1">'DELIVERY SCHEDULE'!$U:$U</definedName>
    <definedName name="Z_FFA6C093_E866_4B92_9807_8D478A2763D4_.wvu.Cols" localSheetId="1" hidden="1">'Input Form'!$H:$J</definedName>
    <definedName name="Z_FFA6C093_E866_4B92_9807_8D478A2763D4_.wvu.Cols" localSheetId="2" hidden="1">Report!$A:$A</definedName>
    <definedName name="Z_FFA6C093_E866_4B92_9807_8D478A2763D4_.wvu.Cols" localSheetId="3" hidden="1">'Report Old'!$A:$A</definedName>
    <definedName name="Z_FFA6C093_E866_4B92_9807_8D478A2763D4_.wvu.FilterData" localSheetId="0" hidden="1">'DELIVERY SCHEDULE'!$A$3:$R$3</definedName>
    <definedName name="Z_FFA6C093_E866_4B92_9807_8D478A2763D4_.wvu.FilterData" localSheetId="6" hidden="1">PastDUE!$A$1:$F$5</definedName>
    <definedName name="Z_FFA6C093_E866_4B92_9807_8D478A2763D4_.wvu.PrintArea" localSheetId="2" hidden="1">Report!$B$1:$F$24</definedName>
    <definedName name="Z_FFA6C093_E866_4B92_9807_8D478A2763D4_.wvu.PrintTitles" localSheetId="0" hidden="1">'DELIVERY SCHEDULE'!$1:$3</definedName>
    <definedName name="Z_FFA6C093_E866_4B92_9807_8D478A2763D4_.wvu.Rows" localSheetId="1" hidden="1">'Input Form'!$102:$102</definedName>
    <definedName name="Z_FFA6C093_E866_4B92_9807_8D478A2763D4_.wvu.Rows" localSheetId="2" hidden="1">Report!$25:$2000</definedName>
  </definedNames>
  <calcPr calcId="125725"/>
  <customWorkbookViews>
    <customWorkbookView name="MP - Personal View" guid="{2383B994-5DA1-4BB7-BA01-728624653006}" mergeInterval="0" personalView="1" maximized="1" xWindow="1" yWindow="1" windowWidth="1916" windowHeight="749" tabRatio="693" activeSheetId="2"/>
    <customWorkbookView name="herlette - Personal View" guid="{2CF83A42-D815-4571-8877-DB621A116308}" mergeInterval="0" personalView="1" maximized="1" xWindow="1" yWindow="1" windowWidth="1916" windowHeight="869" tabRatio="693" activeSheetId="2"/>
    <customWorkbookView name="pcinsider@hotmail.com - Personal View" guid="{FFA6C093-E866-4B92-9807-8D478A2763D4}" autoUpdate="1" mergeInterval="15" personalView="1" maximized="1" xWindow="1" yWindow="1" windowWidth="1920" windowHeight="821" tabRatio="693"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26" i="2"/>
  <c r="R5" l="1"/>
  <c r="R6"/>
  <c r="R7"/>
  <c r="R8"/>
  <c r="R9"/>
  <c r="R10"/>
  <c r="R11"/>
  <c r="R12"/>
  <c r="R13"/>
  <c r="R14"/>
  <c r="R15"/>
  <c r="R16"/>
  <c r="R17"/>
  <c r="R18"/>
  <c r="R19"/>
  <c r="R20"/>
  <c r="R21"/>
  <c r="R22"/>
  <c r="R23"/>
  <c r="R24"/>
  <c r="R25"/>
  <c r="R26"/>
  <c r="R27"/>
  <c r="R28"/>
  <c r="R29"/>
  <c r="R30"/>
  <c r="R31"/>
  <c r="R32"/>
  <c r="R33"/>
  <c r="R34"/>
  <c r="R35"/>
  <c r="R36"/>
  <c r="R37"/>
  <c r="R38"/>
  <c r="R39"/>
  <c r="R40"/>
  <c r="R41"/>
  <c r="R42"/>
  <c r="R43"/>
  <c r="R44"/>
  <c r="R45"/>
  <c r="R46"/>
  <c r="R47"/>
  <c r="R48"/>
  <c r="R49"/>
  <c r="R50"/>
  <c r="R51"/>
  <c r="R52"/>
  <c r="R53"/>
  <c r="R54"/>
  <c r="R55"/>
  <c r="R56"/>
  <c r="R57"/>
  <c r="R58"/>
  <c r="R59"/>
  <c r="R60"/>
  <c r="R61"/>
  <c r="R62"/>
  <c r="R63"/>
  <c r="R64"/>
  <c r="R65"/>
  <c r="R66"/>
  <c r="R67"/>
  <c r="R68"/>
  <c r="R69"/>
  <c r="R70"/>
  <c r="R71"/>
  <c r="R72"/>
  <c r="R73"/>
  <c r="R74"/>
  <c r="R75"/>
  <c r="R76"/>
  <c r="R77"/>
  <c r="R78"/>
  <c r="R79"/>
  <c r="R80"/>
  <c r="R81"/>
  <c r="R82"/>
  <c r="R83"/>
  <c r="R84"/>
  <c r="R85"/>
  <c r="R86"/>
  <c r="R87"/>
  <c r="R88"/>
  <c r="R89"/>
  <c r="R90"/>
  <c r="R91"/>
  <c r="R92"/>
  <c r="R93"/>
  <c r="R94"/>
  <c r="R95"/>
  <c r="R96"/>
  <c r="R97"/>
  <c r="R98"/>
  <c r="R99"/>
  <c r="R100"/>
  <c r="R101"/>
  <c r="R102"/>
  <c r="R103"/>
  <c r="R104"/>
  <c r="R105"/>
  <c r="R106"/>
  <c r="R107"/>
  <c r="R108"/>
  <c r="R109"/>
  <c r="R110"/>
  <c r="R111"/>
  <c r="R112"/>
  <c r="R113"/>
  <c r="R114"/>
  <c r="R115"/>
  <c r="R116"/>
  <c r="R117"/>
  <c r="R118"/>
  <c r="R119"/>
  <c r="R120"/>
  <c r="R121"/>
  <c r="R122"/>
  <c r="R123"/>
  <c r="R124"/>
  <c r="R125"/>
  <c r="R126"/>
  <c r="R127"/>
  <c r="R128"/>
  <c r="R129"/>
  <c r="R130"/>
  <c r="R131"/>
  <c r="R132"/>
  <c r="R133"/>
  <c r="R134"/>
  <c r="R135"/>
  <c r="R136"/>
  <c r="R137"/>
  <c r="R138"/>
  <c r="R139"/>
  <c r="R140"/>
  <c r="R141"/>
  <c r="R142"/>
  <c r="R143"/>
  <c r="R144"/>
  <c r="R145"/>
  <c r="R146"/>
  <c r="R147"/>
  <c r="R148"/>
  <c r="R149"/>
  <c r="R150"/>
  <c r="R151"/>
  <c r="R152"/>
  <c r="R153"/>
  <c r="R154"/>
  <c r="R155"/>
  <c r="R156"/>
  <c r="R157"/>
  <c r="R158"/>
  <c r="R159"/>
  <c r="R160"/>
  <c r="R161"/>
  <c r="R162"/>
  <c r="R163"/>
  <c r="R164"/>
  <c r="R165"/>
  <c r="R166"/>
  <c r="R168"/>
  <c r="R169"/>
  <c r="R170"/>
  <c r="R171"/>
  <c r="R172"/>
  <c r="R173"/>
  <c r="R174"/>
  <c r="R175"/>
  <c r="R176"/>
  <c r="R177"/>
  <c r="R178"/>
  <c r="R179"/>
  <c r="R180"/>
  <c r="R181"/>
  <c r="R182"/>
  <c r="R183"/>
  <c r="R184"/>
  <c r="R185"/>
  <c r="R186"/>
  <c r="R187"/>
  <c r="R188"/>
  <c r="R189"/>
  <c r="R190"/>
  <c r="R191"/>
  <c r="R192"/>
  <c r="R193"/>
  <c r="R194"/>
  <c r="R195"/>
  <c r="R196"/>
  <c r="R197"/>
  <c r="R198"/>
  <c r="R199"/>
  <c r="R200"/>
  <c r="R201"/>
  <c r="R202"/>
  <c r="R203"/>
  <c r="R204"/>
  <c r="R205"/>
  <c r="R206"/>
  <c r="R207"/>
  <c r="R208"/>
  <c r="R209"/>
  <c r="R212"/>
  <c r="R213"/>
  <c r="R214"/>
  <c r="R215"/>
  <c r="R216"/>
  <c r="R217"/>
  <c r="R218"/>
  <c r="R219"/>
  <c r="R220"/>
  <c r="R221"/>
  <c r="R222"/>
  <c r="R223"/>
  <c r="R224"/>
  <c r="R225"/>
  <c r="R226"/>
  <c r="R227"/>
  <c r="R228"/>
  <c r="R229"/>
  <c r="R230"/>
  <c r="R231"/>
  <c r="R232"/>
  <c r="R233"/>
  <c r="R234"/>
  <c r="R235"/>
  <c r="R236"/>
  <c r="R237"/>
  <c r="R238"/>
  <c r="R239"/>
  <c r="R240"/>
  <c r="R241"/>
  <c r="R242"/>
  <c r="R243"/>
  <c r="R244"/>
  <c r="R245"/>
  <c r="R246"/>
  <c r="R247"/>
  <c r="R248"/>
  <c r="R249"/>
  <c r="R250"/>
  <c r="R251"/>
  <c r="R252"/>
  <c r="R253"/>
  <c r="R254"/>
  <c r="R255"/>
  <c r="R256"/>
  <c r="R257"/>
  <c r="R258"/>
  <c r="R259"/>
  <c r="R260"/>
  <c r="R261"/>
  <c r="R262"/>
  <c r="R263"/>
  <c r="R264"/>
  <c r="R265"/>
  <c r="R266"/>
  <c r="R267"/>
  <c r="R268"/>
  <c r="R269"/>
  <c r="R270"/>
  <c r="R271"/>
  <c r="R272"/>
  <c r="R273"/>
  <c r="R274"/>
  <c r="R275"/>
  <c r="R276"/>
  <c r="R277"/>
  <c r="R278"/>
  <c r="R279"/>
  <c r="R280"/>
  <c r="R281"/>
  <c r="R282"/>
  <c r="R283"/>
  <c r="R284"/>
  <c r="R285"/>
  <c r="R286"/>
  <c r="R287"/>
  <c r="R288"/>
  <c r="R289"/>
  <c r="R290"/>
  <c r="R291"/>
  <c r="R292"/>
  <c r="R293"/>
  <c r="R294"/>
  <c r="R295"/>
  <c r="R296"/>
  <c r="R297"/>
  <c r="R298"/>
  <c r="R299"/>
  <c r="R300"/>
  <c r="R301"/>
  <c r="R302"/>
  <c r="R303"/>
  <c r="R304"/>
  <c r="R305"/>
  <c r="R306"/>
  <c r="R307"/>
  <c r="R308"/>
  <c r="R309"/>
  <c r="R310"/>
  <c r="R311"/>
  <c r="R312"/>
  <c r="R313"/>
  <c r="R314"/>
  <c r="R315"/>
  <c r="R316"/>
  <c r="R317"/>
  <c r="R318"/>
  <c r="R319"/>
  <c r="R320"/>
  <c r="R321"/>
  <c r="R322"/>
  <c r="R323"/>
  <c r="R324"/>
  <c r="R325"/>
  <c r="R328"/>
  <c r="R329"/>
  <c r="R330"/>
  <c r="R331"/>
  <c r="R332"/>
  <c r="R333"/>
  <c r="R334"/>
  <c r="R335"/>
  <c r="R336"/>
  <c r="R337"/>
  <c r="R338"/>
  <c r="R339"/>
  <c r="R340"/>
  <c r="R341"/>
  <c r="R342"/>
  <c r="R343"/>
  <c r="R344"/>
  <c r="R345"/>
  <c r="R346"/>
  <c r="R4" l="1"/>
  <c r="R347" l="1"/>
  <c r="R348"/>
  <c r="R349"/>
  <c r="R350"/>
  <c r="R351"/>
  <c r="R352"/>
  <c r="R353"/>
  <c r="R354"/>
  <c r="R355"/>
  <c r="R356"/>
  <c r="R357"/>
  <c r="R358"/>
  <c r="R359"/>
  <c r="R360"/>
  <c r="R361"/>
  <c r="R362"/>
  <c r="R363"/>
  <c r="R364"/>
  <c r="R365"/>
  <c r="R366"/>
  <c r="R367"/>
  <c r="R368"/>
  <c r="R369"/>
  <c r="R370"/>
  <c r="R371"/>
  <c r="R372"/>
  <c r="R373"/>
  <c r="R374"/>
  <c r="R375"/>
  <c r="R376"/>
  <c r="R377"/>
  <c r="R378"/>
  <c r="R379"/>
  <c r="R380"/>
  <c r="R381"/>
  <c r="R382"/>
  <c r="R383"/>
  <c r="R385"/>
  <c r="R386"/>
  <c r="R387"/>
  <c r="R388"/>
  <c r="R389"/>
  <c r="R390"/>
  <c r="R391"/>
  <c r="R392"/>
  <c r="R393"/>
  <c r="R394"/>
  <c r="R395"/>
  <c r="R396"/>
  <c r="R397"/>
  <c r="R398"/>
  <c r="R399"/>
  <c r="R400"/>
  <c r="R401"/>
  <c r="R402"/>
  <c r="R403"/>
  <c r="R404"/>
  <c r="R405"/>
  <c r="R406"/>
  <c r="R407"/>
  <c r="R408"/>
  <c r="R409"/>
  <c r="R410"/>
  <c r="R411"/>
  <c r="R412"/>
  <c r="R414"/>
  <c r="R415"/>
  <c r="R416"/>
  <c r="R417"/>
  <c r="R419"/>
  <c r="R420"/>
  <c r="R421"/>
  <c r="R422"/>
  <c r="R423"/>
  <c r="R424"/>
  <c r="R425"/>
  <c r="R426"/>
  <c r="R427"/>
  <c r="R428"/>
  <c r="R429"/>
  <c r="R430"/>
  <c r="R431"/>
  <c r="R432"/>
  <c r="R433"/>
  <c r="R434"/>
  <c r="R435"/>
  <c r="R436"/>
  <c r="R437"/>
  <c r="R438"/>
  <c r="R439"/>
  <c r="R440"/>
  <c r="R441"/>
  <c r="R442"/>
  <c r="R443"/>
  <c r="R444"/>
  <c r="R445"/>
  <c r="R446"/>
  <c r="R447"/>
  <c r="R448"/>
  <c r="R449"/>
  <c r="R450"/>
  <c r="R451"/>
  <c r="R452"/>
  <c r="R453"/>
  <c r="R454"/>
  <c r="R455"/>
  <c r="R456"/>
  <c r="R457"/>
  <c r="R458"/>
  <c r="R459"/>
  <c r="R460"/>
  <c r="R461"/>
  <c r="R462"/>
  <c r="R463"/>
  <c r="R464"/>
  <c r="R465"/>
  <c r="R466"/>
  <c r="R467"/>
  <c r="R468"/>
  <c r="R469"/>
  <c r="R470"/>
  <c r="R471"/>
  <c r="R472"/>
  <c r="R473"/>
  <c r="R474"/>
  <c r="R475"/>
  <c r="R476"/>
  <c r="R477"/>
  <c r="R478"/>
  <c r="R479"/>
  <c r="R480"/>
  <c r="R481"/>
  <c r="R482"/>
  <c r="R483"/>
  <c r="R484"/>
  <c r="R485"/>
  <c r="R486"/>
  <c r="R487"/>
  <c r="R488"/>
  <c r="R489"/>
  <c r="R490"/>
  <c r="R491"/>
  <c r="R492"/>
  <c r="R493"/>
  <c r="R494"/>
  <c r="R495"/>
  <c r="R496"/>
  <c r="R497"/>
  <c r="R498"/>
  <c r="R499"/>
  <c r="R500"/>
  <c r="R501"/>
  <c r="R502"/>
  <c r="R503"/>
  <c r="R504"/>
  <c r="R505"/>
  <c r="R506"/>
  <c r="R507"/>
  <c r="R508"/>
  <c r="R509"/>
  <c r="R510"/>
  <c r="R511"/>
  <c r="R512"/>
  <c r="R513"/>
  <c r="R514"/>
  <c r="R515"/>
  <c r="R516"/>
  <c r="R517"/>
  <c r="R518"/>
  <c r="R519"/>
  <c r="R520"/>
  <c r="R521"/>
  <c r="R522"/>
  <c r="R523"/>
  <c r="R524"/>
  <c r="R525"/>
  <c r="R526"/>
  <c r="R527"/>
  <c r="R528"/>
  <c r="R529"/>
  <c r="R530"/>
  <c r="R531"/>
  <c r="R532"/>
  <c r="R533"/>
  <c r="R534"/>
  <c r="R535"/>
  <c r="R536"/>
  <c r="R537"/>
  <c r="R538"/>
  <c r="R539"/>
  <c r="R540"/>
  <c r="R541"/>
  <c r="R542"/>
  <c r="R543"/>
  <c r="R544"/>
  <c r="R545"/>
  <c r="R546"/>
  <c r="R547"/>
  <c r="R548"/>
  <c r="R549"/>
  <c r="R550"/>
  <c r="R551"/>
  <c r="R552"/>
  <c r="R553"/>
  <c r="R554"/>
  <c r="R555"/>
  <c r="R556"/>
  <c r="R557"/>
  <c r="R558"/>
  <c r="R559"/>
  <c r="R560"/>
  <c r="R561"/>
  <c r="R562"/>
  <c r="R563"/>
  <c r="R564"/>
  <c r="R565"/>
  <c r="R566"/>
  <c r="R567"/>
  <c r="R568"/>
  <c r="R569"/>
  <c r="R570"/>
  <c r="R571"/>
  <c r="R572"/>
  <c r="R573"/>
  <c r="R574"/>
  <c r="R575"/>
  <c r="R576"/>
  <c r="R577"/>
  <c r="R578"/>
  <c r="R579"/>
  <c r="R580"/>
  <c r="R581"/>
  <c r="R582"/>
  <c r="R583"/>
  <c r="R584"/>
  <c r="R585"/>
  <c r="R586"/>
  <c r="R587"/>
  <c r="R588"/>
  <c r="R589"/>
  <c r="R590"/>
  <c r="R591"/>
  <c r="R592"/>
  <c r="R593"/>
  <c r="R594"/>
  <c r="R595"/>
  <c r="R596"/>
  <c r="R597"/>
  <c r="R598"/>
  <c r="R599"/>
  <c r="R600"/>
  <c r="R601"/>
  <c r="R602"/>
  <c r="R603"/>
  <c r="R604"/>
  <c r="R605"/>
  <c r="R606"/>
  <c r="R607"/>
  <c r="R608"/>
  <c r="R609"/>
  <c r="R610"/>
  <c r="R611"/>
  <c r="R612"/>
  <c r="R613"/>
  <c r="R614"/>
  <c r="R615"/>
  <c r="R616"/>
  <c r="R617"/>
  <c r="R618"/>
  <c r="R619"/>
  <c r="R620"/>
  <c r="R621"/>
  <c r="R622"/>
  <c r="R623"/>
  <c r="R624"/>
  <c r="R625"/>
  <c r="R626"/>
  <c r="R627"/>
  <c r="R628"/>
  <c r="R629"/>
  <c r="R630"/>
  <c r="R631"/>
  <c r="R632"/>
  <c r="R633"/>
  <c r="R634"/>
  <c r="R635"/>
  <c r="R636"/>
  <c r="R637"/>
  <c r="R638"/>
  <c r="R639"/>
  <c r="R640"/>
  <c r="R641"/>
  <c r="R642"/>
  <c r="R643"/>
  <c r="R644"/>
  <c r="R645"/>
  <c r="R646"/>
  <c r="R647"/>
  <c r="R648"/>
  <c r="R649"/>
  <c r="R650"/>
  <c r="R651"/>
  <c r="R652"/>
  <c r="R653"/>
  <c r="R654"/>
  <c r="R655"/>
  <c r="R656"/>
  <c r="R657"/>
  <c r="R658"/>
  <c r="R659"/>
  <c r="R660"/>
  <c r="R661"/>
  <c r="R662"/>
  <c r="R663"/>
  <c r="R664"/>
  <c r="R665"/>
  <c r="R666"/>
  <c r="R667"/>
  <c r="R668"/>
  <c r="R669"/>
  <c r="R670"/>
  <c r="R671"/>
  <c r="R672"/>
  <c r="R673"/>
  <c r="R674"/>
  <c r="R675"/>
  <c r="R676"/>
  <c r="R677"/>
  <c r="R678"/>
  <c r="R679"/>
  <c r="R680"/>
  <c r="R681"/>
  <c r="R682"/>
  <c r="R683"/>
  <c r="R684"/>
  <c r="R685"/>
  <c r="R686"/>
  <c r="R687"/>
  <c r="R688"/>
  <c r="R689"/>
  <c r="R690"/>
  <c r="R691"/>
  <c r="R692"/>
  <c r="R693"/>
  <c r="R694"/>
  <c r="R695"/>
  <c r="R696"/>
  <c r="R697"/>
  <c r="R698"/>
  <c r="R699"/>
  <c r="R700"/>
  <c r="R701"/>
  <c r="R702"/>
  <c r="R703"/>
  <c r="R704"/>
  <c r="R705"/>
  <c r="R706"/>
  <c r="R707"/>
  <c r="R708"/>
  <c r="R709"/>
  <c r="R710"/>
  <c r="R711"/>
  <c r="R712"/>
  <c r="R713"/>
  <c r="R714"/>
  <c r="R715"/>
  <c r="R716"/>
  <c r="R717"/>
  <c r="R718"/>
  <c r="R719"/>
  <c r="R720"/>
  <c r="R721"/>
  <c r="R722"/>
  <c r="R723"/>
  <c r="R724"/>
  <c r="R725"/>
  <c r="R726"/>
  <c r="R727"/>
  <c r="R728"/>
  <c r="R729"/>
  <c r="R730"/>
  <c r="R731"/>
  <c r="R732"/>
  <c r="R733"/>
  <c r="R734"/>
  <c r="R735"/>
  <c r="R736"/>
  <c r="R737"/>
  <c r="R738"/>
  <c r="R739"/>
  <c r="R740"/>
  <c r="R741"/>
  <c r="R742"/>
  <c r="R743"/>
  <c r="R744"/>
  <c r="R745"/>
  <c r="R746"/>
  <c r="R747"/>
  <c r="R748"/>
  <c r="R749"/>
  <c r="R750"/>
  <c r="R751"/>
  <c r="R752"/>
  <c r="R753"/>
  <c r="R754"/>
  <c r="R755"/>
  <c r="R756"/>
  <c r="R757"/>
  <c r="R758"/>
  <c r="R759"/>
  <c r="R760"/>
  <c r="R761"/>
  <c r="R762"/>
  <c r="R763"/>
  <c r="R764"/>
  <c r="R765"/>
  <c r="R766"/>
  <c r="R767"/>
  <c r="R768"/>
  <c r="R769"/>
  <c r="R770"/>
  <c r="R771"/>
  <c r="R772"/>
  <c r="R773"/>
  <c r="R774"/>
  <c r="R775"/>
  <c r="R776"/>
  <c r="R777"/>
  <c r="R778"/>
  <c r="R779"/>
  <c r="R780"/>
  <c r="R781"/>
  <c r="R782"/>
  <c r="R783"/>
  <c r="R784"/>
  <c r="R785"/>
  <c r="R786"/>
  <c r="R787"/>
  <c r="R788"/>
  <c r="R789"/>
  <c r="R790"/>
  <c r="R791"/>
  <c r="R792"/>
  <c r="R793"/>
  <c r="R794"/>
  <c r="R795"/>
  <c r="R796"/>
  <c r="R797"/>
  <c r="R798"/>
  <c r="R799"/>
  <c r="R800"/>
  <c r="R801"/>
  <c r="R802"/>
  <c r="R803"/>
  <c r="R804"/>
  <c r="R805"/>
  <c r="R806"/>
  <c r="R807"/>
  <c r="R808"/>
  <c r="R809"/>
  <c r="R810"/>
  <c r="R811"/>
  <c r="R812"/>
  <c r="R813"/>
  <c r="R814"/>
  <c r="R815"/>
  <c r="R816"/>
  <c r="R817"/>
  <c r="R818"/>
  <c r="R819"/>
  <c r="R820"/>
  <c r="R821"/>
  <c r="R822"/>
  <c r="R823"/>
  <c r="R824"/>
  <c r="R825"/>
  <c r="R826"/>
  <c r="R827"/>
  <c r="R828"/>
  <c r="R829"/>
  <c r="R830"/>
  <c r="R831"/>
  <c r="R832"/>
  <c r="R833"/>
  <c r="R834"/>
  <c r="R835"/>
  <c r="R836"/>
  <c r="R837"/>
  <c r="R838"/>
  <c r="R839"/>
  <c r="R840"/>
  <c r="R841"/>
  <c r="R842"/>
  <c r="R843"/>
  <c r="R844"/>
  <c r="R845"/>
  <c r="R846"/>
  <c r="R847"/>
  <c r="R848"/>
  <c r="R849"/>
  <c r="R850"/>
  <c r="R851"/>
  <c r="R852"/>
  <c r="R853"/>
  <c r="R854"/>
  <c r="R855"/>
  <c r="R856"/>
  <c r="R857"/>
  <c r="R858"/>
  <c r="R859"/>
  <c r="R860"/>
  <c r="R861"/>
  <c r="R862"/>
  <c r="R863"/>
  <c r="R864"/>
  <c r="R865"/>
  <c r="R866"/>
  <c r="R867"/>
  <c r="R868"/>
  <c r="R869"/>
  <c r="R870"/>
  <c r="R871"/>
  <c r="R872"/>
  <c r="R873"/>
  <c r="R874"/>
  <c r="R875"/>
  <c r="R876"/>
  <c r="R877"/>
  <c r="R878"/>
  <c r="R879"/>
  <c r="R880"/>
  <c r="R881"/>
  <c r="R882"/>
  <c r="R883"/>
  <c r="R884"/>
  <c r="R885"/>
  <c r="R886"/>
  <c r="R887"/>
  <c r="R888"/>
  <c r="R889"/>
  <c r="R890"/>
  <c r="R891"/>
  <c r="R892"/>
  <c r="R893"/>
  <c r="R894"/>
  <c r="R895"/>
  <c r="R896"/>
  <c r="R897"/>
  <c r="R898"/>
  <c r="R899"/>
  <c r="R900"/>
  <c r="R901"/>
  <c r="R902"/>
  <c r="R903"/>
  <c r="R904"/>
  <c r="R905"/>
  <c r="R906"/>
  <c r="R907"/>
  <c r="R908"/>
  <c r="R909"/>
  <c r="R910"/>
  <c r="R911"/>
  <c r="R912"/>
  <c r="R913"/>
  <c r="R914"/>
  <c r="R915"/>
  <c r="R916"/>
  <c r="R917"/>
  <c r="R918"/>
  <c r="R919"/>
  <c r="R920"/>
  <c r="R921"/>
  <c r="R922"/>
  <c r="R923"/>
  <c r="R924"/>
  <c r="R925"/>
  <c r="R926"/>
  <c r="R927"/>
  <c r="R928"/>
  <c r="R929"/>
  <c r="R930"/>
  <c r="R931"/>
  <c r="R932"/>
  <c r="R933"/>
  <c r="R934"/>
  <c r="R935"/>
  <c r="R936"/>
  <c r="R937"/>
  <c r="R938"/>
  <c r="R939"/>
  <c r="R940"/>
  <c r="R941"/>
  <c r="R942"/>
  <c r="R943"/>
  <c r="R944"/>
  <c r="R945"/>
  <c r="R946"/>
  <c r="R947"/>
  <c r="R948"/>
  <c r="R949"/>
  <c r="R950"/>
  <c r="R951"/>
  <c r="R952"/>
  <c r="R953"/>
  <c r="R954"/>
  <c r="R955"/>
  <c r="R956"/>
  <c r="R957"/>
  <c r="R958"/>
  <c r="R959"/>
  <c r="R960"/>
  <c r="R961"/>
  <c r="R962"/>
  <c r="R963"/>
  <c r="R964"/>
  <c r="R965"/>
  <c r="R966"/>
  <c r="R967"/>
  <c r="R968"/>
  <c r="R969"/>
  <c r="R970"/>
  <c r="R971"/>
  <c r="R972"/>
  <c r="R973"/>
  <c r="R974"/>
  <c r="R975"/>
  <c r="R976"/>
  <c r="R977"/>
  <c r="R978"/>
  <c r="R979"/>
  <c r="R980"/>
  <c r="R981"/>
  <c r="R982"/>
  <c r="R983"/>
  <c r="R984"/>
  <c r="R985"/>
  <c r="R986"/>
  <c r="R987"/>
  <c r="R988"/>
  <c r="R989"/>
  <c r="R990"/>
  <c r="R991"/>
  <c r="R992"/>
  <c r="R993"/>
  <c r="R994"/>
  <c r="R995"/>
  <c r="R996"/>
  <c r="R997"/>
  <c r="R998"/>
  <c r="R999"/>
  <c r="R1000"/>
  <c r="R1001"/>
  <c r="R1002"/>
  <c r="R1003"/>
  <c r="R1004"/>
  <c r="R1005"/>
  <c r="R1006"/>
  <c r="R1007"/>
  <c r="R1008"/>
  <c r="R1009"/>
  <c r="R1010"/>
  <c r="R1011"/>
  <c r="R1012"/>
  <c r="R1013"/>
  <c r="R1014"/>
  <c r="R1015"/>
  <c r="R1016"/>
  <c r="R1017"/>
  <c r="R1018"/>
  <c r="R1019"/>
  <c r="R1020"/>
  <c r="R1021"/>
  <c r="R1022"/>
  <c r="R1023"/>
  <c r="R1024"/>
  <c r="R1025"/>
  <c r="R1026"/>
  <c r="R1027"/>
  <c r="R1028"/>
  <c r="R1029"/>
  <c r="R1030"/>
  <c r="R1031"/>
  <c r="R1032"/>
  <c r="R1033"/>
  <c r="R1034"/>
  <c r="R1035"/>
  <c r="R1036"/>
  <c r="R1037"/>
  <c r="R1038"/>
  <c r="R1039"/>
  <c r="R1040"/>
  <c r="R1041"/>
  <c r="R1042"/>
  <c r="R1043"/>
  <c r="R1044"/>
  <c r="R1045"/>
  <c r="R1046"/>
  <c r="R1047"/>
  <c r="R1048"/>
  <c r="R1049"/>
  <c r="R1050"/>
  <c r="R1051"/>
  <c r="R1052"/>
  <c r="R1053"/>
  <c r="R1054"/>
  <c r="R1055"/>
  <c r="R1056"/>
  <c r="R1057"/>
  <c r="R1058"/>
  <c r="R1059"/>
  <c r="R1060"/>
  <c r="R1061"/>
  <c r="R1062"/>
  <c r="R1063"/>
  <c r="R1064"/>
  <c r="R1065"/>
  <c r="R1066"/>
  <c r="R1067"/>
  <c r="R1068"/>
  <c r="R1069"/>
  <c r="R1070"/>
  <c r="R1071"/>
  <c r="R1072"/>
  <c r="R1073"/>
  <c r="R1074"/>
  <c r="R1075"/>
  <c r="R1076"/>
  <c r="R1077"/>
  <c r="R1078"/>
  <c r="R1079"/>
  <c r="R1080"/>
  <c r="R1081"/>
  <c r="R1082"/>
  <c r="R1083"/>
  <c r="R1084"/>
  <c r="R1085"/>
  <c r="R1086"/>
  <c r="R1087"/>
  <c r="R1088"/>
  <c r="R1089"/>
  <c r="R1090"/>
  <c r="R1091"/>
  <c r="R1092"/>
  <c r="R1093"/>
  <c r="R1094"/>
  <c r="R1095"/>
  <c r="R1096"/>
  <c r="R1097"/>
  <c r="R1098"/>
  <c r="R1099"/>
  <c r="R1100"/>
  <c r="R1101"/>
  <c r="R1102"/>
  <c r="R1103"/>
  <c r="R1104"/>
  <c r="R1105"/>
  <c r="R1106"/>
  <c r="R1107"/>
  <c r="R1108"/>
  <c r="R1109"/>
  <c r="R1110"/>
  <c r="R1111"/>
  <c r="R1112"/>
  <c r="R1113"/>
  <c r="R1114"/>
  <c r="E1" i="13" l="1"/>
  <c r="F1" s="1"/>
  <c r="H1" s="1"/>
  <c r="K1" l="1"/>
  <c r="K2"/>
  <c r="Z55" i="5" l="1"/>
  <c r="Z54"/>
  <c r="Z53"/>
  <c r="Z52"/>
  <c r="Z51"/>
  <c r="Z50"/>
  <c r="Z49"/>
  <c r="Z48"/>
  <c r="Z47"/>
  <c r="Z46"/>
  <c r="Z45"/>
  <c r="Z44"/>
  <c r="Z43"/>
  <c r="Z42"/>
  <c r="Z41"/>
  <c r="Z40"/>
  <c r="Z39"/>
  <c r="Z38"/>
  <c r="Z37"/>
  <c r="Z36"/>
  <c r="Z35"/>
  <c r="Z34"/>
  <c r="Z33"/>
  <c r="Z32"/>
  <c r="Z31"/>
  <c r="Z30"/>
  <c r="Z29"/>
  <c r="Z28"/>
  <c r="Z27"/>
  <c r="Z26"/>
  <c r="D8"/>
  <c r="D7"/>
  <c r="D6"/>
  <c r="D5"/>
  <c r="U55" i="4"/>
  <c r="U54"/>
  <c r="U53"/>
  <c r="U52"/>
  <c r="U51"/>
  <c r="U50"/>
  <c r="U49"/>
  <c r="U48"/>
  <c r="U47"/>
  <c r="U46"/>
  <c r="U45"/>
  <c r="U44"/>
  <c r="U43"/>
  <c r="U42"/>
  <c r="U41"/>
  <c r="U40"/>
  <c r="U39"/>
  <c r="U38"/>
  <c r="U37"/>
  <c r="U36"/>
  <c r="U35"/>
  <c r="U34"/>
  <c r="U33"/>
  <c r="U32"/>
  <c r="U31"/>
  <c r="U30"/>
  <c r="U29"/>
  <c r="U28"/>
  <c r="U27"/>
  <c r="U26"/>
  <c r="D8"/>
  <c r="D7"/>
  <c r="D6"/>
  <c r="D5"/>
  <c r="E1" i="6"/>
  <c r="F1" s="1"/>
  <c r="H1" s="1"/>
  <c r="D9" i="5" l="1"/>
  <c r="D11" s="1"/>
  <c r="D9" i="4"/>
  <c r="K1" i="6"/>
  <c r="K2"/>
  <c r="D14" i="5" l="1"/>
  <c r="D12"/>
  <c r="D13"/>
  <c r="D14" i="4"/>
  <c r="D12"/>
  <c r="D11"/>
  <c r="D13"/>
  <c r="J7" i="3"/>
  <c r="E5" l="1"/>
  <c r="E7"/>
  <c r="E30"/>
</calcChain>
</file>

<file path=xl/comments1.xml><?xml version="1.0" encoding="utf-8"?>
<comments xmlns="http://schemas.openxmlformats.org/spreadsheetml/2006/main">
  <authors>
    <author>MP</author>
  </authors>
  <commentList>
    <comment ref="K1" authorId="0">
      <text/>
    </comment>
    <comment ref="B3" authorId="0">
      <text>
        <r>
          <rPr>
            <b/>
            <sz val="9"/>
            <color indexed="81"/>
            <rFont val="Tahoma"/>
            <family val="2"/>
          </rPr>
          <t>MP:</t>
        </r>
        <r>
          <rPr>
            <sz val="9"/>
            <color indexed="81"/>
            <rFont val="Tahoma"/>
            <family val="2"/>
          </rPr>
          <t xml:space="preserve">
</t>
        </r>
      </text>
    </comment>
    <comment ref="L7" authorId="0">
      <text>
        <r>
          <rPr>
            <b/>
            <sz val="11"/>
            <color indexed="81"/>
            <rFont val="Vandra"/>
          </rPr>
          <t>Problems with material used-  When BWXT inspected parts cacked.  Olivier need to find out next steps.  Order on HOLD</t>
        </r>
      </text>
    </comment>
    <comment ref="E14" authorId="0">
      <text>
        <r>
          <rPr>
            <b/>
            <sz val="11"/>
            <color indexed="81"/>
            <rFont val="Vandra"/>
          </rPr>
          <t>Lester reached out to Bobby about getting updated drawing since Nov-21-23. we keep reminding Bobby , but we have not seen any new Drawing.
Bobby keeps stating he's working on it.</t>
        </r>
      </text>
    </comment>
    <comment ref="E16" authorId="0">
      <text>
        <r>
          <rPr>
            <b/>
            <sz val="11"/>
            <color indexed="81"/>
            <rFont val="Vandra"/>
          </rPr>
          <t>SNC- provided the Toggle Clamp but did not fit on the existing Block RTD made.  
June-5-2024 Lester sent in a DDR requesting to open slot on block to accommodate the Toggle Clamp provided.  Still Waiting for Approval</t>
        </r>
      </text>
    </comment>
    <comment ref="L25" authorId="0">
      <text>
        <r>
          <rPr>
            <b/>
            <sz val="12"/>
            <color indexed="81"/>
            <rFont val="Vandra"/>
          </rPr>
          <t>Feb-13-2025- Lester Submitted Procedures</t>
        </r>
      </text>
    </comment>
    <comment ref="L31" authorId="0">
      <text>
        <r>
          <rPr>
            <b/>
            <sz val="11"/>
            <color indexed="81"/>
            <rFont val="Vandra"/>
          </rPr>
          <t>Romania
Oct-27-25- Rev-2 of PO recvd- to include extra cost for Quote C# DW-71669</t>
        </r>
      </text>
    </comment>
    <comment ref="O31" authorId="0">
      <text>
        <r>
          <rPr>
            <b/>
            <sz val="11"/>
            <color indexed="81"/>
            <rFont val="Vandra"/>
          </rPr>
          <t>1-st Milestone-  35%  Inv# 52477
2-nd Milestone- 30%  Inv# 52877</t>
        </r>
      </text>
    </comment>
    <comment ref="D33" authorId="0">
      <text>
        <r>
          <rPr>
            <sz val="12"/>
            <color indexed="81"/>
            <rFont val="Arial"/>
            <family val="2"/>
          </rPr>
          <t xml:space="preserve">was previousl 32,000 changed to 81000 dec-12-2024
3000- pcs  Shipped-2/18/24
6000-pcs  Shipd- Jan-8-25
6000- pcs Shipd- Feb-4-2025
4500-pcs   Shipd- Feb-25-25
3000- pcs   shipd  may-6-25
3000-pcs   shipd   May-20-25
3000-pcs   shipd   July-29-25
1500 pcs  shipd    Sept-5-25
4500 pcs    shipe    Nov-5-2025
3000 pcs    shipd    Feb-12-26
</t>
        </r>
      </text>
    </comment>
    <comment ref="M33" authorId="0">
      <text>
        <r>
          <rPr>
            <b/>
            <sz val="11"/>
            <color indexed="81"/>
            <rFont val="Vandra"/>
          </rPr>
          <t>PS# 44126      3000-pcs
PS# 44151      6000-pcs
PS# 44215     6000 pcs
PS# 44255    4500 pcs
PS# 44449     3000 pcs
PS# 44481     3000 pcs
PS# 44607     3000 pcs
PS# 44677     1500 pcs
PS# 44819       4500 pcs
PS# 44962      3000-pcs</t>
        </r>
      </text>
    </comment>
    <comment ref="N33" authorId="0">
      <text>
        <r>
          <rPr>
            <b/>
            <sz val="11"/>
            <color indexed="81"/>
            <rFont val="Vandra"/>
          </rPr>
          <t>3000 pcs
6000 pcs
6000- pcs
4500 pcs
3000 pcs
3000 pcs
3000 pcs
15000 ps
4500 ps
3000 pcs</t>
        </r>
      </text>
    </comment>
    <comment ref="O33" authorId="0">
      <text>
        <r>
          <rPr>
            <b/>
            <sz val="9"/>
            <color indexed="81"/>
            <rFont val="Tahoma"/>
            <family val="2"/>
          </rPr>
          <t xml:space="preserve">MP:
</t>
        </r>
        <r>
          <rPr>
            <sz val="12"/>
            <color indexed="81"/>
            <rFont val="Tahoma"/>
            <family val="2"/>
          </rPr>
          <t>Inv 52443  3,000 pcs 12/18/24
Inv 52463  6,000 pcs 01/08/25
Inv 52514  6,000 pcs 02/04/25
Inv 52551  4,500 pcs 02/25/25
Inv 52731  3,000 pcs 05/06/25
Inv 52744  3,000 pcs 05/20825
Inv 52878  3,000 pcs 07/29/25
Inv 52939  1,500 pcs 09/05/25
Inv 53059  4,500 pcs 11/05/25
Inv 53209  3,000 pcs 02/11/26</t>
        </r>
      </text>
    </comment>
    <comment ref="Q33" authorId="0">
      <text>
        <r>
          <rPr>
            <b/>
            <sz val="12"/>
            <color indexed="81"/>
            <rFont val="Vandra"/>
          </rPr>
          <t xml:space="preserve">3000- pcs         shipped 12/18/24
6000-pcs          shipped  01/08/25
6000- pcs         shipped  02/04/25
4500- pcs        shipped   02/25/25
3000- pcs        shipped   05/06/25
3000- pcs        shipped   05/20/25
3000-pcs         shipped   07/29/25
1500-pcs         shipped    9/5/25
4500-pcs         shipped    11/4/25
3000-pcs         shipped    02/12/26
</t>
        </r>
      </text>
    </comment>
    <comment ref="L35" authorId="0">
      <text>
        <r>
          <rPr>
            <b/>
            <sz val="11"/>
            <color indexed="81"/>
            <rFont val="Vandra"/>
          </rPr>
          <t>Qinshan-  original PO Recvd
Jan-7-2025-  Same as J# 71669 for Fro Romania
-Oct-27-25- Rev recvd + cost of Quote # DW-71742</t>
        </r>
      </text>
    </comment>
    <comment ref="O35" authorId="0">
      <text>
        <r>
          <rPr>
            <b/>
            <sz val="11"/>
            <color indexed="81"/>
            <rFont val="Vandra"/>
          </rPr>
          <t>1 st Milestone- 35%  Inv# 52478
2 nd Milestone- 30% Inv# 52876</t>
        </r>
      </text>
    </comment>
    <comment ref="L37" authorId="0">
      <text>
        <r>
          <rPr>
            <b/>
            <sz val="11"/>
            <color indexed="81"/>
            <rFont val="Vandra"/>
          </rPr>
          <t>Qinshan</t>
        </r>
      </text>
    </comment>
    <comment ref="O37" authorId="0">
      <text>
        <r>
          <rPr>
            <b/>
            <sz val="11"/>
            <color indexed="81"/>
            <rFont val="Vandra"/>
          </rPr>
          <t>1st Milestone   30%    Inv# 52544
2nd ilestone     30%   Inv# 52816</t>
        </r>
      </text>
    </comment>
    <comment ref="L39" authorId="0">
      <text>
        <r>
          <rPr>
            <b/>
            <sz val="11"/>
            <color indexed="81"/>
            <rFont val="Vandra"/>
          </rPr>
          <t>Romania</t>
        </r>
      </text>
    </comment>
    <comment ref="O39" authorId="0">
      <text>
        <r>
          <rPr>
            <b/>
            <sz val="11"/>
            <color indexed="81"/>
            <rFont val="Vandra"/>
          </rPr>
          <t>1st Milestone  25%   Inv# 52642
2nd Milestone 15%   inv# 52875</t>
        </r>
      </text>
    </comment>
    <comment ref="L40" authorId="0">
      <text>
        <r>
          <rPr>
            <b/>
            <sz val="11"/>
            <color indexed="81"/>
            <rFont val="Vandra"/>
          </rPr>
          <t>Romania</t>
        </r>
      </text>
    </comment>
    <comment ref="D41" authorId="0">
      <text>
        <r>
          <rPr>
            <b/>
            <sz val="11"/>
            <color indexed="81"/>
            <rFont val="Vandra"/>
          </rPr>
          <t>Qty increased per e-mail from Laila June-4-2025- and PO Rev.1
June-6-25- AS per conference Sherry said the QTY on the BOM it#7 only showed 1-pcs but in fact they require 2- pcs per each assy</t>
        </r>
      </text>
    </comment>
    <comment ref="L41" authorId="0">
      <text>
        <r>
          <rPr>
            <b/>
            <sz val="12"/>
            <color indexed="81"/>
            <rFont val="Vandra"/>
          </rPr>
          <t>Romania</t>
        </r>
      </text>
    </comment>
    <comment ref="L43" authorId="0">
      <text>
        <r>
          <rPr>
            <b/>
            <sz val="11"/>
            <color indexed="81"/>
            <rFont val="Vandra"/>
          </rPr>
          <t xml:space="preserve">Romania
PO Rev.1  june 5-25
</t>
        </r>
      </text>
    </comment>
    <comment ref="O43" authorId="0">
      <text>
        <r>
          <rPr>
            <b/>
            <sz val="11"/>
            <color indexed="81"/>
            <rFont val="Vandra"/>
          </rPr>
          <t>1st Milestone-  30%  Inv# 52795</t>
        </r>
      </text>
    </comment>
    <comment ref="L44" authorId="0">
      <text>
        <r>
          <rPr>
            <b/>
            <sz val="11"/>
            <color indexed="81"/>
            <rFont val="Vandra"/>
          </rPr>
          <t xml:space="preserve">Romania
</t>
        </r>
      </text>
    </comment>
    <comment ref="L46" authorId="0">
      <text>
        <r>
          <rPr>
            <b/>
            <sz val="12"/>
            <color indexed="81"/>
            <rFont val="Vandra"/>
          </rPr>
          <t xml:space="preserve">Qinshan
New Rev.1 Recvd June-19/25
</t>
        </r>
      </text>
    </comment>
    <comment ref="O46" authorId="0">
      <text>
        <r>
          <rPr>
            <b/>
            <sz val="11"/>
            <color indexed="81"/>
            <rFont val="Vandra"/>
          </rPr>
          <t>1st Milestone 25%   Inv# 52643
2nd Milestone 15%  Inv# 52859</t>
        </r>
      </text>
    </comment>
    <comment ref="L47" authorId="0">
      <text>
        <r>
          <rPr>
            <b/>
            <sz val="12"/>
            <color indexed="81"/>
            <rFont val="Vandra"/>
          </rPr>
          <t>Qinshan</t>
        </r>
      </text>
    </comment>
    <comment ref="D48" authorId="0">
      <text>
        <r>
          <rPr>
            <b/>
            <sz val="11"/>
            <color indexed="81"/>
            <rFont val="Vandra"/>
          </rPr>
          <t>Qty increased per e-mail from Laila June-4-2025-  Change order to follow
June-6-25- AS per conference Sherry said the QTY on the BOM it#7 only showed 1-pcs
but in fact they require2- pcs per each assy</t>
        </r>
      </text>
    </comment>
    <comment ref="L48" authorId="0">
      <text>
        <r>
          <rPr>
            <b/>
            <sz val="12"/>
            <color indexed="81"/>
            <rFont val="Vandra"/>
          </rPr>
          <t>Qinshan</t>
        </r>
      </text>
    </comment>
    <comment ref="L52" authorId="0">
      <text>
        <r>
          <rPr>
            <b/>
            <sz val="12"/>
            <color indexed="81"/>
            <rFont val="Vandra"/>
          </rPr>
          <t>Romania
New Rev.2 recvd Nov-27-25 for The SSDO tool - changing SS tube back to Alum- Bom It# 3, 4</t>
        </r>
      </text>
    </comment>
    <comment ref="O52" authorId="0">
      <text>
        <r>
          <rPr>
            <b/>
            <sz val="11"/>
            <color indexed="81"/>
            <rFont val="Vandra"/>
          </rPr>
          <t>1st Milestone   35%   Inv# 52661
2nd Milestone   15%  Iv# 52993</t>
        </r>
      </text>
    </comment>
    <comment ref="K53" authorId="0">
      <text>
        <r>
          <rPr>
            <b/>
            <sz val="12"/>
            <color indexed="81"/>
            <rFont val="Vandra"/>
          </rPr>
          <t>Nov-18-25 recvd confirmation from David to proceed with Required R/W per Quote # DW-251111</t>
        </r>
      </text>
    </comment>
    <comment ref="L53" authorId="0">
      <text>
        <r>
          <rPr>
            <b/>
            <sz val="12"/>
            <color indexed="81"/>
            <rFont val="Vandra"/>
          </rPr>
          <t>Romania</t>
        </r>
      </text>
    </comment>
    <comment ref="L54" authorId="0">
      <text>
        <r>
          <rPr>
            <b/>
            <sz val="12"/>
            <color indexed="81"/>
            <rFont val="Vandra"/>
          </rPr>
          <t>Romania</t>
        </r>
      </text>
    </comment>
    <comment ref="L56" authorId="0">
      <text>
        <r>
          <rPr>
            <b/>
            <sz val="12"/>
            <color indexed="81"/>
            <rFont val="Vandra"/>
          </rPr>
          <t>Qinshan- New Rev.2- Revcd June-11-25</t>
        </r>
      </text>
    </comment>
    <comment ref="O56" authorId="0">
      <text>
        <r>
          <rPr>
            <b/>
            <sz val="11"/>
            <color indexed="81"/>
            <rFont val="Vandra"/>
          </rPr>
          <t>1st Milestone: 35 %   Inv# 52662
2nd Milestone15%     Inv# 52994</t>
        </r>
      </text>
    </comment>
    <comment ref="K57" authorId="0">
      <text>
        <r>
          <rPr>
            <b/>
            <sz val="12"/>
            <color indexed="81"/>
            <rFont val="Vandra"/>
          </rPr>
          <t xml:space="preserve">Nov-18-25 recvd confirmation from David to proceed with Required R/W per Quote # DW-251110-Rev-1
</t>
        </r>
      </text>
    </comment>
    <comment ref="L57" authorId="0">
      <text>
        <r>
          <rPr>
            <b/>
            <sz val="12"/>
            <color indexed="81"/>
            <rFont val="Vandra"/>
          </rPr>
          <t>Qinshan</t>
        </r>
      </text>
    </comment>
    <comment ref="L58" authorId="0">
      <text>
        <r>
          <rPr>
            <b/>
            <sz val="12"/>
            <color indexed="81"/>
            <rFont val="Vandra"/>
          </rPr>
          <t>Qinshan</t>
        </r>
      </text>
    </comment>
    <comment ref="C63" authorId="0">
      <text>
        <r>
          <rPr>
            <b/>
            <sz val="11"/>
            <color indexed="81"/>
            <rFont val="Vandra"/>
          </rPr>
          <t xml:space="preserve">made for TMU , but Metonics will be paying per Olivier May-2-25
</t>
        </r>
      </text>
    </comment>
    <comment ref="K69" authorId="0">
      <text>
        <r>
          <rPr>
            <b/>
            <sz val="12"/>
            <color indexed="81"/>
            <rFont val="Vandra"/>
          </rPr>
          <t xml:space="preserve">new pricing reflects discount given for both RT79 &amp; RT 98 projects </t>
        </r>
      </text>
    </comment>
    <comment ref="L69" authorId="0">
      <text>
        <r>
          <rPr>
            <b/>
            <sz val="12"/>
            <color indexed="81"/>
            <rFont val="Vandra"/>
          </rPr>
          <t>Romania</t>
        </r>
      </text>
    </comment>
    <comment ref="O69" authorId="0">
      <text>
        <r>
          <rPr>
            <b/>
            <sz val="11"/>
            <color indexed="81"/>
            <rFont val="Vandra"/>
          </rPr>
          <t>1st Milestone  30%   Inv# 52699
2nd Milestone 15 %  Inv# 52863</t>
        </r>
      </text>
    </comment>
    <comment ref="P69" authorId="0">
      <text>
        <r>
          <rPr>
            <b/>
            <sz val="12"/>
            <color indexed="81"/>
            <rFont val="Vandra"/>
          </rPr>
          <t xml:space="preserve">Original PO Date was Oct-17-2025, but recvd PO Rev.2- on Mar-19-2025-  added RT 98 PO with discounts so the delivery date updated to Nov-24-25
</t>
        </r>
      </text>
    </comment>
    <comment ref="L70" authorId="0">
      <text>
        <r>
          <rPr>
            <b/>
            <sz val="12"/>
            <color indexed="81"/>
            <rFont val="Vandra"/>
          </rPr>
          <t>Romania</t>
        </r>
      </text>
    </comment>
    <comment ref="P70" authorId="0">
      <text>
        <r>
          <rPr>
            <b/>
            <sz val="12"/>
            <color indexed="81"/>
            <rFont val="Vandra"/>
          </rPr>
          <t xml:space="preserve">Original PO Date was Oct-17-2025, but recvd PO Rev.2- on Mar-19-2025-  added RT 98 PO with discounts so the delivery date updated to Nov-24-25
</t>
        </r>
      </text>
    </comment>
    <comment ref="L71" authorId="0">
      <text>
        <r>
          <rPr>
            <b/>
            <sz val="12"/>
            <color indexed="81"/>
            <rFont val="Vandra"/>
          </rPr>
          <t>Romania</t>
        </r>
      </text>
    </comment>
    <comment ref="P71" authorId="0">
      <text>
        <r>
          <rPr>
            <b/>
            <sz val="12"/>
            <color indexed="81"/>
            <rFont val="Vandra"/>
          </rPr>
          <t xml:space="preserve">Original PO Date was Oct-17-2025, but recvd PO Rev.2- on Mar-19-2025-  added RT 98 PO with discounts so the delivery date updated to Nov-24-25
</t>
        </r>
      </text>
    </comment>
    <comment ref="L72" authorId="0">
      <text>
        <r>
          <rPr>
            <b/>
            <sz val="12"/>
            <color indexed="81"/>
            <rFont val="Vandra"/>
          </rPr>
          <t>Romania</t>
        </r>
      </text>
    </comment>
    <comment ref="P72" authorId="0">
      <text>
        <r>
          <rPr>
            <b/>
            <sz val="12"/>
            <color indexed="81"/>
            <rFont val="Vandra"/>
          </rPr>
          <t xml:space="preserve">Original PO Date was Oct-17-2025, but recvd PO Rev.2- on Mar-19-2025-  added RT 98 PO with discounts so the delivery date updated to Nov-24-25
</t>
        </r>
      </text>
    </comment>
    <comment ref="L73" authorId="0">
      <text>
        <r>
          <rPr>
            <b/>
            <sz val="12"/>
            <color indexed="81"/>
            <rFont val="Vandra"/>
          </rPr>
          <t>Romania</t>
        </r>
      </text>
    </comment>
    <comment ref="P73" authorId="0">
      <text>
        <r>
          <rPr>
            <b/>
            <sz val="12"/>
            <color indexed="81"/>
            <rFont val="Vandra"/>
          </rPr>
          <t xml:space="preserve">Original PO Date was Oct-17-2025, but recvd PO Rev.2- on Mar-19-2025-  added RT 98 PO with discounts so the delivery date updated to Nov-24-25
</t>
        </r>
      </text>
    </comment>
    <comment ref="L74" authorId="0">
      <text>
        <r>
          <rPr>
            <b/>
            <sz val="12"/>
            <color indexed="81"/>
            <rFont val="Vandra"/>
          </rPr>
          <t>Romania</t>
        </r>
      </text>
    </comment>
    <comment ref="P74" authorId="0">
      <text>
        <r>
          <rPr>
            <b/>
            <sz val="12"/>
            <color indexed="81"/>
            <rFont val="Vandra"/>
          </rPr>
          <t xml:space="preserve">Original PO Date was Oct-17-2025, but recvd PO Rev.2- on Mar-19-2025-  added RT 98 PO with discounts so the delivery date updated to Nov-24-25
</t>
        </r>
      </text>
    </comment>
    <comment ref="L75" authorId="0">
      <text>
        <r>
          <rPr>
            <b/>
            <sz val="12"/>
            <color indexed="81"/>
            <rFont val="Vandra"/>
          </rPr>
          <t>Romania</t>
        </r>
      </text>
    </comment>
    <comment ref="P75" authorId="0">
      <text>
        <r>
          <rPr>
            <b/>
            <sz val="12"/>
            <color indexed="81"/>
            <rFont val="Vandra"/>
          </rPr>
          <t xml:space="preserve">Original PO Date was Oct-17-2025, but recvd PO Rev.2- on Mar-19-2025-  added RT 98 PO with discounts so the delivery date updated to Nov-24-25
</t>
        </r>
      </text>
    </comment>
    <comment ref="L76" authorId="0">
      <text>
        <r>
          <rPr>
            <b/>
            <sz val="12"/>
            <color indexed="81"/>
            <rFont val="Vandra"/>
          </rPr>
          <t>Romania</t>
        </r>
      </text>
    </comment>
    <comment ref="P76" authorId="0">
      <text>
        <r>
          <rPr>
            <b/>
            <sz val="12"/>
            <color indexed="81"/>
            <rFont val="Vandra"/>
          </rPr>
          <t xml:space="preserve">Original PO Date was Oct-17-2025, but recvd PO Rev.2- on Mar-19-2025-  added RT 98 PO with discounts so the delivery date updated to Nov-24-25
</t>
        </r>
      </text>
    </comment>
    <comment ref="L77" authorId="0">
      <text>
        <r>
          <rPr>
            <b/>
            <sz val="12"/>
            <color indexed="81"/>
            <rFont val="Vandra"/>
          </rPr>
          <t>Romania</t>
        </r>
      </text>
    </comment>
    <comment ref="P77" authorId="0">
      <text>
        <r>
          <rPr>
            <b/>
            <sz val="12"/>
            <color indexed="81"/>
            <rFont val="Vandra"/>
          </rPr>
          <t xml:space="preserve">Original PO Date was Oct-17-2025, but recvd PO Rev.2- on Mar-19-2025-  added RT 98 PO with discounts so the delivery date updated to Nov-24-25
</t>
        </r>
      </text>
    </comment>
    <comment ref="K79" authorId="0">
      <text>
        <r>
          <rPr>
            <b/>
            <sz val="12"/>
            <color indexed="81"/>
            <rFont val="Vandra"/>
          </rPr>
          <t xml:space="preserve">new pricing reflects discount given for both RT79 &amp; RT 98 projects </t>
        </r>
      </text>
    </comment>
    <comment ref="L79" authorId="0">
      <text>
        <r>
          <rPr>
            <b/>
            <sz val="12"/>
            <color indexed="81"/>
            <rFont val="Vandra"/>
          </rPr>
          <t>Qinshan</t>
        </r>
      </text>
    </comment>
    <comment ref="O79" authorId="0">
      <text>
        <r>
          <rPr>
            <b/>
            <sz val="11"/>
            <color indexed="81"/>
            <rFont val="Vandra"/>
          </rPr>
          <t>1st Milestone   30%   Inv# 52700
2nd Milestone   15%  Inv# 52864</t>
        </r>
      </text>
    </comment>
    <comment ref="P79" authorId="0">
      <text>
        <r>
          <rPr>
            <b/>
            <sz val="12"/>
            <color indexed="81"/>
            <rFont val="Vandra"/>
          </rPr>
          <t xml:space="preserve">Original PO Date was Oct-17-2025, but recvd PO Rev.2- on Mar-19-2025-  added RT 98 PO with discounts so the delivery date updated to Nov-24-25
</t>
        </r>
      </text>
    </comment>
    <comment ref="L80" authorId="0">
      <text>
        <r>
          <rPr>
            <b/>
            <sz val="12"/>
            <color indexed="81"/>
            <rFont val="Vandra"/>
          </rPr>
          <t>Qinshan</t>
        </r>
      </text>
    </comment>
    <comment ref="P80" authorId="0">
      <text>
        <r>
          <rPr>
            <b/>
            <sz val="12"/>
            <color indexed="81"/>
            <rFont val="Vandra"/>
          </rPr>
          <t xml:space="preserve">Original PO Date was Oct-17-2025, but recvd PO Rev.2- on Mar-19-2025-  added RT 98 PO with discounts so the delivery date updated to Nov-24-25
</t>
        </r>
      </text>
    </comment>
    <comment ref="L81" authorId="0">
      <text>
        <r>
          <rPr>
            <b/>
            <sz val="12"/>
            <color indexed="81"/>
            <rFont val="Vandra"/>
          </rPr>
          <t>Qinshan</t>
        </r>
      </text>
    </comment>
    <comment ref="P81" authorId="0">
      <text>
        <r>
          <rPr>
            <b/>
            <sz val="12"/>
            <color indexed="81"/>
            <rFont val="Vandra"/>
          </rPr>
          <t xml:space="preserve">Original PO Date was Oct-17-2025, but recvd PO Rev.2- on Mar-19-2025-  added RT 98 PO with discounts so the delivery date updated to Nov-24-25
</t>
        </r>
      </text>
    </comment>
    <comment ref="L82" authorId="0">
      <text>
        <r>
          <rPr>
            <b/>
            <sz val="12"/>
            <color indexed="81"/>
            <rFont val="Vandra"/>
          </rPr>
          <t>Qinshan</t>
        </r>
      </text>
    </comment>
    <comment ref="P82" authorId="0">
      <text>
        <r>
          <rPr>
            <b/>
            <sz val="12"/>
            <color indexed="81"/>
            <rFont val="Vandra"/>
          </rPr>
          <t xml:space="preserve">Original PO Date was Oct-17-2025, but recvd PO Rev.2- on Mar-19-2025-  added RT 98 PO with discounts so the delivery date updated to Nov-24-25
</t>
        </r>
      </text>
    </comment>
    <comment ref="L83" authorId="0">
      <text>
        <r>
          <rPr>
            <b/>
            <sz val="12"/>
            <color indexed="81"/>
            <rFont val="Vandra"/>
          </rPr>
          <t>Qinshan</t>
        </r>
      </text>
    </comment>
    <comment ref="P83" authorId="0">
      <text>
        <r>
          <rPr>
            <b/>
            <sz val="12"/>
            <color indexed="81"/>
            <rFont val="Vandra"/>
          </rPr>
          <t xml:space="preserve">Original PO Date was Oct-17-2025, but recvd PO Rev.2- on Mar-19-2025-  added RT 98 PO with discounts so the delivery date updated to Nov-24-25
</t>
        </r>
      </text>
    </comment>
    <comment ref="L84" authorId="0">
      <text>
        <r>
          <rPr>
            <b/>
            <sz val="12"/>
            <color indexed="81"/>
            <rFont val="Vandra"/>
          </rPr>
          <t>Qinshan</t>
        </r>
      </text>
    </comment>
    <comment ref="P84" authorId="0">
      <text>
        <r>
          <rPr>
            <b/>
            <sz val="12"/>
            <color indexed="81"/>
            <rFont val="Vandra"/>
          </rPr>
          <t xml:space="preserve">Original PO Date was Oct-17-2025, but recvd PO Rev.2- on Mar-19-2025-  added RT 98 PO with discounts so the delivery date updated to Nov-24-25
</t>
        </r>
      </text>
    </comment>
    <comment ref="L85" authorId="0">
      <text>
        <r>
          <rPr>
            <b/>
            <sz val="12"/>
            <color indexed="81"/>
            <rFont val="Vandra"/>
          </rPr>
          <t>Qinshan</t>
        </r>
      </text>
    </comment>
    <comment ref="P85" authorId="0">
      <text>
        <r>
          <rPr>
            <b/>
            <sz val="12"/>
            <color indexed="81"/>
            <rFont val="Vandra"/>
          </rPr>
          <t xml:space="preserve">Original PO Date was Oct-17-2025, but recvd PO Rev.2- on Mar-19-2025-  added RT 98 PO with discounts so the delivery date updated to Nov-24-25
</t>
        </r>
      </text>
    </comment>
    <comment ref="L86" authorId="0">
      <text>
        <r>
          <rPr>
            <b/>
            <sz val="12"/>
            <color indexed="81"/>
            <rFont val="Vandra"/>
          </rPr>
          <t>Qinshan</t>
        </r>
      </text>
    </comment>
    <comment ref="P86" authorId="0">
      <text>
        <r>
          <rPr>
            <b/>
            <sz val="12"/>
            <color indexed="81"/>
            <rFont val="Vandra"/>
          </rPr>
          <t xml:space="preserve">Original PO Date was Oct-17-2025, but recvd PO Rev.2- on Mar-19-2025-  added RT 98 PO with discounts so the delivery date updated to Nov-24-25
</t>
        </r>
      </text>
    </comment>
    <comment ref="L87" authorId="0">
      <text>
        <r>
          <rPr>
            <b/>
            <sz val="12"/>
            <color indexed="81"/>
            <rFont val="Vandra"/>
          </rPr>
          <t>Qinshan</t>
        </r>
      </text>
    </comment>
    <comment ref="P87" authorId="0">
      <text>
        <r>
          <rPr>
            <b/>
            <sz val="12"/>
            <color indexed="81"/>
            <rFont val="Vandra"/>
          </rPr>
          <t xml:space="preserve">Original PO Date was Oct-17-2025, but recvd PO Rev.2- on Mar-19-2025-  added RT 98 PO with discounts so the delivery date updated to Nov-24-25
</t>
        </r>
      </text>
    </comment>
    <comment ref="O89" authorId="0">
      <text>
        <r>
          <rPr>
            <b/>
            <sz val="11"/>
            <color indexed="81"/>
            <rFont val="Vandra"/>
          </rPr>
          <t>1st Milestone  30 % Inv# 52759</t>
        </r>
      </text>
    </comment>
    <comment ref="K90" authorId="0">
      <text>
        <r>
          <rPr>
            <b/>
            <sz val="12"/>
            <color indexed="81"/>
            <rFont val="Vandra"/>
          </rPr>
          <t>Additional Requirement NOT Quoted on original Quote-
Nov-16-25 Submitted Quote# LP-251116- to cover cost of Trolley Frame with a 12-15 Weeks Delivery  ( New Revised Delivery for this item would be Mar-13-26</t>
        </r>
      </text>
    </comment>
    <comment ref="L98" authorId="0">
      <text>
        <r>
          <rPr>
            <b/>
            <sz val="11"/>
            <color indexed="81"/>
            <rFont val="Vandra"/>
          </rPr>
          <t xml:space="preserve">I submitted all drawings for this order
May-22-25- Olivier asked Sam to reprint larger drawings and restamp
</t>
        </r>
      </text>
    </comment>
    <comment ref="O98" authorId="0">
      <text>
        <r>
          <rPr>
            <b/>
            <sz val="11"/>
            <color indexed="81"/>
            <rFont val="Vandra"/>
          </rPr>
          <t>1st Milestone  30%  Inv# 52946</t>
        </r>
      </text>
    </comment>
    <comment ref="E99" authorId="0">
      <text>
        <r>
          <rPr>
            <b/>
            <sz val="11"/>
            <color indexed="81"/>
            <rFont val="Vandra"/>
          </rPr>
          <t>Feb-12-26- needs to fix .236 Hole</t>
        </r>
      </text>
    </comment>
    <comment ref="K101" authorId="0">
      <text>
        <r>
          <rPr>
            <b/>
            <sz val="11"/>
            <color indexed="81"/>
            <rFont val="Vandra"/>
          </rPr>
          <t>includes cost for Dwg# RT-87590-71400-102-1-DD-B- Ta[  $ 330.00 ea x 3</t>
        </r>
      </text>
    </comment>
    <comment ref="L101" authorId="0">
      <text>
        <r>
          <rPr>
            <b/>
            <sz val="11"/>
            <color indexed="81"/>
            <rFont val="Vandra"/>
          </rPr>
          <t>I submitted All Drawing for this order
May-22-25- Olivier asked Sam to reprint larger drawings and re-stamp.
New Rev.1 Recvd Aug-6-25 to include cost of Tabs</t>
        </r>
      </text>
    </comment>
    <comment ref="L103" authorId="0">
      <text>
        <r>
          <rPr>
            <b/>
            <sz val="11"/>
            <color indexed="81"/>
            <rFont val="Vandra"/>
          </rPr>
          <t>Romania
Rev-1 Recvd Dec-17-25- Additn Epoxy Gel</t>
        </r>
      </text>
    </comment>
    <comment ref="O103" authorId="0">
      <text>
        <r>
          <rPr>
            <b/>
            <sz val="11"/>
            <color indexed="81"/>
            <rFont val="Vandra"/>
          </rPr>
          <t>1 st- Milestone   30%  Inv# 52865</t>
        </r>
      </text>
    </comment>
    <comment ref="L105" authorId="0">
      <text>
        <r>
          <rPr>
            <b/>
            <sz val="11"/>
            <color indexed="81"/>
            <rFont val="Vandra"/>
          </rPr>
          <t>Romania</t>
        </r>
      </text>
    </comment>
    <comment ref="O105" authorId="0">
      <text>
        <r>
          <rPr>
            <b/>
            <sz val="11"/>
            <color indexed="81"/>
            <rFont val="Vandra"/>
          </rPr>
          <t>1st Milestone  30%   Inv# 52866</t>
        </r>
      </text>
    </comment>
    <comment ref="P105" authorId="0">
      <text>
        <r>
          <rPr>
            <b/>
            <sz val="11"/>
            <color indexed="81"/>
            <rFont val="Vandra"/>
          </rPr>
          <t xml:space="preserve">Delivery Date for Candu - Changed from Jan-26-26 to Nov-30-25
</t>
        </r>
      </text>
    </comment>
    <comment ref="L109" authorId="0">
      <text>
        <r>
          <rPr>
            <b/>
            <sz val="11"/>
            <color indexed="81"/>
            <rFont val="Vandra"/>
          </rPr>
          <t>Qinshan</t>
        </r>
      </text>
    </comment>
    <comment ref="D114" authorId="0">
      <text>
        <r>
          <rPr>
            <b/>
            <sz val="11"/>
            <color indexed="81"/>
            <rFont val="Vandra"/>
          </rPr>
          <t>20- pcs shipped
24 pcs</t>
        </r>
      </text>
    </comment>
    <comment ref="L114" authorId="0">
      <text>
        <r>
          <rPr>
            <b/>
            <sz val="11"/>
            <color indexed="81"/>
            <rFont val="Vandra"/>
          </rPr>
          <t>Rev.1- Revd Aug-8-25</t>
        </r>
      </text>
    </comment>
    <comment ref="M114" authorId="0">
      <text>
        <r>
          <rPr>
            <b/>
            <sz val="11"/>
            <color indexed="81"/>
            <rFont val="Vandra"/>
          </rPr>
          <t>20- pcs  PS# 44650</t>
        </r>
      </text>
    </comment>
    <comment ref="N114" authorId="0">
      <text>
        <r>
          <rPr>
            <b/>
            <sz val="11"/>
            <color indexed="81"/>
            <rFont val="Vandra"/>
          </rPr>
          <t>20- pcs shpped</t>
        </r>
      </text>
    </comment>
    <comment ref="O114" authorId="0">
      <text>
        <r>
          <rPr>
            <b/>
            <sz val="9"/>
            <color indexed="81"/>
            <rFont val="Tahoma"/>
            <family val="2"/>
          </rPr>
          <t>MP:</t>
        </r>
        <r>
          <rPr>
            <sz val="9"/>
            <color indexed="81"/>
            <rFont val="Tahoma"/>
            <family val="2"/>
          </rPr>
          <t xml:space="preserve">
</t>
        </r>
        <r>
          <rPr>
            <sz val="11"/>
            <color indexed="81"/>
            <rFont val="Tahoma"/>
            <family val="2"/>
          </rPr>
          <t xml:space="preserve">Inv 52915  20 pcs </t>
        </r>
      </text>
    </comment>
    <comment ref="Q114" authorId="0">
      <text>
        <r>
          <rPr>
            <b/>
            <sz val="11"/>
            <color indexed="81"/>
            <rFont val="Vandra"/>
          </rPr>
          <t xml:space="preserve">20- pcs shipped   Aug-25-25
</t>
        </r>
      </text>
    </comment>
    <comment ref="L116" authorId="0">
      <text>
        <r>
          <rPr>
            <b/>
            <sz val="11"/>
            <color indexed="81"/>
            <rFont val="Vandra"/>
          </rPr>
          <t>Romania</t>
        </r>
      </text>
    </comment>
    <comment ref="O116" authorId="0">
      <text>
        <r>
          <rPr>
            <b/>
            <sz val="11"/>
            <color indexed="81"/>
            <rFont val="Vandra"/>
          </rPr>
          <t xml:space="preserve">1st Milestone 30% - Inv# 52867
2nd Milestone 30%  Inv# 53180
</t>
        </r>
      </text>
    </comment>
    <comment ref="L117" authorId="0">
      <text>
        <r>
          <rPr>
            <b/>
            <sz val="11"/>
            <color indexed="81"/>
            <rFont val="Vandra"/>
          </rPr>
          <t>Romania</t>
        </r>
      </text>
    </comment>
    <comment ref="P117" authorId="0">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L119" authorId="0">
      <text>
        <r>
          <rPr>
            <b/>
            <sz val="11"/>
            <color indexed="81"/>
            <rFont val="Vandra"/>
          </rPr>
          <t>Called Prime Mold Jan-22-26.  parts are still out for laser welding, should be completed by Mid next week, still will have to touch up with EDM and expected by of before the end of Feb-5-6</t>
        </r>
      </text>
    </comment>
    <comment ref="P119" authorId="0">
      <text>
        <r>
          <rPr>
            <b/>
            <sz val="11"/>
            <color indexed="81"/>
            <rFont val="Vandra"/>
          </rPr>
          <t xml:space="preserve">Ocr-28-25-  Gus said this part is completed-
Original delivery date was Oct-15-25-  Pushed out to Nov-21-25
</t>
        </r>
      </text>
    </comment>
    <comment ref="L121" authorId="0">
      <text>
        <r>
          <rPr>
            <b/>
            <sz val="11"/>
            <color indexed="81"/>
            <rFont val="Vandra"/>
          </rPr>
          <t>Qinshan
Sanchia- Said Ignore the Original Version of PO sent. July-22-25-  Newer Version will be sent shortly</t>
        </r>
      </text>
    </comment>
    <comment ref="A126" authorId="0">
      <text/>
    </comment>
    <comment ref="L126" authorId="0">
      <text>
        <r>
          <rPr>
            <b/>
            <sz val="11"/>
            <color indexed="81"/>
            <rFont val="Vandra"/>
          </rPr>
          <t>Additional Parts requested, on Quote# ME-251127 for additional Qty of 3 pcs req'd</t>
        </r>
      </text>
    </comment>
    <comment ref="L132" authorId="0">
      <text>
        <r>
          <rPr>
            <b/>
            <sz val="11"/>
            <color indexed="81"/>
            <rFont val="Vandra"/>
          </rPr>
          <t>Group 2G for Qinshan</t>
        </r>
      </text>
    </comment>
    <comment ref="D136" authorId="0">
      <text>
        <r>
          <rPr>
            <b/>
            <sz val="11"/>
            <color indexed="81"/>
            <rFont val="Vandra"/>
          </rPr>
          <t>recvd- 6 large</t>
        </r>
      </text>
    </comment>
    <comment ref="L136" authorId="0">
      <text>
        <r>
          <rPr>
            <b/>
            <sz val="11"/>
            <color indexed="81"/>
            <rFont val="Vandra"/>
          </rPr>
          <t>Romania- SA and EF Transport Containers
Nov-5-25- PO Rev.1 Recvd</t>
        </r>
      </text>
    </comment>
    <comment ref="O136" authorId="0">
      <text>
        <r>
          <rPr>
            <b/>
            <sz val="11"/>
            <color indexed="81"/>
            <rFont val="Vandra"/>
          </rPr>
          <t>1st Milestone 25%  Inv# 53057</t>
        </r>
      </text>
    </comment>
    <comment ref="D137" authorId="0">
      <text>
        <r>
          <rPr>
            <b/>
            <sz val="11"/>
            <color indexed="81"/>
            <rFont val="Vandra"/>
          </rPr>
          <t>recvd 7- small
recvd 7- small on Nov 14-25, 2- pcs extra of what was quoted and on the PO</t>
        </r>
      </text>
    </comment>
    <comment ref="L137" authorId="0">
      <text>
        <r>
          <rPr>
            <b/>
            <sz val="11"/>
            <color indexed="81"/>
            <rFont val="Vandra"/>
          </rPr>
          <t>Romania- SA and EF Transport Containers</t>
        </r>
      </text>
    </comment>
    <comment ref="P139" authorId="0">
      <text>
        <r>
          <rPr>
            <b/>
            <sz val="11"/>
            <color indexed="81"/>
            <rFont val="Vandra"/>
          </rPr>
          <t>Aug-1-25 delivery date changed due to long lead 6 Weeks Unistrut mat;l</t>
        </r>
      </text>
    </comment>
    <comment ref="L141" authorId="0">
      <text>
        <r>
          <rPr>
            <b/>
            <sz val="11"/>
            <color indexed="81"/>
            <rFont val="Vandra"/>
          </rPr>
          <t>Qinshan-  Same ase J# 71852 &amp; 71853
Bore Gauge- ordered by Candu F/I to be  delivered to RTD per e-mail Oct-1-25</t>
        </r>
      </text>
    </comment>
    <comment ref="L144" authorId="0">
      <text>
        <r>
          <rPr>
            <b/>
            <sz val="11"/>
            <color indexed="81"/>
            <rFont val="Vandra"/>
          </rPr>
          <t xml:space="preserve">Qinshan- New Rev
2 Recve  Aug-5-25
</t>
        </r>
      </text>
    </comment>
    <comment ref="E162" authorId="0">
      <text>
        <r>
          <rPr>
            <b/>
            <sz val="11"/>
            <color indexed="81"/>
            <rFont val="Vandra"/>
          </rPr>
          <t>Feb-12-26- Not on table</t>
        </r>
      </text>
    </comment>
    <comment ref="O162" authorId="0">
      <text>
        <r>
          <rPr>
            <b/>
            <sz val="11"/>
            <color indexed="81"/>
            <rFont val="Vandra"/>
          </rPr>
          <t>1st Milestone   30%   inv# 52950
2nd Milestone   25%  Inv# 53178</t>
        </r>
      </text>
    </comment>
    <comment ref="P162" authorId="0">
      <text>
        <r>
          <rPr>
            <b/>
            <sz val="11"/>
            <color indexed="81"/>
            <rFont val="Vandra"/>
          </rPr>
          <t>Romania-  Delivery Date promised by Gus , Steve &amp; Olivier</t>
        </r>
      </text>
    </comment>
    <comment ref="O166" authorId="0">
      <text>
        <r>
          <rPr>
            <sz val="12"/>
            <color indexed="81"/>
            <rFont val="Tahoma"/>
            <family val="2"/>
          </rPr>
          <t>1st Milestone 30%  Inv# 53177</t>
        </r>
      </text>
    </comment>
    <comment ref="P166" authorId="0">
      <text>
        <r>
          <rPr>
            <b/>
            <sz val="11"/>
            <color indexed="81"/>
            <rFont val="Vandra"/>
          </rPr>
          <t>Original Date Jan-23-25,  Date revised on Aug-14-25-  To Feb-16-26</t>
        </r>
      </text>
    </comment>
    <comment ref="E167" authorId="0">
      <text>
        <r>
          <rPr>
            <b/>
            <sz val="11"/>
            <color indexed="81"/>
            <rFont val="Vandra"/>
          </rPr>
          <t>Dec-31-25- Additional part ordered  on PO rev.1</t>
        </r>
      </text>
    </comment>
    <comment ref="E169" authorId="0">
      <text>
        <r>
          <rPr>
            <b/>
            <sz val="11"/>
            <color indexed="81"/>
            <rFont val="Vandra"/>
          </rPr>
          <t>Feb-12-26- Mat;l issue - should be 1"-5 ACME instead  of 1.1/2"- Need New Materials</t>
        </r>
      </text>
    </comment>
    <comment ref="B174" authorId="0">
      <text>
        <r>
          <rPr>
            <b/>
            <sz val="11"/>
            <color indexed="81"/>
            <rFont val="Vandra"/>
          </rPr>
          <t>completed</t>
        </r>
      </text>
    </comment>
    <comment ref="L176" authorId="0">
      <text>
        <r>
          <rPr>
            <b/>
            <sz val="11"/>
            <color indexed="81"/>
            <rFont val="Vandra"/>
          </rPr>
          <t>Romania</t>
        </r>
      </text>
    </comment>
    <comment ref="O176" authorId="0">
      <text>
        <r>
          <rPr>
            <b/>
            <sz val="11"/>
            <color indexed="81"/>
            <rFont val="Vandra"/>
          </rPr>
          <t xml:space="preserve">1st Milestone  30%   </t>
        </r>
        <r>
          <rPr>
            <b/>
            <i/>
            <sz val="11"/>
            <color indexed="81"/>
            <rFont val="Vandra"/>
          </rPr>
          <t>nv# 53179</t>
        </r>
      </text>
    </comment>
    <comment ref="P176" authorId="0">
      <text>
        <r>
          <rPr>
            <b/>
            <sz val="11"/>
            <color indexed="81"/>
            <rFont val="Vandra"/>
          </rPr>
          <t>Delivery date reduced by 5 weeks per Olivier from 37 to 32 wks per E-mail dated Aug-15-25</t>
        </r>
      </text>
    </comment>
    <comment ref="P177" authorId="0">
      <text>
        <r>
          <rPr>
            <b/>
            <sz val="11"/>
            <color indexed="81"/>
            <rFont val="Vandra"/>
          </rPr>
          <t>Delivery date reduced by 5 weeks per Olivier from 37 to 32 wks per E-mail dated Aug-15-25</t>
        </r>
      </text>
    </comment>
    <comment ref="P178" authorId="0">
      <text>
        <r>
          <rPr>
            <b/>
            <sz val="11"/>
            <color indexed="81"/>
            <rFont val="Vandra"/>
          </rPr>
          <t>Delivery date reduced by 5 weeks per Olivier from 37 to 32 wks per E-mail dated Aug-15-25</t>
        </r>
      </text>
    </comment>
    <comment ref="P179" authorId="0">
      <text>
        <r>
          <rPr>
            <b/>
            <sz val="11"/>
            <color indexed="81"/>
            <rFont val="Vandra"/>
          </rPr>
          <t>Delivery date reduced by 5 weeks per Olivier from 37 to 32 wks per E-mail dated Aug-15-25</t>
        </r>
      </text>
    </comment>
    <comment ref="P180" authorId="0">
      <text>
        <r>
          <rPr>
            <b/>
            <sz val="11"/>
            <color indexed="81"/>
            <rFont val="Vandra"/>
          </rPr>
          <t>Delivery date reduced by 5 weeks per Olivier from 37 to 32 wks per E-mail dated Aug-15-25</t>
        </r>
      </text>
    </comment>
    <comment ref="P181" authorId="0">
      <text>
        <r>
          <rPr>
            <b/>
            <sz val="11"/>
            <color indexed="81"/>
            <rFont val="Vandra"/>
          </rPr>
          <t>Delivery date reduced by 5 weeks per Olivier from 37 to 32 wks per E-mail dated Aug-15-25</t>
        </r>
      </text>
    </comment>
    <comment ref="P182" authorId="0">
      <text>
        <r>
          <rPr>
            <b/>
            <sz val="11"/>
            <color indexed="81"/>
            <rFont val="Vandra"/>
          </rPr>
          <t>Delivery date reduced by 5 weeks per Olivier from 37 to 32 wks per E-mail dated Aug-15-25</t>
        </r>
      </text>
    </comment>
    <comment ref="P183" authorId="0">
      <text>
        <r>
          <rPr>
            <b/>
            <sz val="11"/>
            <color indexed="81"/>
            <rFont val="Vandra"/>
          </rPr>
          <t>Delivery date reduced by 5 weeks per Olivier from 37 to 32 wks per E-mail dated Aug-15-25</t>
        </r>
      </text>
    </comment>
    <comment ref="P184" authorId="0">
      <text>
        <r>
          <rPr>
            <b/>
            <sz val="11"/>
            <color indexed="81"/>
            <rFont val="Vandra"/>
          </rPr>
          <t>Delivery date reduced by 5 weeks per Olivier from 37 to 32 wks per E-mail dated Aug-15-25</t>
        </r>
      </text>
    </comment>
    <comment ref="P185" authorId="0">
      <text>
        <r>
          <rPr>
            <b/>
            <sz val="11"/>
            <color indexed="81"/>
            <rFont val="Vandra"/>
          </rPr>
          <t>Delivery date reduced by 5 weeks per Olivier from 37 to 32 wks per E-mail dated Aug-15-25</t>
        </r>
      </text>
    </comment>
    <comment ref="P186" authorId="0">
      <text>
        <r>
          <rPr>
            <b/>
            <sz val="11"/>
            <color indexed="81"/>
            <rFont val="Vandra"/>
          </rPr>
          <t>Delivery date reduced by 5 weeks per Olivier from 37 to 32 wks per E-mail dated Aug-15-25</t>
        </r>
      </text>
    </comment>
    <comment ref="P187" authorId="0">
      <text>
        <r>
          <rPr>
            <b/>
            <sz val="11"/>
            <color indexed="81"/>
            <rFont val="Vandra"/>
          </rPr>
          <t>Delivery date reduced by 5 weeks per Olivier from 37 to 32 wks per E-mail dated Aug-15-25</t>
        </r>
      </text>
    </comment>
    <comment ref="P188" authorId="0">
      <text>
        <r>
          <rPr>
            <b/>
            <sz val="11"/>
            <color indexed="81"/>
            <rFont val="Vandra"/>
          </rPr>
          <t>Delivery date reduced by 5 weeks per Olivier from 37 to 32 wks per E-mail dated Aug-15-25</t>
        </r>
      </text>
    </comment>
    <comment ref="P189" authorId="0">
      <text>
        <r>
          <rPr>
            <b/>
            <sz val="11"/>
            <color indexed="81"/>
            <rFont val="Vandra"/>
          </rPr>
          <t>Delivery date reduced by 5 weeks per Olivier from 37 to 32 wks per E-mail dated Aug-15-25</t>
        </r>
      </text>
    </comment>
    <comment ref="P190" authorId="0">
      <text>
        <r>
          <rPr>
            <b/>
            <sz val="11"/>
            <color indexed="81"/>
            <rFont val="Vandra"/>
          </rPr>
          <t>Delivery date reduced by 5 weeks per Olivier from 37 to 32 wks per E-mail dated Aug-15-25</t>
        </r>
      </text>
    </comment>
    <comment ref="P191" authorId="0">
      <text>
        <r>
          <rPr>
            <b/>
            <sz val="11"/>
            <color indexed="81"/>
            <rFont val="Vandra"/>
          </rPr>
          <t>Delivery date reduced by 5 weeks per Olivier from 37 to 32 wks per E-mail dated Aug-15-25</t>
        </r>
      </text>
    </comment>
    <comment ref="P192" authorId="0">
      <text>
        <r>
          <rPr>
            <b/>
            <sz val="11"/>
            <color indexed="81"/>
            <rFont val="Vandra"/>
          </rPr>
          <t>Delivery date reduced by 5 weeks per Olivier from 37 to 32 wks per E-mail dated Aug-15-25</t>
        </r>
      </text>
    </comment>
    <comment ref="L194" authorId="0">
      <text>
        <r>
          <rPr>
            <b/>
            <sz val="11"/>
            <color indexed="81"/>
            <rFont val="Vandra"/>
          </rPr>
          <t>AS of Jan-8-2026- Parts completed but still waiting to send for B/O, waiting to  gather additional parts</t>
        </r>
      </text>
    </comment>
    <comment ref="P194" authorId="0">
      <text>
        <r>
          <rPr>
            <b/>
            <sz val="12"/>
            <color indexed="81"/>
            <rFont val="Vandra"/>
          </rPr>
          <t>PO Date stated Jan-13-26, but e-mail received stating parts req'd rush.  Spoke to Gus on Nov-19-25 stating that Parts ready for B/O and can be delivered by Dec-9-25</t>
        </r>
      </text>
    </comment>
    <comment ref="Q194" authorId="0">
      <text>
        <r>
          <rPr>
            <b/>
            <sz val="12"/>
            <color indexed="81"/>
            <rFont val="Vandra"/>
          </rPr>
          <t>Shipped Vial Purolator # 335772782173  P/U # 189886628</t>
        </r>
      </text>
    </comment>
    <comment ref="E196" authorId="0">
      <text>
        <r>
          <rPr>
            <b/>
            <sz val="11"/>
            <color indexed="81"/>
            <rFont val="Vandra"/>
          </rPr>
          <t>As per Scope of Work- Do not fabricate  BOM item # 33 per release # RT-ET-07586</t>
        </r>
      </text>
    </comment>
    <comment ref="L196" authorId="0">
      <text>
        <r>
          <rPr>
            <b/>
            <sz val="11"/>
            <color indexed="81"/>
            <rFont val="Vandra"/>
          </rPr>
          <t>Qinshan- Sept-4-25- Sam to print Dwgs for me per Steve request</t>
        </r>
      </text>
    </comment>
    <comment ref="P196" authorId="0">
      <text>
        <r>
          <rPr>
            <b/>
            <sz val="11"/>
            <color indexed="81"/>
            <rFont val="Vandra"/>
          </rPr>
          <t>Sept-15-25-  Date Asked by CANDU from Mar-16-26 to FEB-24-26- no can do</t>
        </r>
      </text>
    </comment>
    <comment ref="P197" authorId="0">
      <text>
        <r>
          <rPr>
            <b/>
            <sz val="11"/>
            <color indexed="81"/>
            <rFont val="Vandra"/>
          </rPr>
          <t>Sept-15-25-  Date Asked by CANDU from Mar-16-27 to FEB-24-27</t>
        </r>
      </text>
    </comment>
    <comment ref="P198" authorId="0">
      <text>
        <r>
          <rPr>
            <b/>
            <sz val="11"/>
            <color indexed="81"/>
            <rFont val="Vandra"/>
          </rPr>
          <t>Sept-15-25-  Date Asked by CANDU from Mar-16-27 to FEB-24-27</t>
        </r>
      </text>
    </comment>
    <comment ref="P199" authorId="0">
      <text>
        <r>
          <rPr>
            <b/>
            <sz val="11"/>
            <color indexed="81"/>
            <rFont val="Vandra"/>
          </rPr>
          <t>Sept-15-25-  Date Asked by CANDU from Mar-16-27 to FEB-24-27</t>
        </r>
      </text>
    </comment>
    <comment ref="P200" authorId="0">
      <text>
        <r>
          <rPr>
            <b/>
            <sz val="11"/>
            <color indexed="81"/>
            <rFont val="Vandra"/>
          </rPr>
          <t>Sept-15-25-  Date Asked by CANDU from Mar-16-27 to FEB-24-27</t>
        </r>
      </text>
    </comment>
    <comment ref="E201" authorId="0">
      <text>
        <r>
          <rPr>
            <b/>
            <sz val="11"/>
            <color indexed="81"/>
            <rFont val="Vandra"/>
          </rPr>
          <t>AS per Scope of Work - DO NOT Quote /Fab the following items :
BOM it #16-16" lift Rig  # RT-ET-07654
BOM It# 17- PT Scribing Tool # RT-ET-07591
BOM It# 19- Roller Support # RT-ET-07669</t>
        </r>
      </text>
    </comment>
    <comment ref="P201" authorId="0">
      <text>
        <r>
          <rPr>
            <b/>
            <sz val="11"/>
            <color indexed="81"/>
            <rFont val="Vandra"/>
          </rPr>
          <t>Sept-15-25-  Date Asked by CANDU from Mar-16-27 to FEB-24-27</t>
        </r>
      </text>
    </comment>
    <comment ref="E202" authorId="0">
      <text>
        <r>
          <rPr>
            <b/>
            <sz val="11"/>
            <color indexed="81"/>
            <rFont val="Vandra"/>
          </rPr>
          <t>Per Scope of work_ Do not Quote/fab
BOM IT!1- Suppt Stand # RT-ET-07682
BOM It#2- Press tube Holder# RT-ET-07577
BOM It #7- PT Location Tool# RT-ET-07590
BOM It# 9- Roller Supt  # RT-ET-07677
BOM It# 10- End Stop Bench # RT-ET-07678
BOM It# 86- End Fitg Clamp# RT-ET-07576</t>
        </r>
      </text>
    </comment>
    <comment ref="J202" authorId="0">
      <text/>
    </comment>
    <comment ref="P202" authorId="0">
      <text>
        <r>
          <rPr>
            <b/>
            <sz val="11"/>
            <color indexed="81"/>
            <rFont val="Vandra"/>
          </rPr>
          <t>Sept-15-25-  Date Asked by CANDU from Mar-16-27 to FEB-24-27</t>
        </r>
      </text>
    </comment>
    <comment ref="E203" authorId="0">
      <text>
        <r>
          <rPr>
            <b/>
            <sz val="11"/>
            <color indexed="81"/>
            <rFont val="Vandra"/>
          </rPr>
          <t>as per Scope of Work Do not Quote/Fab
BOM it# 1- Press. Tube Holding - RT-ET-07577
BOM It# 6- PT Locating    - RT-ET-07590
BOM It# 8- Roller Supt frame - RT-ET-07677
BOM It# 9- End Stop Bench RH- RT-ET-07683
BOM It# 26-31- Supt Stand  RT-RT-07681
BOM it # 80- Ed Fitg clam - RT-ET-07576</t>
        </r>
      </text>
    </comment>
    <comment ref="P203" authorId="0">
      <text>
        <r>
          <rPr>
            <b/>
            <sz val="11"/>
            <color indexed="81"/>
            <rFont val="Vandra"/>
          </rPr>
          <t>Sept-15-25-  Date Asked by CANDU from Mar-16-27 to FEB-24-27</t>
        </r>
      </text>
    </comment>
    <comment ref="P204" authorId="0">
      <text>
        <r>
          <rPr>
            <b/>
            <sz val="11"/>
            <color indexed="81"/>
            <rFont val="Vandra"/>
          </rPr>
          <t>Sept-15-25-  Date Asked by CANDU from Mar-16-27 to FEB-24-27</t>
        </r>
      </text>
    </comment>
    <comment ref="P205" authorId="0">
      <text>
        <r>
          <rPr>
            <b/>
            <sz val="11"/>
            <color indexed="81"/>
            <rFont val="Vandra"/>
          </rPr>
          <t>Sept-15-25-  Date Asked by CANDU from Mar-16-27 to FEB-24-27</t>
        </r>
      </text>
    </comment>
    <comment ref="P206" authorId="0">
      <text>
        <r>
          <rPr>
            <b/>
            <sz val="11"/>
            <color indexed="81"/>
            <rFont val="Vandra"/>
          </rPr>
          <t>Sept-15-25-  Date Asked by CANDU from Mar-16-27 to FEB-24-27</t>
        </r>
      </text>
    </comment>
    <comment ref="P207" authorId="0">
      <text>
        <r>
          <rPr>
            <b/>
            <sz val="11"/>
            <color indexed="81"/>
            <rFont val="Vandra"/>
          </rPr>
          <t>Sept-15-25-  Date Asked by CANDU from Mar-16-27 to FEB-24-27</t>
        </r>
      </text>
    </comment>
    <comment ref="P208" authorId="0">
      <text>
        <r>
          <rPr>
            <b/>
            <sz val="11"/>
            <color indexed="81"/>
            <rFont val="Vandra"/>
          </rPr>
          <t>Sept-15-25-  Date Asked by CANDU from Mar-16-27 to FEB-24-27</t>
        </r>
      </text>
    </comment>
    <comment ref="P209" authorId="0">
      <text>
        <r>
          <rPr>
            <b/>
            <sz val="11"/>
            <color indexed="81"/>
            <rFont val="Vandra"/>
          </rPr>
          <t>Sept-15-25-  Date Asked by CANDU from Mar-16-27 to FEB-24-27</t>
        </r>
      </text>
    </comment>
    <comment ref="L210" authorId="0">
      <text>
        <r>
          <rPr>
            <b/>
            <sz val="11"/>
            <color indexed="81"/>
            <rFont val="Vandra"/>
          </rPr>
          <t>Jan-26-26- REV.1 of PO Received , per Quote LP-251127A-  CANDU did not want to pay an additiona $ 2000.00 for QA Docs as per Quote.  But Olivier said we will Ship these parts when ready together with any other PO ready at the same time to aleviate extra cost for shipping.</t>
        </r>
      </text>
    </comment>
    <comment ref="P210" authorId="0">
      <text>
        <r>
          <rPr>
            <b/>
            <sz val="11"/>
            <color indexed="81"/>
            <rFont val="Vandra"/>
          </rPr>
          <t>Delivery based on the 25 Weeks quoted on LP-251127A</t>
        </r>
      </text>
    </comment>
    <comment ref="H213" authorId="0">
      <text>
        <r>
          <rPr>
            <b/>
            <sz val="11"/>
            <color indexed="81"/>
            <rFont val="Vandra"/>
          </rPr>
          <t>Entered order on Sept-9-25 and signed acceptance Sept-9-25  so busy submitted only submitted dwgs on Sept-22-25</t>
        </r>
      </text>
    </comment>
    <comment ref="P213" authorId="0">
      <text>
        <r>
          <rPr>
            <b/>
            <sz val="11"/>
            <color indexed="81"/>
            <rFont val="Vandra"/>
          </rPr>
          <t>e-mail sent sept 15-25-26  requesting new revised Date.
Changed from May-17-26</t>
        </r>
      </text>
    </comment>
    <comment ref="H214" authorId="0">
      <text>
        <r>
          <rPr>
            <b/>
            <sz val="11"/>
            <color indexed="81"/>
            <rFont val="Vandra"/>
          </rPr>
          <t>Entered order on Sept-9-25 and signed acceptance Sept-9-25  so busy submitted only submitted dwgs on Sept-22-25</t>
        </r>
      </text>
    </comment>
    <comment ref="P214" authorId="0">
      <text>
        <r>
          <rPr>
            <b/>
            <sz val="11"/>
            <color indexed="81"/>
            <rFont val="Vandra"/>
          </rPr>
          <t>e-mail sent sept 15-25-26  requesting new revised Date.
Changed from May-17-26</t>
        </r>
      </text>
    </comment>
    <comment ref="H215" authorId="0">
      <text>
        <r>
          <rPr>
            <b/>
            <sz val="11"/>
            <color indexed="81"/>
            <rFont val="Vandra"/>
          </rPr>
          <t>Entered order on Sept-9-25 and signed acceptance Sept-9-25  so busy submitted only submitted dwgs on Sept-22-25</t>
        </r>
      </text>
    </comment>
    <comment ref="P215" authorId="0">
      <text>
        <r>
          <rPr>
            <b/>
            <sz val="11"/>
            <color indexed="81"/>
            <rFont val="Vandra"/>
          </rPr>
          <t>e-mail sent sept 15-25-26  requesting new revised Date.
Changed from May-17-26</t>
        </r>
      </text>
    </comment>
    <comment ref="H216" authorId="0">
      <text>
        <r>
          <rPr>
            <b/>
            <sz val="11"/>
            <color indexed="81"/>
            <rFont val="Vandra"/>
          </rPr>
          <t>Entered order on Sept-9-25 and signed acceptance Sept-9-25  so busy submitted only submitted dwgs on Sept-22-25</t>
        </r>
      </text>
    </comment>
    <comment ref="P216" authorId="0">
      <text>
        <r>
          <rPr>
            <b/>
            <sz val="11"/>
            <color indexed="81"/>
            <rFont val="Vandra"/>
          </rPr>
          <t>e-mail sent sept 15-25-26  requesting new revised Date.
Changed from May-17-26</t>
        </r>
      </text>
    </comment>
    <comment ref="H217" authorId="0">
      <text>
        <r>
          <rPr>
            <b/>
            <sz val="11"/>
            <color indexed="81"/>
            <rFont val="Vandra"/>
          </rPr>
          <t>Entered order on Sept-9-25 and signed acceptance Sept-9-25  so busy submitted only submitted dwgs on Sept-22-25</t>
        </r>
      </text>
    </comment>
    <comment ref="P217" authorId="0">
      <text>
        <r>
          <rPr>
            <b/>
            <sz val="11"/>
            <color indexed="81"/>
            <rFont val="Vandra"/>
          </rPr>
          <t>e-mail sent sept 15-25-26  requesting new revised Date.
Changed from May-17-26</t>
        </r>
      </text>
    </comment>
    <comment ref="H218" authorId="0">
      <text>
        <r>
          <rPr>
            <b/>
            <sz val="11"/>
            <color indexed="81"/>
            <rFont val="Vandra"/>
          </rPr>
          <t>Entered order on Sept-9-25 and signed acceptance Sept-9-25  so busy submitted only submitted dwgs on Sept-22-25</t>
        </r>
      </text>
    </comment>
    <comment ref="P218" authorId="0">
      <text>
        <r>
          <rPr>
            <b/>
            <sz val="11"/>
            <color indexed="81"/>
            <rFont val="Vandra"/>
          </rPr>
          <t>e-mail sent sept 15-25-26  requesting new revised Date.
Changed from May-17-26</t>
        </r>
      </text>
    </comment>
    <comment ref="H219" authorId="0">
      <text>
        <r>
          <rPr>
            <b/>
            <sz val="11"/>
            <color indexed="81"/>
            <rFont val="Vandra"/>
          </rPr>
          <t>Entered order on Sept-9-25 and signed acceptance Sept-9-25  so busy submitted only submitted dwgs on Sept-22-25</t>
        </r>
      </text>
    </comment>
    <comment ref="P219" authorId="0">
      <text>
        <r>
          <rPr>
            <b/>
            <sz val="11"/>
            <color indexed="81"/>
            <rFont val="Vandra"/>
          </rPr>
          <t>e-mail sent sept 15-25-26  requesting new revised Date.
Changed from May-17-26</t>
        </r>
      </text>
    </comment>
    <comment ref="H220" authorId="0">
      <text>
        <r>
          <rPr>
            <b/>
            <sz val="11"/>
            <color indexed="81"/>
            <rFont val="Vandra"/>
          </rPr>
          <t>Entered order on Sept-9-25 and signed acceptance Sept-9-25  so busy submitted only submitted dwgs on Sept-22-25</t>
        </r>
      </text>
    </comment>
    <comment ref="P220" authorId="0">
      <text>
        <r>
          <rPr>
            <b/>
            <sz val="11"/>
            <color indexed="81"/>
            <rFont val="Vandra"/>
          </rPr>
          <t>e-mail sent sept 15-25-26  requesting new revised Date.
Changed from May-17-26</t>
        </r>
      </text>
    </comment>
    <comment ref="H221" authorId="0">
      <text>
        <r>
          <rPr>
            <b/>
            <sz val="11"/>
            <color indexed="81"/>
            <rFont val="Vandra"/>
          </rPr>
          <t>Entered order on Sept-9-25 and signed acceptance Sept-9-25  so busy submitted only submitted dwgs on Sept-22-25</t>
        </r>
      </text>
    </comment>
    <comment ref="P221" authorId="0">
      <text>
        <r>
          <rPr>
            <b/>
            <sz val="11"/>
            <color indexed="81"/>
            <rFont val="Vandra"/>
          </rPr>
          <t>e-mail sent sept 15-25-26  requesting new revised Date.
Changed from May-17-26</t>
        </r>
      </text>
    </comment>
    <comment ref="H222" authorId="0">
      <text>
        <r>
          <rPr>
            <b/>
            <sz val="11"/>
            <color indexed="81"/>
            <rFont val="Vandra"/>
          </rPr>
          <t>Entered order on Sept-9-25 and signed acceptance Sept-9-25  so busy submitted only submitted dwgs on Sept-22-25</t>
        </r>
      </text>
    </comment>
    <comment ref="L225" authorId="0">
      <text>
        <r>
          <rPr>
            <b/>
            <sz val="11"/>
            <color indexed="81"/>
            <rFont val="Vandra"/>
          </rPr>
          <t>Herlette Entered- Was off</t>
        </r>
      </text>
    </comment>
    <comment ref="L226" authorId="0">
      <text>
        <r>
          <rPr>
            <b/>
            <sz val="11"/>
            <color indexed="81"/>
            <rFont val="Vandra"/>
          </rPr>
          <t>Herlette Entered- Was off</t>
        </r>
      </text>
    </comment>
    <comment ref="L227" authorId="0">
      <text>
        <r>
          <rPr>
            <b/>
            <sz val="11"/>
            <color indexed="81"/>
            <rFont val="Vandra"/>
          </rPr>
          <t>Herlette Entered- Was off</t>
        </r>
      </text>
    </comment>
    <comment ref="L228" authorId="0">
      <text>
        <r>
          <rPr>
            <b/>
            <sz val="11"/>
            <color indexed="81"/>
            <rFont val="Vandra"/>
          </rPr>
          <t>Herlette Entered- Was off</t>
        </r>
      </text>
    </comment>
    <comment ref="L229" authorId="0">
      <text>
        <r>
          <rPr>
            <b/>
            <sz val="11"/>
            <color indexed="81"/>
            <rFont val="Vandra"/>
          </rPr>
          <t>Herlette Entered- Was off</t>
        </r>
      </text>
    </comment>
    <comment ref="L230" authorId="0">
      <text>
        <r>
          <rPr>
            <b/>
            <sz val="11"/>
            <color indexed="81"/>
            <rFont val="Vandra"/>
          </rPr>
          <t>Herlette Entered- Was off</t>
        </r>
      </text>
    </comment>
    <comment ref="P232" authorId="0">
      <text>
        <r>
          <rPr>
            <b/>
            <sz val="11"/>
            <color indexed="81"/>
            <rFont val="Vandra"/>
          </rPr>
          <t xml:space="preserve">Original PO Date was Feb-5-25, Steve, Olivier &amp; Gus - Pushed out to Feb-23-26
</t>
        </r>
      </text>
    </comment>
    <comment ref="P233" authorId="0">
      <text>
        <r>
          <rPr>
            <b/>
            <sz val="11"/>
            <color indexed="81"/>
            <rFont val="Vandra"/>
          </rPr>
          <t xml:space="preserve">Original PO Date was Feb-5-25, Steve, Olivier &amp; Gus - Pushed out to Feb-26-25
</t>
        </r>
      </text>
    </comment>
    <comment ref="P234" authorId="0">
      <text>
        <r>
          <rPr>
            <b/>
            <sz val="11"/>
            <color indexed="81"/>
            <rFont val="Vandra"/>
          </rPr>
          <t xml:space="preserve">Original PO Date was Feb-5-25, Steve, Olivier &amp; Gus - Pushed out to Feb-26-25
</t>
        </r>
      </text>
    </comment>
    <comment ref="P235" authorId="0">
      <text>
        <r>
          <rPr>
            <b/>
            <sz val="11"/>
            <color indexed="81"/>
            <rFont val="Vandra"/>
          </rPr>
          <t xml:space="preserve">Original PO Date was Feb-5-25, Steve, Olivier &amp; Gus - Pushed out to Feb-26-25
</t>
        </r>
      </text>
    </comment>
    <comment ref="P236" authorId="0">
      <text>
        <r>
          <rPr>
            <b/>
            <sz val="11"/>
            <color indexed="81"/>
            <rFont val="Vandra"/>
          </rPr>
          <t xml:space="preserve">Original PO Date was Feb-5-25, Steve, Olivier &amp; Gus - Pushed out to Feb-26-25
</t>
        </r>
      </text>
    </comment>
    <comment ref="P237" authorId="0">
      <text>
        <r>
          <rPr>
            <b/>
            <sz val="11"/>
            <color indexed="81"/>
            <rFont val="Vandra"/>
          </rPr>
          <t xml:space="preserve">Original PO Date was Feb-5-25, Steve, Olivier &amp; Gus - Pushed out to Feb-26-25
</t>
        </r>
      </text>
    </comment>
    <comment ref="P238" authorId="0">
      <text>
        <r>
          <rPr>
            <b/>
            <sz val="11"/>
            <color indexed="81"/>
            <rFont val="Vandra"/>
          </rPr>
          <t xml:space="preserve">Original PO Date was Feb-5-25, Steve, Olivier &amp; Gus - Pushed out to Feb-26-25
</t>
        </r>
      </text>
    </comment>
    <comment ref="P240" authorId="0">
      <text>
        <r>
          <rPr>
            <b/>
            <sz val="11"/>
            <color indexed="81"/>
            <rFont val="Vandra"/>
          </rPr>
          <t>Original PO Date was Jan-30-26, but Steve, Olivier &amp; Gus moved it to Feb-27-26</t>
        </r>
      </text>
    </comment>
    <comment ref="P241" authorId="0">
      <text>
        <r>
          <rPr>
            <b/>
            <sz val="11"/>
            <color indexed="81"/>
            <rFont val="Vandra"/>
          </rPr>
          <t>Original PO Date was Jan-30-26, but Steve, Olivier &amp; Gus moved it to Feb-27-26</t>
        </r>
      </text>
    </comment>
    <comment ref="P242" authorId="0">
      <text>
        <r>
          <rPr>
            <b/>
            <sz val="11"/>
            <color indexed="81"/>
            <rFont val="Vandra"/>
          </rPr>
          <t>Original PO Date was Jan-30-26, but Steve, Olivier &amp; Gus moved it to Feb-27-26</t>
        </r>
      </text>
    </comment>
    <comment ref="L243" authorId="0">
      <text>
        <r>
          <rPr>
            <b/>
            <sz val="11"/>
            <color indexed="81"/>
            <rFont val="Vandra"/>
          </rPr>
          <t>Quote Submitted Nov-27-25 for X piece of Tool EF Tool Rack-  RT-88000-0300-000-1-GA-E  LP-251127- recvd Approval to proceed on Dec-3-2025 @ 10:34</t>
        </r>
      </text>
    </comment>
    <comment ref="E245" authorId="0">
      <text>
        <r>
          <rPr>
            <b/>
            <sz val="11"/>
            <color indexed="81"/>
            <rFont val="Vandra"/>
          </rPr>
          <t>Jan-6-26- e-mail Lifting Device - Paint Safety yellow</t>
        </r>
      </text>
    </comment>
    <comment ref="L245" authorId="0">
      <text>
        <r>
          <rPr>
            <b/>
            <sz val="11"/>
            <color indexed="81"/>
            <rFont val="Vandra"/>
          </rPr>
          <t>ISO with supplementary Clauses
Needs Source Inspectionn</t>
        </r>
      </text>
    </comment>
    <comment ref="P245" authorId="0">
      <text>
        <r>
          <rPr>
            <b/>
            <sz val="11"/>
            <color indexed="81"/>
            <rFont val="Vandra"/>
          </rPr>
          <t>Original Delivery : Jan-19-26, but changed to read Feb-13-26-  Accepted vial e-mail Oct-3-25 per Sanchia</t>
        </r>
      </text>
    </comment>
    <comment ref="E246" authorId="0">
      <text>
        <r>
          <rPr>
            <b/>
            <sz val="11"/>
            <color indexed="81"/>
            <rFont val="Vandra"/>
          </rPr>
          <t>Jan-6-26- e-mail Lifting Device - Paint Safety yellow</t>
        </r>
      </text>
    </comment>
    <comment ref="L246" authorId="0">
      <text>
        <r>
          <rPr>
            <b/>
            <sz val="11"/>
            <color indexed="81"/>
            <rFont val="Vandra"/>
          </rPr>
          <t>ISO with supplementary Clauses
Needs Source Inspectionn</t>
        </r>
      </text>
    </comment>
    <comment ref="E247" authorId="0">
      <text>
        <r>
          <rPr>
            <b/>
            <sz val="11"/>
            <color indexed="81"/>
            <rFont val="Vandra"/>
          </rPr>
          <t>Jan-6-26- e-mail Lifting Device - Paint Safety yellow</t>
        </r>
      </text>
    </comment>
    <comment ref="L247" authorId="0">
      <text>
        <r>
          <rPr>
            <b/>
            <sz val="11"/>
            <color indexed="81"/>
            <rFont val="Vandra"/>
          </rPr>
          <t>ISO with supplementary Clauses
Needs Source Inspectionn</t>
        </r>
      </text>
    </comment>
    <comment ref="E248" authorId="0">
      <text>
        <r>
          <rPr>
            <b/>
            <sz val="9"/>
            <color indexed="81"/>
            <rFont val="Tahoma"/>
            <family val="2"/>
          </rPr>
          <t>MP:</t>
        </r>
        <r>
          <rPr>
            <sz val="9"/>
            <color indexed="81"/>
            <rFont val="Tahoma"/>
            <family val="2"/>
          </rPr>
          <t xml:space="preserve">
</t>
        </r>
        <r>
          <rPr>
            <b/>
            <sz val="12"/>
            <color indexed="81"/>
            <rFont val="Tahoma"/>
            <family val="2"/>
          </rPr>
          <t>Jan-6-26- e-mail Lifting Device - Paint Safety yellow</t>
        </r>
      </text>
    </comment>
    <comment ref="L248" authorId="0">
      <text>
        <r>
          <rPr>
            <b/>
            <sz val="11"/>
            <color indexed="81"/>
            <rFont val="Vandra"/>
          </rPr>
          <t>ISO with supplementary Clauses
Needs Source Inspectionn</t>
        </r>
      </text>
    </comment>
    <comment ref="E249" authorId="0">
      <text>
        <r>
          <rPr>
            <b/>
            <sz val="11"/>
            <color indexed="81"/>
            <rFont val="Vandra"/>
          </rPr>
          <t>Jan-6-26- e-mail Lifting Device - Paint Safety yellow</t>
        </r>
      </text>
    </comment>
    <comment ref="L249" authorId="0">
      <text>
        <r>
          <rPr>
            <b/>
            <sz val="11"/>
            <color indexed="81"/>
            <rFont val="Vandra"/>
          </rPr>
          <t>ISO with supplementary Clauses
Needs Source Inspectionn</t>
        </r>
      </text>
    </comment>
    <comment ref="L255" authorId="0">
      <text>
        <r>
          <rPr>
            <b/>
            <sz val="11"/>
            <color indexed="81"/>
            <rFont val="Vandra"/>
          </rPr>
          <t>Oct-4-25-  Send t-e-mail to Cindy- PO needs to be revised to add cost of QA Doc $ 2000 as per our quote</t>
        </r>
      </text>
    </comment>
    <comment ref="P280" authorId="0">
      <text>
        <r>
          <rPr>
            <b/>
            <sz val="11"/>
            <color indexed="81"/>
            <rFont val="Vandra"/>
          </rPr>
          <t>As per e-mail recvd Nov-22-25, ship this PO for Feb.1-25-  Was originally for Dec-19-25</t>
        </r>
      </text>
    </comment>
    <comment ref="L286" authorId="0">
      <text>
        <r>
          <rPr>
            <b/>
            <sz val="11"/>
            <color indexed="81"/>
            <rFont val="Vandra"/>
          </rPr>
          <t xml:space="preserve">Rev.1 PO recve- Dec-23-25
</t>
        </r>
      </text>
    </comment>
    <comment ref="P286" authorId="0">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L291" authorId="0">
      <text>
        <r>
          <rPr>
            <b/>
            <sz val="11"/>
            <color indexed="81"/>
            <rFont val="Vandra"/>
          </rPr>
          <t>TMR-2025-0090
Quality :: N299-4</t>
        </r>
      </text>
    </comment>
    <comment ref="L292" authorId="0">
      <text>
        <r>
          <rPr>
            <b/>
            <sz val="11"/>
            <color indexed="81"/>
            <rFont val="Vandra"/>
          </rPr>
          <t xml:space="preserve">Jan-8-26- Risa &amp; Gus said that this part was scrapped twice.  Being Remade- Pushed out delivery date to Jan-16-26
</t>
        </r>
      </text>
    </comment>
    <comment ref="L294" authorId="0">
      <text>
        <r>
          <rPr>
            <b/>
            <sz val="14"/>
            <color indexed="81"/>
            <rFont val="Vandra"/>
          </rPr>
          <t>Same as j# 72692-72708
AS program: Z299.4</t>
        </r>
      </text>
    </comment>
    <comment ref="L295" authorId="0">
      <text>
        <r>
          <rPr>
            <b/>
            <sz val="14"/>
            <color indexed="81"/>
            <rFont val="Vandra"/>
          </rPr>
          <t>Same as j# 72692-72708
AS program: Z299.4</t>
        </r>
      </text>
    </comment>
    <comment ref="L296" authorId="0">
      <text>
        <r>
          <rPr>
            <b/>
            <sz val="14"/>
            <color indexed="81"/>
            <rFont val="Vandra"/>
          </rPr>
          <t>Same as j# 72692-72708
AS program: Z299.4</t>
        </r>
      </text>
    </comment>
    <comment ref="L297" authorId="0">
      <text>
        <r>
          <rPr>
            <b/>
            <sz val="14"/>
            <color indexed="81"/>
            <rFont val="Vandra"/>
          </rPr>
          <t>Same as j# 72692-72708
AS program: Z299.4</t>
        </r>
      </text>
    </comment>
    <comment ref="L298" authorId="0">
      <text>
        <r>
          <rPr>
            <b/>
            <sz val="14"/>
            <color indexed="81"/>
            <rFont val="Vandra"/>
          </rPr>
          <t>Same as j# 72692-72708
AS program: Z299.4</t>
        </r>
      </text>
    </comment>
    <comment ref="L299" authorId="0">
      <text>
        <r>
          <rPr>
            <b/>
            <sz val="14"/>
            <color indexed="81"/>
            <rFont val="Vandra"/>
          </rPr>
          <t>Same as j# 72692-72708
AS program: Z299.4</t>
        </r>
      </text>
    </comment>
    <comment ref="L300" authorId="0">
      <text>
        <r>
          <rPr>
            <b/>
            <sz val="14"/>
            <color indexed="81"/>
            <rFont val="Vandra"/>
          </rPr>
          <t>Same as j# 72692-72708
AS program: Z299.4</t>
        </r>
      </text>
    </comment>
    <comment ref="L301" authorId="0">
      <text>
        <r>
          <rPr>
            <b/>
            <sz val="14"/>
            <color indexed="81"/>
            <rFont val="Vandra"/>
          </rPr>
          <t>Same as j# 72692-72708
AS program: Z299.4</t>
        </r>
      </text>
    </comment>
    <comment ref="L302" authorId="0">
      <text>
        <r>
          <rPr>
            <b/>
            <sz val="14"/>
            <color indexed="81"/>
            <rFont val="Vandra"/>
          </rPr>
          <t>Same as j# 72692-72708
AS program: Z299.4</t>
        </r>
      </text>
    </comment>
    <comment ref="L303" authorId="0">
      <text>
        <r>
          <rPr>
            <b/>
            <sz val="14"/>
            <color indexed="81"/>
            <rFont val="Vandra"/>
          </rPr>
          <t>Same as j# 72692-72708
AS program: Z299.4</t>
        </r>
      </text>
    </comment>
    <comment ref="L304" authorId="0">
      <text>
        <r>
          <rPr>
            <b/>
            <sz val="14"/>
            <color indexed="81"/>
            <rFont val="Vandra"/>
          </rPr>
          <t>Same as j# 72692-72708
AS program: Z299.4</t>
        </r>
      </text>
    </comment>
    <comment ref="L305" authorId="0">
      <text>
        <r>
          <rPr>
            <b/>
            <sz val="14"/>
            <color indexed="81"/>
            <rFont val="Vandra"/>
          </rPr>
          <t>Same as j# 72692-72708
AS program: Z299.4</t>
        </r>
      </text>
    </comment>
    <comment ref="L306" authorId="0">
      <text>
        <r>
          <rPr>
            <b/>
            <sz val="14"/>
            <color indexed="81"/>
            <rFont val="Vandra"/>
          </rPr>
          <t>Same as j# 72692-72708
AS program: Z299.4</t>
        </r>
      </text>
    </comment>
    <comment ref="L307" authorId="0">
      <text>
        <r>
          <rPr>
            <b/>
            <sz val="14"/>
            <color indexed="81"/>
            <rFont val="Vandra"/>
          </rPr>
          <t>Same as j# 72692-72708
AS program: Z299.4</t>
        </r>
      </text>
    </comment>
    <comment ref="L308" authorId="0">
      <text>
        <r>
          <rPr>
            <b/>
            <sz val="14"/>
            <color indexed="81"/>
            <rFont val="Vandra"/>
          </rPr>
          <t>Same as j# 72692-72708
AS program: Z299.4</t>
        </r>
      </text>
    </comment>
    <comment ref="L309" authorId="0">
      <text>
        <r>
          <rPr>
            <b/>
            <sz val="14"/>
            <color indexed="81"/>
            <rFont val="Vandra"/>
          </rPr>
          <t>Same as j# 72692-72708
AS program: Z299.4</t>
        </r>
      </text>
    </comment>
    <comment ref="L310" authorId="0">
      <text>
        <r>
          <rPr>
            <b/>
            <sz val="14"/>
            <color indexed="81"/>
            <rFont val="Vandra"/>
          </rPr>
          <t>Same as j# 72692-72708
AS program: Z299.4</t>
        </r>
      </text>
    </comment>
    <comment ref="E312" authorId="0">
      <text>
        <r>
          <rPr>
            <b/>
            <sz val="11"/>
            <color indexed="81"/>
            <rFont val="Vandra"/>
          </rPr>
          <t>Feb-12-26-  Clips are coming from Heat treaters on Feb-13-26, still has to go for phosphate coating</t>
        </r>
      </text>
    </comment>
    <comment ref="P312" authorId="0">
      <text>
        <r>
          <rPr>
            <b/>
            <sz val="12"/>
            <color indexed="81"/>
            <rFont val="Vandra"/>
          </rPr>
          <t>Nov-14-25- Pushed out original req'd delivery from Feb-6-26 to Feb-13-26-  Confirmed so we cannot drop the ball</t>
        </r>
      </text>
    </comment>
    <comment ref="J313" authorId="0">
      <text>
        <r>
          <rPr>
            <b/>
            <sz val="11"/>
            <color indexed="81"/>
            <rFont val="Vandra"/>
          </rPr>
          <t>Nov-15-25- Olivier said to make 10 +10 stock for upcoming Assy, since we're already making 700 pcs
save on cost</t>
        </r>
      </text>
    </comment>
    <comment ref="L315" authorId="0">
      <text>
        <r>
          <rPr>
            <b/>
            <sz val="12"/>
            <color indexed="81"/>
            <rFont val="Vandra"/>
          </rPr>
          <t>Nov-15-25- Rev.1 of PO recvd to add an extra cart- Delivery date pushed from Jan-6-26 to Jan-30-26 pending clarification of Caster / floor lock issue</t>
        </r>
      </text>
    </comment>
    <comment ref="L317" authorId="0">
      <text>
        <r>
          <rPr>
            <b/>
            <sz val="12"/>
            <color indexed="81"/>
            <rFont val="Vandra"/>
          </rPr>
          <t>Nov-15-25- Rev.1 of PO recvd to add an extra cart- Delivery date pushed from Jan-6-26 to Jan-30-26 pending clarification of Caster / floor lock issue</t>
        </r>
      </text>
    </comment>
    <comment ref="D319" authorId="0">
      <text>
        <r>
          <rPr>
            <sz val="12"/>
            <color indexed="81"/>
            <rFont val="Arial"/>
            <family val="2"/>
          </rPr>
          <t>12,000- pcs - shipped
4500- pcs   Shipped
1500-pcs  shipped
3000-pcs   shipped
4500-pcs  shipped
4500-pcs  shipped
6000- pcs shipped
6000-pcs  shipped</t>
        </r>
      </text>
    </comment>
    <comment ref="M319" authorId="0">
      <text>
        <r>
          <rPr>
            <b/>
            <sz val="12"/>
            <color indexed="81"/>
            <rFont val="Vandra"/>
          </rPr>
          <t>12,000  pcs    PS# 44837
4,500  pcs      PS#  44868
1500  pcs       PS#  44877
3000  pcs       PS# 44887
4500 pcs        PS# 44903
4500 pcs        PS# 44911
6000 pcs        PS# 44928
6000 pcs        PS# 44963</t>
        </r>
      </text>
    </comment>
    <comment ref="N319" authorId="0">
      <text>
        <r>
          <rPr>
            <b/>
            <sz val="12"/>
            <color indexed="81"/>
            <rFont val="Vandra"/>
          </rPr>
          <t>12,000 pcs
4500 pcs
3000 pcs
4500 pcs
4500 pcs
6000 pcs
6000 pcs</t>
        </r>
      </text>
    </comment>
    <comment ref="O319" authorId="0">
      <text>
        <r>
          <rPr>
            <b/>
            <sz val="9"/>
            <color indexed="81"/>
            <rFont val="Tahoma"/>
            <family val="2"/>
          </rPr>
          <t>MP:</t>
        </r>
        <r>
          <rPr>
            <sz val="9"/>
            <color indexed="81"/>
            <rFont val="Tahoma"/>
            <family val="2"/>
          </rPr>
          <t xml:space="preserve">
</t>
        </r>
        <r>
          <rPr>
            <sz val="12"/>
            <color indexed="81"/>
            <rFont val="Tahoma"/>
            <family val="2"/>
          </rPr>
          <t>Inv 53076 12,000  11/18/25
Inv 53135 4,500    12/09/25
Inv 53137 1,500    12/11/25
Inv 53149 3,000    12/17/25
Inv 53161 4,500    12/31/25
Inv 53172  4,500   01/09/26 
Inv 53192  6,000    01/22/26
Inv 53210  6,000    02/1126</t>
        </r>
      </text>
    </comment>
    <comment ref="Q319" authorId="0">
      <text>
        <r>
          <rPr>
            <b/>
            <sz val="12"/>
            <color indexed="81"/>
            <rFont val="Vandra"/>
          </rPr>
          <t>12.000-  pcs  - shipd  Nov-18-25
4500 pcs      - shipd   Dec-9-25
1500-pcs      - shipd   Dec-11-25
3000-pcs      -shipd   Dec-17-25
4500-pcs      -shipd   Jan-5-26
4500-pcs      -shipd   Jan-9-26
6000-pcs      -shipd   Jan-21-26
6000-pcs      -shipd   Feb-12-26</t>
        </r>
      </text>
    </comment>
    <comment ref="E321" authorId="0">
      <text>
        <r>
          <rPr>
            <b/>
            <sz val="11"/>
            <color indexed="81"/>
            <rFont val="Vandra"/>
          </rPr>
          <t xml:space="preserve">Sue Copied MP from previous Job 60046  &amp; 60045  &amp; Submitted
</t>
        </r>
      </text>
    </comment>
    <comment ref="P326" authorId="0">
      <text>
        <r>
          <rPr>
            <b/>
            <sz val="11"/>
            <color indexed="81"/>
            <rFont val="Vandra"/>
          </rPr>
          <t>Original PO Date was for Dec-19-25, but quoted 3.1/2-4 weeks and that falls for Jan-5-26.
PS# 44858 was made in error and showed as delivered.
It should have been J# 72960 that was shipped.</t>
        </r>
      </text>
    </comment>
    <comment ref="L334" authorId="0">
      <text>
        <r>
          <rPr>
            <b/>
            <sz val="11"/>
            <color indexed="81"/>
            <rFont val="Vandra"/>
          </rPr>
          <t>Dec-29-25- MITP Submitted - Approved Jan-15-26</t>
        </r>
      </text>
    </comment>
    <comment ref="P334" authorId="0">
      <text>
        <r>
          <rPr>
            <b/>
            <sz val="11"/>
            <color indexed="81"/>
            <rFont val="Vandra"/>
          </rPr>
          <t>PO States Feb-13-25-  Sent e-mail Dec-15-25 stating our Quote stated 8-9 weeks not including Holidays-  New Delivery Date
should be FEB-26-26</t>
        </r>
      </text>
    </comment>
    <comment ref="L335" authorId="0">
      <text>
        <r>
          <rPr>
            <b/>
            <sz val="11"/>
            <color indexed="81"/>
            <rFont val="Vandra"/>
          </rPr>
          <t>Dec-29-25- MITP Submitted - Approved Jan-15-26</t>
        </r>
      </text>
    </comment>
    <comment ref="E336" authorId="0">
      <text>
        <r>
          <rPr>
            <b/>
            <sz val="11"/>
            <color indexed="81"/>
            <rFont val="Vandra"/>
          </rPr>
          <t>Jan-26-26- MITP Approved</t>
        </r>
      </text>
    </comment>
    <comment ref="L336" authorId="0">
      <text>
        <r>
          <rPr>
            <b/>
            <sz val="11"/>
            <color indexed="81"/>
            <rFont val="Vandra"/>
          </rPr>
          <t xml:space="preserve">Dec-29-25- MITP Submitted </t>
        </r>
      </text>
    </comment>
    <comment ref="E337" authorId="0">
      <text>
        <r>
          <rPr>
            <b/>
            <sz val="11"/>
            <color indexed="81"/>
            <rFont val="Vandra"/>
          </rPr>
          <t>Jan-26-26- MITP Approved</t>
        </r>
      </text>
    </comment>
    <comment ref="L337" authorId="0">
      <text>
        <r>
          <rPr>
            <b/>
            <sz val="11"/>
            <color indexed="81"/>
            <rFont val="Vandra"/>
          </rPr>
          <t xml:space="preserve">Dec-29-25- MITP Submitted </t>
        </r>
      </text>
    </comment>
    <comment ref="E338" authorId="0">
      <text>
        <r>
          <rPr>
            <b/>
            <sz val="11"/>
            <color indexed="81"/>
            <rFont val="Vandra"/>
          </rPr>
          <t>Jan-26-26- MITP Approved</t>
        </r>
      </text>
    </comment>
    <comment ref="L338" authorId="0">
      <text>
        <r>
          <rPr>
            <b/>
            <sz val="11"/>
            <color indexed="81"/>
            <rFont val="Vandra"/>
          </rPr>
          <t xml:space="preserve">Dec-29-25- MITP Submitted </t>
        </r>
      </text>
    </comment>
    <comment ref="E339" authorId="0">
      <text>
        <r>
          <rPr>
            <b/>
            <sz val="11"/>
            <color indexed="81"/>
            <rFont val="Vandra"/>
          </rPr>
          <t>Jan-26-26- MITP Approved</t>
        </r>
      </text>
    </comment>
    <comment ref="L339" authorId="0">
      <text>
        <r>
          <rPr>
            <b/>
            <sz val="11"/>
            <color indexed="81"/>
            <rFont val="Vandra"/>
          </rPr>
          <t xml:space="preserve">Dec-29-25- MITP Submitted </t>
        </r>
      </text>
    </comment>
    <comment ref="E343" authorId="0">
      <text>
        <r>
          <rPr>
            <b/>
            <sz val="11"/>
            <color indexed="81"/>
            <rFont val="Vandra"/>
          </rPr>
          <t>Dec-29-25- I think Olivier will be ordering this from Hsun as well as J# 73024</t>
        </r>
      </text>
    </comment>
    <comment ref="L346" authorId="0">
      <text>
        <r>
          <rPr>
            <b/>
            <sz val="11"/>
            <color indexed="81"/>
            <rFont val="Vandra"/>
          </rPr>
          <t>New Rev.2 PO recve Dec-23-2025 to add extra parts
Feb-5-26- Revised Quote# LP-260108-1 -Rev.1 submitted to Laila to capture the $ 650 for QA Documents</t>
        </r>
      </text>
    </comment>
    <comment ref="L347" authorId="0">
      <text>
        <r>
          <rPr>
            <b/>
            <sz val="11"/>
            <color indexed="81"/>
            <rFont val="Vandra"/>
          </rPr>
          <t>New Rev.2 PO recve Dec-23-2025 to add extra parts
Feb-5-26- Revised Quote# LP-260108-1 -Rev.1 submitted to Laila to capture the $ 650 for QA Documents</t>
        </r>
      </text>
    </comment>
    <comment ref="L349" authorId="0">
      <text>
        <r>
          <rPr>
            <b/>
            <sz val="11"/>
            <color indexed="81"/>
            <rFont val="Vandra"/>
          </rPr>
          <t>New Rev.2 PO recve Dec-23-2025 to add extra parts
Feb-5-26- Revised Quote# LP-260108-1 -Rev.1 submitted to Laila to capture the $ 650 for QA Documents</t>
        </r>
      </text>
    </comment>
    <comment ref="P349" authorId="0">
      <text>
        <r>
          <rPr>
            <b/>
            <sz val="11"/>
            <color indexed="81"/>
            <rFont val="Vandra"/>
          </rPr>
          <t>Original Order was showing  Feb-20-26, but requested New Date of May--2026- Accepted Via e-mail Jan-15-2026</t>
        </r>
      </text>
    </comment>
    <comment ref="P351" authorId="0">
      <text>
        <r>
          <rPr>
            <b/>
            <sz val="11"/>
            <color indexed="81"/>
            <rFont val="Vandra"/>
          </rPr>
          <t>Dec-29-25- Requested date changed to Feb-20-25</t>
        </r>
      </text>
    </comment>
    <comment ref="P357" authorId="0">
      <text>
        <r>
          <rPr>
            <b/>
            <sz val="11"/>
            <color indexed="81"/>
            <rFont val="Vandra"/>
          </rPr>
          <t>Dec-29-25- Requested date changed to Feb-20-25</t>
        </r>
      </text>
    </comment>
    <comment ref="P359" authorId="0">
      <text>
        <r>
          <rPr>
            <b/>
            <sz val="11"/>
            <color indexed="81"/>
            <rFont val="Vandra"/>
          </rPr>
          <t>Dec-29-25- Requested date changed to Feb-20-25</t>
        </r>
      </text>
    </comment>
    <comment ref="P361" authorId="0">
      <text>
        <r>
          <rPr>
            <b/>
            <sz val="11"/>
            <color indexed="81"/>
            <rFont val="Vandra"/>
          </rPr>
          <t>Dec-29-25- Requested date changed to Feb-27-25
Jan-2-26- Date change Accepted</t>
        </r>
      </text>
    </comment>
    <comment ref="F363" authorId="0">
      <text>
        <r>
          <rPr>
            <b/>
            <sz val="11"/>
            <color indexed="81"/>
            <rFont val="Vandra"/>
          </rPr>
          <t>Rev.B recvd on Jan-6-26</t>
        </r>
      </text>
    </comment>
    <comment ref="P369" authorId="0">
      <text>
        <r>
          <rPr>
            <b/>
            <sz val="11"/>
            <color indexed="81"/>
            <rFont val="Vandra"/>
          </rPr>
          <t>Dec-29-25- Requested date changed to Feb-20-25</t>
        </r>
      </text>
    </comment>
    <comment ref="P371" authorId="0">
      <text>
        <r>
          <rPr>
            <b/>
            <sz val="11"/>
            <color indexed="81"/>
            <rFont val="Vandra"/>
          </rPr>
          <t>Dec-29-25- Requested date changed to Feb-27-25</t>
        </r>
      </text>
    </comment>
    <comment ref="P373" authorId="0">
      <text>
        <r>
          <rPr>
            <b/>
            <sz val="11"/>
            <color indexed="81"/>
            <rFont val="Vandra"/>
          </rPr>
          <t>Dec-29-25- Requested date changed to Feb-27-25</t>
        </r>
      </text>
    </comment>
    <comment ref="E377" authorId="0">
      <text>
        <r>
          <rPr>
            <b/>
            <sz val="11"/>
            <color indexed="81"/>
            <rFont val="Vandra"/>
          </rPr>
          <t>Olivier will order from Vegas Fasteners MFG # 62436</t>
        </r>
      </text>
    </comment>
    <comment ref="L377" authorId="0">
      <text>
        <r>
          <rPr>
            <b/>
            <sz val="12"/>
            <color indexed="81"/>
            <rFont val="Vandra"/>
          </rPr>
          <t>Pickering Project
Jan-5-26- Anu Requested Partial Shipment.
Feb-3-26- E-mail Requet for And additional 50 pcs Cap Screws</t>
        </r>
      </text>
    </comment>
    <comment ref="O377" authorId="0">
      <text>
        <r>
          <rPr>
            <b/>
            <sz val="11"/>
            <color indexed="81"/>
            <rFont val="Vandra"/>
          </rPr>
          <t>1st Milestone 30%   Inv# 53181</t>
        </r>
      </text>
    </comment>
    <comment ref="P377" authorId="0">
      <text>
        <r>
          <rPr>
            <b/>
            <sz val="11"/>
            <color indexed="81"/>
            <rFont val="Vandra"/>
          </rPr>
          <t>Dec-29-25- Olivier will be ordering mat'l from US and China as per his e-mail to Sam.  I gave him the job numbers, and waiting for Confirmed delivery date before signing back order Acknowledgement.
- Olivier e-mailed Anu to update deliver from April-19-26 to May-11-2026</t>
        </r>
      </text>
    </comment>
    <comment ref="E378" authorId="0">
      <text>
        <r>
          <rPr>
            <b/>
            <sz val="11"/>
            <color indexed="81"/>
            <rFont val="Vandra"/>
          </rPr>
          <t xml:space="preserve">Olivier : ordering from Hsun Quote# 30121
</t>
        </r>
      </text>
    </comment>
    <comment ref="P378" authorId="0">
      <text>
        <r>
          <rPr>
            <b/>
            <sz val="11"/>
            <color indexed="81"/>
            <rFont val="Vandra"/>
          </rPr>
          <t>Dec-29-25- Olivier will be ordering mat'l from US and China as per his e-mail to Sam.  I gave him the job numbers, and waiting for Confirmed delivery date before signing back order Acknowledgement</t>
        </r>
      </text>
    </comment>
    <comment ref="E379" authorId="0">
      <text>
        <r>
          <rPr>
            <b/>
            <sz val="11"/>
            <color indexed="81"/>
            <rFont val="Vandra"/>
          </rPr>
          <t>Olivier : ordering from Hsun Quote# 30121</t>
        </r>
      </text>
    </comment>
    <comment ref="P379" authorId="0">
      <text>
        <r>
          <rPr>
            <b/>
            <sz val="11"/>
            <color indexed="81"/>
            <rFont val="Vandra"/>
          </rPr>
          <t>Dec-29-25- Olivier will be ordering mat'l from US and China as per his e-mail to Sam.  I gave him the job numbers, and waiting for Confirmed delivery date before signing back order Acknowledgement</t>
        </r>
      </text>
    </comment>
    <comment ref="E380" authorId="0">
      <text>
        <r>
          <rPr>
            <b/>
            <sz val="11"/>
            <color indexed="81"/>
            <rFont val="Vandra"/>
          </rPr>
          <t>Olivier : ordering from Hsun Quote# 30121</t>
        </r>
      </text>
    </comment>
    <comment ref="P380" authorId="0">
      <text>
        <r>
          <rPr>
            <b/>
            <sz val="11"/>
            <color indexed="81"/>
            <rFont val="Vandra"/>
          </rPr>
          <t>Dec-29-25- Olivier will be ordering mat'l from US and China as per his e-mail to Sam.  I gave him the job numbers, and waiting for Confirmed delivery date before signing back order Acknowledgement</t>
        </r>
      </text>
    </comment>
    <comment ref="L382" authorId="0">
      <text>
        <r>
          <rPr>
            <b/>
            <sz val="11"/>
            <color indexed="81"/>
            <rFont val="Vandra"/>
          </rPr>
          <t>Feb-5-26-  All procedure submitted Pending approval</t>
        </r>
      </text>
    </comment>
    <comment ref="E384" authorId="0">
      <text>
        <r>
          <rPr>
            <b/>
            <sz val="11"/>
            <color indexed="81"/>
            <rFont val="Vandra"/>
          </rPr>
          <t>MITP submitted Jan-6-26- Approvd- Jan-28-26</t>
        </r>
      </text>
    </comment>
    <comment ref="E385" authorId="0">
      <text>
        <r>
          <rPr>
            <b/>
            <sz val="11"/>
            <color indexed="81"/>
            <rFont val="Vandra"/>
          </rPr>
          <t xml:space="preserve">MITP submitted Jan-6-26
</t>
        </r>
      </text>
    </comment>
    <comment ref="F385" authorId="0">
      <text>
        <r>
          <rPr>
            <b/>
            <sz val="11"/>
            <color indexed="81"/>
            <rFont val="Vandra"/>
          </rPr>
          <t>Jan-22-25-  New Rev. AC Dwg recvd</t>
        </r>
      </text>
    </comment>
    <comment ref="E400" authorId="0">
      <text>
        <r>
          <rPr>
            <b/>
            <sz val="11"/>
            <color indexed="81"/>
            <rFont val="Vandra"/>
          </rPr>
          <t>Original Part # GD322-4150- Changed to 
GD322-0001-1-RFIX01 per e-mail recvd from Greg Bourcier Jan-14-26</t>
        </r>
      </text>
    </comment>
    <comment ref="J406" authorId="0">
      <text>
        <r>
          <rPr>
            <b/>
            <sz val="11"/>
            <color indexed="81"/>
            <rFont val="Vandra"/>
          </rPr>
          <t>purchased from CAD Mirco- Ref Inv# 399243, 400771</t>
        </r>
      </text>
    </comment>
    <comment ref="K406" authorId="0">
      <text>
        <r>
          <rPr>
            <b/>
            <sz val="11"/>
            <color indexed="81"/>
            <rFont val="Vandra"/>
          </rPr>
          <t xml:space="preserve">red is the cost fo Transportation
</t>
        </r>
      </text>
    </comment>
    <comment ref="L415" authorId="0">
      <text>
        <r>
          <rPr>
            <b/>
            <sz val="11"/>
            <color indexed="81"/>
            <rFont val="Vandra"/>
          </rPr>
          <t>REF Quote# LP-260108-R.1, OK to proceed per E-mail from Laila Jan-15-26</t>
        </r>
      </text>
    </comment>
    <comment ref="E417" authorId="0">
      <text>
        <r>
          <rPr>
            <b/>
            <sz val="11"/>
            <color indexed="81"/>
            <rFont val="Vandra"/>
          </rPr>
          <t>MITP Submit'd  Jan-23-26</t>
        </r>
      </text>
    </comment>
    <comment ref="L417" authorId="0">
      <text>
        <r>
          <rPr>
            <b/>
            <sz val="11"/>
            <color indexed="81"/>
            <rFont val="Vandra"/>
          </rPr>
          <t>CAT "A" -MITP reqd</t>
        </r>
      </text>
    </comment>
    <comment ref="L427" authorId="0">
      <text>
        <r>
          <rPr>
            <b/>
            <sz val="11"/>
            <color indexed="81"/>
            <rFont val="Vandra"/>
          </rPr>
          <t>CAT B1- Filled out Contract Review check list for this order to try</t>
        </r>
      </text>
    </comment>
    <comment ref="H433" authorId="0">
      <text>
        <r>
          <rPr>
            <b/>
            <sz val="11"/>
            <color indexed="81"/>
            <rFont val="Vandra"/>
          </rPr>
          <t>Jan-27-26- AS per Olivier Greg Lee is still working on finalizing the drawings</t>
        </r>
      </text>
    </comment>
    <comment ref="H434" authorId="0">
      <text>
        <r>
          <rPr>
            <b/>
            <sz val="11"/>
            <color indexed="81"/>
            <rFont val="Vandra"/>
          </rPr>
          <t>Jan-27-26- AS per Olivier Greg Lee is still working on finalizing the drawings</t>
        </r>
      </text>
    </comment>
    <comment ref="H435" authorId="0">
      <text>
        <r>
          <rPr>
            <b/>
            <sz val="11"/>
            <color indexed="81"/>
            <rFont val="Vandra"/>
          </rPr>
          <t>Jan-27-26- AS per Olivier Greg Lee is still working on finalizing the drawings</t>
        </r>
      </text>
    </comment>
    <comment ref="L436" authorId="0">
      <text>
        <r>
          <rPr>
            <b/>
            <sz val="11"/>
            <color indexed="81"/>
            <rFont val="Vandra"/>
          </rPr>
          <t>Note: Olivier ordered directly from TrueGear REF#  0796313</t>
        </r>
      </text>
    </comment>
    <comment ref="E438" authorId="0">
      <text>
        <r>
          <rPr>
            <b/>
            <sz val="11"/>
            <color indexed="81"/>
            <rFont val="Vandra"/>
          </rPr>
          <t>Jan-28-26- ITP submitted  for approval
Feb-3-26 ITP approved</t>
        </r>
      </text>
    </comment>
    <comment ref="E439" authorId="0">
      <text>
        <r>
          <rPr>
            <b/>
            <sz val="11"/>
            <color indexed="81"/>
            <rFont val="Vandra"/>
          </rPr>
          <t>Jan-28-26- ITP submitted  for approval
Feb-3-26  ITP approved</t>
        </r>
      </text>
    </comment>
    <comment ref="L441" authorId="0">
      <text>
        <r>
          <rPr>
            <b/>
            <sz val="11"/>
            <color indexed="81"/>
            <rFont val="Vandra"/>
          </rPr>
          <t>Jan-29-26- PO is showing Rev-2- not signed back at the moment, because CANDU has to update to update PO to add $ 2500 for QA Doc Package, which will make it REV.3</t>
        </r>
      </text>
    </comment>
    <comment ref="G443" authorId="0">
      <text>
        <r>
          <rPr>
            <b/>
            <sz val="11"/>
            <color indexed="81"/>
            <rFont val="Vandra"/>
          </rPr>
          <t xml:space="preserve">entered by Olivier </t>
        </r>
      </text>
    </comment>
    <comment ref="Q443" authorId="0">
      <text>
        <r>
          <rPr>
            <b/>
            <sz val="11"/>
            <color indexed="81"/>
            <rFont val="Vandra"/>
          </rPr>
          <t>ASN# 138417</t>
        </r>
      </text>
    </comment>
    <comment ref="G445" authorId="0">
      <text>
        <r>
          <rPr>
            <b/>
            <sz val="11"/>
            <color indexed="81"/>
            <rFont val="Vandra"/>
          </rPr>
          <t>Entered by Olivier</t>
        </r>
      </text>
    </comment>
    <comment ref="L445" authorId="0">
      <text>
        <r>
          <rPr>
            <b/>
            <sz val="11"/>
            <color indexed="81"/>
            <rFont val="Vandra"/>
          </rPr>
          <t>Feb-3-26- All Procedures Submitted</t>
        </r>
      </text>
    </comment>
    <comment ref="L450" authorId="0">
      <text>
        <r>
          <rPr>
            <b/>
            <sz val="11"/>
            <color indexed="81"/>
            <rFont val="Vandra"/>
          </rPr>
          <t>Feb-13-26- Jude said DANA should have then to us on Feb-20-26, needs to inspect and ship by Feb-27-26-  Told Emily  416-970-9421</t>
        </r>
      </text>
    </comment>
    <comment ref="P466" authorId="0">
      <text>
        <r>
          <rPr>
            <b/>
            <sz val="11"/>
            <color indexed="81"/>
            <rFont val="Vandra"/>
          </rPr>
          <t xml:space="preserve">PO Delivery: June-5-26
Mfg Completion Date: May-15-26  /  Report sub: May-22-26
Delvery : June-5-26 </t>
        </r>
      </text>
    </comment>
    <comment ref="P467" authorId="0">
      <text>
        <r>
          <rPr>
            <b/>
            <sz val="11"/>
            <color indexed="81"/>
            <rFont val="Vandra"/>
          </rPr>
          <t>PO Delivery: June-5-26
Mfg Completion Date: May-15-26  /  Report sub: May-22-26
Delvery : June-5-26</t>
        </r>
      </text>
    </comment>
  </commentList>
</comments>
</file>

<file path=xl/comments2.xml><?xml version="1.0" encoding="utf-8"?>
<comments xmlns="http://schemas.openxmlformats.org/spreadsheetml/2006/main">
  <authors>
    <author>MP</author>
  </authors>
  <commentList>
    <comment ref="E2" authorId="0">
      <text>
        <r>
          <rPr>
            <b/>
            <sz val="11"/>
            <color indexed="81"/>
            <rFont val="Vandra"/>
          </rPr>
          <t>Drawings on HOLD per Lester and E-mail from Kinectrics- May-24-2024
-June-18-2024- Checked with Lester only to find out that parts are still on hold as Kinectrics did not provided with New revised Drawings.
HOLD Released with New Dwg Sept-16-24</t>
        </r>
      </text>
    </comment>
    <comment ref="E3" authorId="0">
      <text>
        <r>
          <rPr>
            <b/>
            <sz val="9"/>
            <color indexed="81"/>
            <rFont val="Tahoma"/>
            <family val="2"/>
          </rPr>
          <t>MP:</t>
        </r>
        <r>
          <rPr>
            <sz val="9"/>
            <color indexed="81"/>
            <rFont val="Tahoma"/>
            <family val="2"/>
          </rPr>
          <t xml:space="preserve">
HOLD Released with New Dwg Sept-16-24</t>
        </r>
      </text>
    </comment>
    <comment ref="E4" authorId="0">
      <text>
        <r>
          <rPr>
            <b/>
            <sz val="9"/>
            <color indexed="81"/>
            <rFont val="Tahoma"/>
            <family val="2"/>
          </rPr>
          <t>MP:</t>
        </r>
        <r>
          <rPr>
            <sz val="9"/>
            <color indexed="81"/>
            <rFont val="Tahoma"/>
            <family val="2"/>
          </rPr>
          <t xml:space="preserve">
HOLD Released with New Dwg Sept-16-24</t>
        </r>
      </text>
    </comment>
    <comment ref="F4" authorId="0">
      <text>
        <r>
          <rPr>
            <b/>
            <sz val="11"/>
            <color indexed="81"/>
            <rFont val="Vandra"/>
          </rPr>
          <t>New Rev.1 recvd Sept-24-2024</t>
        </r>
      </text>
    </comment>
    <comment ref="E5" authorId="0">
      <text>
        <r>
          <rPr>
            <b/>
            <sz val="11"/>
            <color indexed="81"/>
            <rFont val="Vandra"/>
          </rPr>
          <t>Aug-14-2024- Lester Told Gus these Drawings are on HOLD as Kinectrics wants to change Material
Mat'l released Aug-21-2024 as they're to changing material</t>
        </r>
      </text>
    </comment>
    <comment ref="F6" authorId="0">
      <text>
        <r>
          <rPr>
            <b/>
            <sz val="11"/>
            <color indexed="81"/>
            <rFont val="Vandra"/>
          </rPr>
          <t>New Rev.01 Received Sept-19-2024 by Haochen Zhang</t>
        </r>
      </text>
    </comment>
    <comment ref="K11" authorId="0">
      <text>
        <r>
          <rPr>
            <b/>
            <sz val="11"/>
            <color indexed="81"/>
            <rFont val="Vandra"/>
          </rPr>
          <t xml:space="preserve">Delivery date was Oct-21-2024 but
was changed to sept-13-2024 on Sept-4-2024
</t>
        </r>
      </text>
    </comment>
    <comment ref="I153" authorId="0">
      <text>
        <r>
          <rPr>
            <b/>
            <sz val="12"/>
            <color indexed="81"/>
            <rFont val="Tahoma"/>
            <family val="2"/>
          </rPr>
          <t>MP:</t>
        </r>
        <r>
          <rPr>
            <sz val="12"/>
            <color indexed="81"/>
            <rFont val="Tahoma"/>
            <family val="2"/>
          </rPr>
          <t xml:space="preserve">
Transportation Chargeable
1-Sent for 8/19-19
# 554808- United Messenger
</t>
        </r>
      </text>
    </comment>
    <comment ref="E159" authorId="0">
      <text>
        <r>
          <rPr>
            <b/>
            <sz val="12"/>
            <color indexed="81"/>
            <rFont val="Tahoma"/>
            <family val="2"/>
          </rPr>
          <t>MP:</t>
        </r>
        <r>
          <rPr>
            <sz val="12"/>
            <color indexed="81"/>
            <rFont val="Tahoma"/>
            <family val="2"/>
          </rPr>
          <t xml:space="preserve">
Part needs Painting- Kinectrics Blue 286C</t>
        </r>
      </text>
    </comment>
    <comment ref="E172" authorId="0">
      <text>
        <r>
          <rPr>
            <b/>
            <sz val="12"/>
            <color indexed="81"/>
            <rFont val="Tahoma"/>
            <family val="2"/>
          </rPr>
          <t>MP:</t>
        </r>
        <r>
          <rPr>
            <sz val="12"/>
            <color indexed="81"/>
            <rFont val="Tahoma"/>
            <family val="2"/>
          </rPr>
          <t xml:space="preserve">
Part requires Painting
Kinectrics Blue</t>
        </r>
      </text>
    </comment>
    <comment ref="I185" authorId="0">
      <text>
        <r>
          <rPr>
            <b/>
            <sz val="12"/>
            <color indexed="81"/>
            <rFont val="Tahoma"/>
            <family val="2"/>
          </rPr>
          <t>MP:</t>
        </r>
        <r>
          <rPr>
            <sz val="12"/>
            <color indexed="81"/>
            <rFont val="Tahoma"/>
            <family val="2"/>
          </rPr>
          <t xml:space="preserve">
Recvd Approval to purchase Matl for BOM It# 1- from China-  sept-30-10 per Junaid's email</t>
        </r>
      </text>
    </comment>
  </commentList>
</comments>
</file>

<file path=xl/sharedStrings.xml><?xml version="1.0" encoding="utf-8"?>
<sst xmlns="http://schemas.openxmlformats.org/spreadsheetml/2006/main" count="2186" uniqueCount="985">
  <si>
    <t>DJ Ind.</t>
  </si>
  <si>
    <t>Tremco</t>
  </si>
  <si>
    <t>Hibar</t>
  </si>
  <si>
    <t>Protenergy</t>
  </si>
  <si>
    <t>Kinectrics</t>
  </si>
  <si>
    <t>Hydro One</t>
  </si>
  <si>
    <t>Prodomax</t>
  </si>
  <si>
    <t>MHI-Canada</t>
  </si>
  <si>
    <t>Job #:</t>
  </si>
  <si>
    <t>Customer:</t>
  </si>
  <si>
    <t>Qty.:</t>
  </si>
  <si>
    <t>Parts:</t>
  </si>
  <si>
    <t>Descriptions:</t>
  </si>
  <si>
    <t>Invoice:</t>
  </si>
  <si>
    <t>O.E.:</t>
  </si>
  <si>
    <t>Husky</t>
  </si>
  <si>
    <t>Shanghai</t>
  </si>
  <si>
    <t xml:space="preserve"> </t>
  </si>
  <si>
    <t>DWG Rel.</t>
  </si>
  <si>
    <t>Price:</t>
  </si>
  <si>
    <t>P.O. :</t>
  </si>
  <si>
    <t>Del. Req'd:</t>
  </si>
  <si>
    <t>Del. Ship'd:</t>
  </si>
  <si>
    <t>Hybrid</t>
  </si>
  <si>
    <t>EHV Power</t>
  </si>
  <si>
    <t>Gullco</t>
  </si>
  <si>
    <t>Creation T.</t>
  </si>
  <si>
    <t>Van Rob</t>
  </si>
  <si>
    <t>Hydac</t>
  </si>
  <si>
    <t>Whitby</t>
  </si>
  <si>
    <t>Toshiba</t>
  </si>
  <si>
    <t>Buffalo</t>
  </si>
  <si>
    <t>Bombardier</t>
  </si>
  <si>
    <t>Woodbridge</t>
  </si>
  <si>
    <t>Delay:</t>
  </si>
  <si>
    <t>MHI</t>
  </si>
  <si>
    <t>Lux</t>
  </si>
  <si>
    <t>Kipling</t>
  </si>
  <si>
    <t/>
  </si>
  <si>
    <t>hv-Grid</t>
  </si>
  <si>
    <t>Laker Energy</t>
  </si>
  <si>
    <t>Candu</t>
  </si>
  <si>
    <t>AB Sciex</t>
  </si>
  <si>
    <t>EHV-Power</t>
  </si>
  <si>
    <t>Promation</t>
  </si>
  <si>
    <t>RTD-3040/3033</t>
  </si>
  <si>
    <t>Hess M/C</t>
  </si>
  <si>
    <t>HV Grid</t>
  </si>
  <si>
    <t>Polyson</t>
  </si>
  <si>
    <t>Blenheim</t>
  </si>
  <si>
    <t>Candu Energy</t>
  </si>
  <si>
    <t>ATS Energy</t>
  </si>
  <si>
    <t>Qvella</t>
  </si>
  <si>
    <t>Delayed Over 5 D</t>
  </si>
  <si>
    <t>Delayed 1-4 D</t>
  </si>
  <si>
    <t>On Time</t>
  </si>
  <si>
    <t>Before Due Date</t>
  </si>
  <si>
    <t># of Jobs</t>
  </si>
  <si>
    <t>Status:</t>
  </si>
  <si>
    <t>Eclipse</t>
  </si>
  <si>
    <t>MHI-Nagoya</t>
  </si>
  <si>
    <t>MDA</t>
  </si>
  <si>
    <t>M.D.A</t>
  </si>
  <si>
    <t>Ln#:</t>
  </si>
  <si>
    <t>Contact:</t>
  </si>
  <si>
    <t>Input Form</t>
  </si>
  <si>
    <t>OE:</t>
  </si>
  <si>
    <t>QTY:</t>
  </si>
  <si>
    <t>P.O.:</t>
  </si>
  <si>
    <t>REV:</t>
  </si>
  <si>
    <t>Rev</t>
  </si>
  <si>
    <t xml:space="preserve">Eclipse </t>
  </si>
  <si>
    <t>J.E.C Ind,</t>
  </si>
  <si>
    <t>DuBose</t>
  </si>
  <si>
    <t>Gosco</t>
  </si>
  <si>
    <t>Last #:</t>
  </si>
  <si>
    <t>MacNeil  Wash</t>
  </si>
  <si>
    <t>AB SCIEX</t>
  </si>
  <si>
    <t>m:\manufacturing process\</t>
  </si>
  <si>
    <t>\</t>
  </si>
  <si>
    <t>possible complete path</t>
  </si>
  <si>
    <t>ATS Automation</t>
  </si>
  <si>
    <t>company folder</t>
  </si>
  <si>
    <t>WOODBRIDGE</t>
  </si>
  <si>
    <t>Bombardier-LearJet</t>
  </si>
  <si>
    <t>Creation Technology</t>
  </si>
  <si>
    <t>DJ INDUSTRIAL</t>
  </si>
  <si>
    <t>GULLCO</t>
  </si>
  <si>
    <t>HESS</t>
  </si>
  <si>
    <t>Hybird</t>
  </si>
  <si>
    <t>Kinetrics</t>
  </si>
  <si>
    <t>LAKER Energy</t>
  </si>
  <si>
    <t>I</t>
  </si>
  <si>
    <t>Monthly Delivery Report</t>
  </si>
  <si>
    <t>GP</t>
  </si>
  <si>
    <t>Total Job Delivered:</t>
  </si>
  <si>
    <t>Performance (in %)</t>
  </si>
  <si>
    <t>Group #1</t>
  </si>
  <si>
    <t>Group #2</t>
  </si>
  <si>
    <t>Group #3</t>
  </si>
  <si>
    <t>Group #4</t>
  </si>
  <si>
    <t>Performance Report From  1/1/2015  To  3/30/2015</t>
  </si>
  <si>
    <t>Mars</t>
  </si>
  <si>
    <t>Truck Wash</t>
  </si>
  <si>
    <t>SNC-Lavalin</t>
  </si>
  <si>
    <t>Mars Canada</t>
  </si>
  <si>
    <t>Piramal</t>
  </si>
  <si>
    <t>Husky-Mold</t>
  </si>
  <si>
    <t>Hot Runner</t>
  </si>
  <si>
    <t>BC Hydro</t>
  </si>
  <si>
    <t>Dubose</t>
  </si>
  <si>
    <t>JEC</t>
  </si>
  <si>
    <t>SNC Lavalin</t>
  </si>
  <si>
    <t>Note:</t>
  </si>
  <si>
    <t>This "sheet" has much to do with "Customer" menu in th "Input Form" and "Existing MP" file search.</t>
  </si>
  <si>
    <t>"Unhide" columns from B - L to see the entire list. If "New Customer" added, we have to sort column "A"</t>
  </si>
  <si>
    <t>in the way of "A-Z", and make sure to "Series Fill" column "B" from 1 - 70. Finally "Match" the company name</t>
  </si>
  <si>
    <t>in column A with the company name entered in the "Customer" column in "DELIVERY SCHEDULE", and</t>
  </si>
  <si>
    <t>company name in column C match the folder names in "Manufacturing Proccess" in M Drive.</t>
  </si>
  <si>
    <t>Ampson</t>
  </si>
  <si>
    <t>E.P.M</t>
  </si>
  <si>
    <t>DTE</t>
  </si>
  <si>
    <t>Twin River</t>
  </si>
  <si>
    <t>TTC</t>
  </si>
  <si>
    <t>Spin Master</t>
  </si>
  <si>
    <t>Rexroth</t>
  </si>
  <si>
    <t>Rolls-Royce</t>
  </si>
  <si>
    <t>Eaton</t>
  </si>
  <si>
    <t>Vermont</t>
  </si>
  <si>
    <t>Rev. # 4, Jun-06-07</t>
  </si>
  <si>
    <t>RECORD TECHNOLOGY &amp; DEVELOPMENT</t>
  </si>
  <si>
    <t xml:space="preserve">              MANUFACTURING  PROCESS</t>
  </si>
  <si>
    <t>Cust.:</t>
  </si>
  <si>
    <t>RFQ#</t>
  </si>
  <si>
    <t>OE  # :</t>
  </si>
  <si>
    <t>Job  # :</t>
  </si>
  <si>
    <t>P.O. # :</t>
  </si>
  <si>
    <t>Line#</t>
  </si>
  <si>
    <t>Part/DWG # :</t>
  </si>
  <si>
    <t>Rev. :</t>
  </si>
  <si>
    <t>Date:</t>
  </si>
  <si>
    <t>Description:</t>
  </si>
  <si>
    <t>Delivery required:</t>
  </si>
  <si>
    <t>Quantity:</t>
  </si>
  <si>
    <t>Insp/Oper.</t>
  </si>
  <si>
    <t xml:space="preserve">   Shop Code</t>
  </si>
  <si>
    <t>Processes</t>
  </si>
  <si>
    <t xml:space="preserve">        Date</t>
  </si>
  <si>
    <t xml:space="preserve"> Remarks / NCR#</t>
  </si>
  <si>
    <t>RT</t>
  </si>
  <si>
    <t>Manufacture as Req'd from Stock I-Tag Mat'l</t>
  </si>
  <si>
    <t>Inspect c/w DIR &amp; FOD</t>
  </si>
  <si>
    <t>Brampton Proces'g</t>
  </si>
  <si>
    <t>SC</t>
  </si>
  <si>
    <t>Treatment as per DWG Requirements c/w C of C</t>
  </si>
  <si>
    <t>FAI Create and Submit to MHI-CA</t>
  </si>
  <si>
    <t>Notes:</t>
  </si>
  <si>
    <t>Created by:</t>
  </si>
  <si>
    <t>Approved: ODD</t>
  </si>
  <si>
    <t>Steve Daros</t>
  </si>
  <si>
    <t>P = Purchase,    FI = Free Issued Mat'l,   RT = Record to Manufacture,    SC = Subcontract,    I = Inspect</t>
  </si>
  <si>
    <t>Procedures are given as a guideline only and may change depending on material size and machine available.</t>
  </si>
  <si>
    <t>Date: July-8-2016</t>
  </si>
  <si>
    <t>PrecisionHawk</t>
  </si>
  <si>
    <t>Safran</t>
  </si>
  <si>
    <t>Pacific Smoke</t>
  </si>
  <si>
    <t>Aecon Utilities</t>
  </si>
  <si>
    <t>Atlas Copco</t>
  </si>
  <si>
    <t>Safran (Messier)</t>
  </si>
  <si>
    <t>CH2M</t>
  </si>
  <si>
    <t>Hercules SLR</t>
  </si>
  <si>
    <t>BWXT(GE)</t>
  </si>
  <si>
    <t>10+9</t>
  </si>
  <si>
    <t>SLMH-D2</t>
  </si>
  <si>
    <t xml:space="preserve">Injector Block- New </t>
  </si>
  <si>
    <t>rtd#158849</t>
  </si>
  <si>
    <t>Furukawa  Resevoir</t>
  </si>
  <si>
    <t xml:space="preserve">64125-FR  </t>
  </si>
  <si>
    <t>GM224-3031-1 \ -2</t>
  </si>
  <si>
    <t>Strap Rework</t>
  </si>
  <si>
    <t>ATS LIFE SCIENCES</t>
  </si>
  <si>
    <t>The Machining Center (TMC)</t>
  </si>
  <si>
    <t>W. AMSLER</t>
  </si>
  <si>
    <t>Nuclear Waste Mgnt</t>
  </si>
  <si>
    <t>Motion Ind</t>
  </si>
  <si>
    <t>ATS Test</t>
  </si>
  <si>
    <t>BWXT Prec (Laker)</t>
  </si>
  <si>
    <t>Lana Bozic</t>
  </si>
  <si>
    <t>Bobby Borshanpour</t>
  </si>
  <si>
    <t>Aecon Ind</t>
  </si>
  <si>
    <t>Aero-Structural</t>
  </si>
  <si>
    <t>Aero Stuct</t>
  </si>
  <si>
    <t>ATS Life Science</t>
  </si>
  <si>
    <t>BWXT Med</t>
  </si>
  <si>
    <t>BWXT Medical Ltd</t>
  </si>
  <si>
    <t>CAC 3000</t>
  </si>
  <si>
    <t>Lakewood Machine</t>
  </si>
  <si>
    <t>Lumicision</t>
  </si>
  <si>
    <t>Pet All Mfg</t>
  </si>
  <si>
    <t>Protomek</t>
  </si>
  <si>
    <t>Protomek Design</t>
  </si>
  <si>
    <t>Safran (US)</t>
  </si>
  <si>
    <t>SICK</t>
  </si>
  <si>
    <t>The M/C-Centre</t>
  </si>
  <si>
    <t>Tesla (Hibar)</t>
  </si>
  <si>
    <t>Tesla(Hibar)</t>
  </si>
  <si>
    <t>TSC Inc</t>
  </si>
  <si>
    <t>WOLF</t>
  </si>
  <si>
    <t>Zero Defects</t>
  </si>
  <si>
    <t>VNS-Federal</t>
  </si>
  <si>
    <t>Veolia</t>
  </si>
  <si>
    <t>AA</t>
  </si>
  <si>
    <t>Status</t>
  </si>
  <si>
    <t>Confirm</t>
  </si>
  <si>
    <t>ATS-Corp</t>
  </si>
  <si>
    <t>Haliburton</t>
  </si>
  <si>
    <t>Hunstville</t>
  </si>
  <si>
    <t>Westinghouse</t>
  </si>
  <si>
    <t>DieMax</t>
  </si>
  <si>
    <t>K125912-003</t>
  </si>
  <si>
    <t>Krista Lentz</t>
  </si>
  <si>
    <t>GM223-1314-10</t>
  </si>
  <si>
    <t>Angle</t>
  </si>
  <si>
    <t>GM223-1314-9</t>
  </si>
  <si>
    <t>ABI Ltd</t>
  </si>
  <si>
    <t>Iss. D</t>
  </si>
  <si>
    <t>Vial Shield Assy</t>
  </si>
  <si>
    <t>1109596</t>
  </si>
  <si>
    <t>David Weldon</t>
  </si>
  <si>
    <t>052PLNAY01</t>
  </si>
  <si>
    <t>C00</t>
  </si>
  <si>
    <t>Aziza Arora</t>
  </si>
  <si>
    <t>Servo Guard Assy</t>
  </si>
  <si>
    <t>804554</t>
  </si>
  <si>
    <t>Atkins Realis</t>
  </si>
  <si>
    <t>HIFE Systems</t>
  </si>
  <si>
    <t>ComEnCo</t>
  </si>
  <si>
    <t>Ping He</t>
  </si>
  <si>
    <t>RT38-88080-0104-001-DD-1</t>
  </si>
  <si>
    <t>Toggle Clamp</t>
  </si>
  <si>
    <t>Inmotive</t>
  </si>
  <si>
    <t>Part #</t>
  </si>
  <si>
    <t>MZ2x2-D-N-S7N</t>
  </si>
  <si>
    <t>Chris Morrison</t>
  </si>
  <si>
    <t>Cindy Weng</t>
  </si>
  <si>
    <t>Packing Slip</t>
  </si>
  <si>
    <t>Brandon Kwakye-Longdon</t>
  </si>
  <si>
    <t>Mz2x2-D Injector Nozzle</t>
  </si>
  <si>
    <t>MZ2x2-D-AI-PIS</t>
  </si>
  <si>
    <t>C</t>
  </si>
  <si>
    <t>MZ2x2-D-AI-Piston</t>
  </si>
  <si>
    <t>Liburdi</t>
  </si>
  <si>
    <t>C6 Bore Gauge- Commissioning Ring</t>
  </si>
  <si>
    <t>Sample</t>
  </si>
  <si>
    <t>Vishnu Joshi</t>
  </si>
  <si>
    <r>
      <t xml:space="preserve">Bayonet - </t>
    </r>
    <r>
      <rPr>
        <b/>
        <sz val="12"/>
        <color rgb="FFFF0000"/>
        <rFont val="Cambria"/>
        <family val="1"/>
        <scheme val="major"/>
      </rPr>
      <t>F/I for Swaging</t>
    </r>
  </si>
  <si>
    <r>
      <t>21RT-88030-0182-01-DD-2-</t>
    </r>
    <r>
      <rPr>
        <b/>
        <sz val="11"/>
        <color rgb="FFFF0000"/>
        <rFont val="Cambria"/>
        <family val="1"/>
        <scheme val="major"/>
      </rPr>
      <t>R/W</t>
    </r>
  </si>
  <si>
    <t>SS. Air Curtain - Modified</t>
  </si>
  <si>
    <t>James Kearns</t>
  </si>
  <si>
    <t>08-63500-0233-01-DD-2</t>
  </si>
  <si>
    <t>Ashan Syed</t>
  </si>
  <si>
    <t>87-63500-PN-R010</t>
  </si>
  <si>
    <t>08-63500-0252-01-DD-2</t>
  </si>
  <si>
    <t>08-63500-0222-01-DD-2</t>
  </si>
  <si>
    <t>08-63500-0229-01-DD-3</t>
  </si>
  <si>
    <t>08-63500-0224-01-DD-2</t>
  </si>
  <si>
    <r>
      <t>Insert Housing Size 24-</t>
    </r>
    <r>
      <rPr>
        <b/>
        <sz val="10"/>
        <color rgb="FFFF0000"/>
        <rFont val="Cambria"/>
        <family val="1"/>
        <scheme val="major"/>
      </rPr>
      <t>NEL-IH-24-00</t>
    </r>
  </si>
  <si>
    <r>
      <t>Insert Housing Size 36-</t>
    </r>
    <r>
      <rPr>
        <b/>
        <sz val="10"/>
        <color rgb="FFFF0000"/>
        <rFont val="Cambria"/>
        <family val="1"/>
        <scheme val="major"/>
      </rPr>
      <t>NEL-IH-36-00</t>
    </r>
  </si>
  <si>
    <r>
      <t>Pin Size 16-16 -</t>
    </r>
    <r>
      <rPr>
        <b/>
        <sz val="10"/>
        <color rgb="FFFF0000"/>
        <rFont val="Cambria"/>
        <family val="1"/>
        <scheme val="major"/>
      </rPr>
      <t xml:space="preserve"> NEL-PN-00-1616</t>
    </r>
  </si>
  <si>
    <r>
      <t xml:space="preserve">Pin Size 16,20 - </t>
    </r>
    <r>
      <rPr>
        <b/>
        <sz val="9"/>
        <color rgb="FFFF0000"/>
        <rFont val="Cambria"/>
        <family val="1"/>
        <scheme val="major"/>
      </rPr>
      <t>NEL-PN-00-1620</t>
    </r>
  </si>
  <si>
    <r>
      <t xml:space="preserve">Contact Clip Size 16- </t>
    </r>
    <r>
      <rPr>
        <b/>
        <sz val="10"/>
        <color rgb="FFFF0000"/>
        <rFont val="Cambria"/>
        <family val="1"/>
        <scheme val="major"/>
      </rPr>
      <t>NEL-CC-00-16</t>
    </r>
  </si>
  <si>
    <r>
      <rPr>
        <b/>
        <sz val="12"/>
        <rFont val="Cambria"/>
        <family val="1"/>
        <scheme val="major"/>
      </rPr>
      <t>RT98</t>
    </r>
    <r>
      <rPr>
        <sz val="12"/>
        <rFont val="Cambria"/>
        <family val="1"/>
        <scheme val="major"/>
      </rPr>
      <t>-87900-PN-R002</t>
    </r>
  </si>
  <si>
    <r>
      <t>Removal PA Tool Cart-</t>
    </r>
    <r>
      <rPr>
        <b/>
        <sz val="8"/>
        <color rgb="FFFF0000"/>
        <rFont val="Cambria"/>
        <family val="1"/>
        <scheme val="major"/>
      </rPr>
      <t>RT-7538-000-PRT</t>
    </r>
  </si>
  <si>
    <t>RT-87920-0351-01-GA-D</t>
  </si>
  <si>
    <t>CTI Bore Gauge</t>
  </si>
  <si>
    <t>Laila Parveen</t>
  </si>
  <si>
    <t>B</t>
  </si>
  <si>
    <t>PD-20551</t>
  </si>
  <si>
    <r>
      <t xml:space="preserve">Puffer Caps &amp; Nozzles  </t>
    </r>
    <r>
      <rPr>
        <b/>
        <sz val="12"/>
        <color rgb="FFFF0000"/>
        <rFont val="Cambria"/>
        <family val="1"/>
        <scheme val="major"/>
      </rPr>
      <t>34 x 50 Mesh</t>
    </r>
  </si>
  <si>
    <t>Jatin Munjal</t>
  </si>
  <si>
    <r>
      <rPr>
        <b/>
        <sz val="12"/>
        <rFont val="Cambria"/>
        <family val="1"/>
        <scheme val="major"/>
      </rPr>
      <t>RT98</t>
    </r>
    <r>
      <rPr>
        <sz val="12"/>
        <rFont val="Cambria"/>
        <family val="1"/>
        <scheme val="major"/>
      </rPr>
      <t>-87540-PN-R001</t>
    </r>
  </si>
  <si>
    <t>RT-87713-0001-1-GA-D</t>
  </si>
  <si>
    <t>Sanchia Bartley-Ndiaye</t>
  </si>
  <si>
    <t>RT-87550-0100-01-GA-E</t>
  </si>
  <si>
    <r>
      <t xml:space="preserve">Bellows Cutting Tool </t>
    </r>
    <r>
      <rPr>
        <b/>
        <sz val="12"/>
        <rFont val="Cambria"/>
        <family val="1"/>
        <scheme val="major"/>
      </rPr>
      <t>(SFCR)</t>
    </r>
  </si>
  <si>
    <t>RT-87900-0400-1-GA-E</t>
  </si>
  <si>
    <t>Barbara Vaz</t>
  </si>
  <si>
    <t>C6- Bore Gauge</t>
  </si>
  <si>
    <t>RT-87900-0500-01-GA-E</t>
  </si>
  <si>
    <t>C6 Bore Gauge- Narrow Landing</t>
  </si>
  <si>
    <t>Lot</t>
  </si>
  <si>
    <t>Spare parts</t>
  </si>
  <si>
    <t>Brandon Kwakye</t>
  </si>
  <si>
    <t>0109/25</t>
  </si>
  <si>
    <t>To Capture cost for Spare parts</t>
  </si>
  <si>
    <t>Included</t>
  </si>
  <si>
    <t>NPN</t>
  </si>
  <si>
    <t>Sanchai Bartley-Ndiaye</t>
  </si>
  <si>
    <t>02/1125</t>
  </si>
  <si>
    <t>Chris</t>
  </si>
  <si>
    <t>Auger to measure &amp; Prelim Dwgs</t>
  </si>
  <si>
    <t>NPO #</t>
  </si>
  <si>
    <t>RT-88030-0300-01-GA-0</t>
  </si>
  <si>
    <t>Angelica de la Barrera</t>
  </si>
  <si>
    <t>Garter Spring Detection Tool</t>
  </si>
  <si>
    <t>RT-88030-0063-01-GA-E</t>
  </si>
  <si>
    <t>Single Spacer Drop off Tool</t>
  </si>
  <si>
    <t>C.O.D</t>
  </si>
  <si>
    <t>Metonic</t>
  </si>
  <si>
    <t>Misc</t>
  </si>
  <si>
    <t>Edwin</t>
  </si>
  <si>
    <t>Misc WJ Cutting</t>
  </si>
  <si>
    <t>NPO</t>
  </si>
  <si>
    <t>RT-88230-0245-01-GA-E</t>
  </si>
  <si>
    <t>RT-88230-0246-01-GA-E</t>
  </si>
  <si>
    <t>RT-88230-0247-01-GA-E</t>
  </si>
  <si>
    <t>RT-88230-0248-01-GA-E</t>
  </si>
  <si>
    <t>RT-88230-0249-01-GA-D</t>
  </si>
  <si>
    <t>RT-88230-0250-01-GA-D</t>
  </si>
  <si>
    <t>RT-88230-0251-01-GA-D</t>
  </si>
  <si>
    <t>RT-88230-0252-01-GA-D</t>
  </si>
  <si>
    <t>RT-88230-0200-01-GA-E</t>
  </si>
  <si>
    <t>Large Template , MK TP-1A</t>
  </si>
  <si>
    <t>Large Template , MK TP-1C</t>
  </si>
  <si>
    <t>Large Template , MK TP-2A</t>
  </si>
  <si>
    <t>Large Template , MK TP-2C</t>
  </si>
  <si>
    <t>Small Template , MK TP-3A</t>
  </si>
  <si>
    <t>Small Template , MK TP-3C</t>
  </si>
  <si>
    <t>Small Template , MK TP-4A</t>
  </si>
  <si>
    <t>Small Template , MK TP-4C</t>
  </si>
  <si>
    <t>Upper Feeder Template Assy</t>
  </si>
  <si>
    <r>
      <rPr>
        <b/>
        <sz val="12"/>
        <rFont val="Cambria"/>
        <family val="1"/>
        <scheme val="major"/>
      </rPr>
      <t>RT98</t>
    </r>
    <r>
      <rPr>
        <b/>
        <sz val="11"/>
        <color rgb="FF00B0F0"/>
        <rFont val="Cambria"/>
        <family val="1"/>
        <scheme val="major"/>
      </rPr>
      <t>-</t>
    </r>
    <r>
      <rPr>
        <sz val="12"/>
        <rFont val="Cambria"/>
        <family val="1"/>
        <scheme val="major"/>
      </rPr>
      <t>88230-PN-R010</t>
    </r>
  </si>
  <si>
    <t>M</t>
  </si>
  <si>
    <r>
      <rPr>
        <b/>
        <sz val="12"/>
        <color rgb="FF0070C0"/>
        <rFont val="Cambria"/>
        <family val="1"/>
        <scheme val="major"/>
      </rPr>
      <t>RT79</t>
    </r>
    <r>
      <rPr>
        <sz val="12"/>
        <rFont val="Cambria"/>
        <family val="1"/>
        <scheme val="major"/>
      </rPr>
      <t>-87550-PN-R001</t>
    </r>
  </si>
  <si>
    <t>RT-88030-0250-1-GA-D</t>
  </si>
  <si>
    <t>Eddy Current Spacer Detection Trough</t>
  </si>
  <si>
    <t>RT-87640-70300-000-1-GA-E</t>
  </si>
  <si>
    <t>Mockup LWTF Trolley</t>
  </si>
  <si>
    <r>
      <rPr>
        <b/>
        <sz val="12"/>
        <rFont val="Cambria"/>
        <family val="1"/>
        <scheme val="major"/>
      </rPr>
      <t>RT98</t>
    </r>
    <r>
      <rPr>
        <sz val="12"/>
        <rFont val="Cambria"/>
        <family val="1"/>
        <scheme val="major"/>
      </rPr>
      <t>-87590-PN-R007</t>
    </r>
  </si>
  <si>
    <t>Sketch</t>
  </si>
  <si>
    <t>Nesha</t>
  </si>
  <si>
    <t>BA Trench Cover</t>
  </si>
  <si>
    <t>Valve to repair Worn Areas &amp; Chrome</t>
  </si>
  <si>
    <t>Plunger Valve to Repair by Sleeve</t>
  </si>
  <si>
    <t>Hand Pump hone after chrome</t>
  </si>
  <si>
    <t>Shell Installation Tool Assy</t>
  </si>
  <si>
    <t>RT-87550-0145-01-GA-E</t>
  </si>
  <si>
    <t>Shell Installatin Tool Assy</t>
  </si>
  <si>
    <t>1 + 1</t>
  </si>
  <si>
    <t>RT-87250-74016-000-1-GA-E</t>
  </si>
  <si>
    <t>Angelica DeLa Barrera</t>
  </si>
  <si>
    <t>Pitch Yaw Mounting Frame Tool</t>
  </si>
  <si>
    <t>RT-87250-74010-000-1-GA-E</t>
  </si>
  <si>
    <t>Pitch Yaw Mounting Table</t>
  </si>
  <si>
    <r>
      <rPr>
        <b/>
        <sz val="12"/>
        <rFont val="Cambria"/>
        <family val="1"/>
        <scheme val="major"/>
      </rPr>
      <t>RT98</t>
    </r>
    <r>
      <rPr>
        <sz val="12"/>
        <rFont val="Cambria"/>
        <family val="1"/>
        <scheme val="major"/>
      </rPr>
      <t>-87000-PN-R012</t>
    </r>
  </si>
  <si>
    <t>Front Left Upright</t>
  </si>
  <si>
    <t>Front Right upright</t>
  </si>
  <si>
    <t>Rear Left Upright</t>
  </si>
  <si>
    <t>Rear Right Upright</t>
  </si>
  <si>
    <t>EN-00403</t>
  </si>
  <si>
    <t>Motor Mount Sprocket</t>
  </si>
  <si>
    <t>RT-87590-70000-000-1-GA-E</t>
  </si>
  <si>
    <r>
      <t>EFSF Removal Too</t>
    </r>
    <r>
      <rPr>
        <b/>
        <sz val="10"/>
        <color rgb="FFFF0000"/>
        <rFont val="Cambria"/>
        <family val="1"/>
        <scheme val="major"/>
      </rPr>
      <t xml:space="preserve">l   </t>
    </r>
    <r>
      <rPr>
        <b/>
        <sz val="11"/>
        <color rgb="FFFF0000"/>
        <rFont val="Cambria"/>
        <family val="1"/>
        <scheme val="major"/>
      </rPr>
      <t xml:space="preserve"> (RT-7591-000-PRT)</t>
    </r>
  </si>
  <si>
    <t>RT-87630-71254-1000-1-GA-D</t>
  </si>
  <si>
    <t>Ashna Irani-Kavasji</t>
  </si>
  <si>
    <t>VRS Manual Retrieval Tool</t>
  </si>
  <si>
    <t>Small Waste Transfer Flask</t>
  </si>
  <si>
    <t>DSK30906G01-113</t>
  </si>
  <si>
    <t>Loading Block</t>
  </si>
  <si>
    <t>Pablo Garcida</t>
  </si>
  <si>
    <r>
      <rPr>
        <b/>
        <sz val="11"/>
        <color rgb="FF0070C0"/>
        <rFont val="Cambria"/>
        <family val="1"/>
        <scheme val="major"/>
      </rPr>
      <t>RT79</t>
    </r>
    <r>
      <rPr>
        <b/>
        <sz val="11"/>
        <rFont val="Cambria"/>
        <family val="1"/>
        <scheme val="major"/>
      </rPr>
      <t>-87550-PN-R001</t>
    </r>
    <r>
      <rPr>
        <b/>
        <sz val="11"/>
        <color rgb="FFFF3300"/>
        <rFont val="Cambria"/>
        <family val="1"/>
        <scheme val="major"/>
      </rPr>
      <t>-R.1</t>
    </r>
  </si>
  <si>
    <t>Installation Worktable</t>
  </si>
  <si>
    <t>RT-87250-70000-5000-1-GA-B</t>
  </si>
  <si>
    <t>Inst. Worktable Support Frame</t>
  </si>
  <si>
    <t>RT-87920-0303-01-GA-D</t>
  </si>
  <si>
    <t>CT Shield Sleeve- Short</t>
  </si>
  <si>
    <t>RT-87920-0051-01-DD-C</t>
  </si>
  <si>
    <t>62/25</t>
  </si>
  <si>
    <t>Hook Assy For Extension Tool</t>
  </si>
  <si>
    <r>
      <rPr>
        <b/>
        <sz val="12"/>
        <rFont val="Cambria"/>
        <family val="1"/>
        <scheme val="major"/>
      </rPr>
      <t>RT98</t>
    </r>
    <r>
      <rPr>
        <sz val="12"/>
        <rFont val="Cambria"/>
        <family val="1"/>
        <scheme val="major"/>
      </rPr>
      <t>-87250-PN-R007</t>
    </r>
  </si>
  <si>
    <t>1 +1</t>
  </si>
  <si>
    <t>Pablo Gracida</t>
  </si>
  <si>
    <t>RT-88030-0310-1-GA-D</t>
  </si>
  <si>
    <t>RT-88030-0021-01-GA-1</t>
  </si>
  <si>
    <t>Eddy Current Verification Bench</t>
  </si>
  <si>
    <t>Tool Encoder Bracket Assy</t>
  </si>
  <si>
    <r>
      <t xml:space="preserve">RT98-88030-PN-R001- </t>
    </r>
    <r>
      <rPr>
        <b/>
        <sz val="10.5"/>
        <color rgb="FFFF0000"/>
        <rFont val="Cambria"/>
        <family val="1"/>
        <scheme val="major"/>
      </rPr>
      <t>R.2</t>
    </r>
  </si>
  <si>
    <t>William Won</t>
  </si>
  <si>
    <t>Steve Davey</t>
  </si>
  <si>
    <t>213025-1</t>
  </si>
  <si>
    <t xml:space="preserve">Front Plate </t>
  </si>
  <si>
    <t>RT-87840-70000-1000-1-GA-B</t>
  </si>
  <si>
    <t>CV FME Inspection Tool</t>
  </si>
  <si>
    <t>RT-87920-74245-048-1-DD-B</t>
  </si>
  <si>
    <t>Madhu Ragavan Mani</t>
  </si>
  <si>
    <t>Lucy Poei</t>
  </si>
  <si>
    <t>4 +4</t>
  </si>
  <si>
    <t>RT38-87850-1026-01-DD-C2</t>
  </si>
  <si>
    <t>3 + 4</t>
  </si>
  <si>
    <t>Head Housing</t>
  </si>
  <si>
    <t>RT-87000-0097-1-GA-C</t>
  </si>
  <si>
    <t>Sanchia Bartley-Nidiaye</t>
  </si>
  <si>
    <t>CT Removal Protective Sleeve</t>
  </si>
  <si>
    <t>RT-87000-70600-6000-1-GA-B</t>
  </si>
  <si>
    <t>CT Removal Thrust Sleeve</t>
  </si>
  <si>
    <t>RT-88000-70067-000-1-GA-D</t>
  </si>
  <si>
    <t>Leak Test Tool Check Sleeve</t>
  </si>
  <si>
    <t>RT-88010-0080-01-DD-B</t>
  </si>
  <si>
    <t>Bore Gauge Protective Sleeve</t>
  </si>
  <si>
    <r>
      <rPr>
        <b/>
        <sz val="12"/>
        <rFont val="Cambria"/>
        <family val="1"/>
        <scheme val="major"/>
      </rPr>
      <t>RT98</t>
    </r>
    <r>
      <rPr>
        <sz val="12"/>
        <rFont val="Cambria"/>
        <family val="1"/>
        <scheme val="major"/>
      </rPr>
      <t>-88010-PN-R009</t>
    </r>
  </si>
  <si>
    <r>
      <rPr>
        <b/>
        <sz val="12"/>
        <rFont val="Cambria"/>
        <family val="1"/>
        <scheme val="major"/>
      </rPr>
      <t>RT98</t>
    </r>
    <r>
      <rPr>
        <sz val="12"/>
        <rFont val="Cambria"/>
        <family val="1"/>
        <scheme val="major"/>
      </rPr>
      <t>-88010-PN-R008</t>
    </r>
  </si>
  <si>
    <t>RT-88000-70051-000-1-GA-E</t>
  </si>
  <si>
    <t>Gauge P/T Expander Reach setting Gauge</t>
  </si>
  <si>
    <t>Superwake</t>
  </si>
  <si>
    <t>S93501-105</t>
  </si>
  <si>
    <t>c</t>
  </si>
  <si>
    <t>Miceeal Melville</t>
  </si>
  <si>
    <t>Main Spar Mold "A"</t>
  </si>
  <si>
    <t>S93502-105</t>
  </si>
  <si>
    <t>Main Spar Mold "B"</t>
  </si>
  <si>
    <t>S92201-105</t>
  </si>
  <si>
    <t>Rear Spar Mold</t>
  </si>
  <si>
    <t>LOT $ 3692</t>
  </si>
  <si>
    <t>Verbal</t>
  </si>
  <si>
    <t>RT-87530-70001-1-GA-D</t>
  </si>
  <si>
    <t>Enhanced FIF Tool</t>
  </si>
  <si>
    <r>
      <rPr>
        <b/>
        <sz val="12"/>
        <rFont val="Cambria"/>
        <family val="1"/>
        <scheme val="major"/>
      </rPr>
      <t>RT98</t>
    </r>
    <r>
      <rPr>
        <sz val="12"/>
        <rFont val="Cambria"/>
        <family val="1"/>
        <scheme val="major"/>
      </rPr>
      <t>-87530-PN-R001</t>
    </r>
  </si>
  <si>
    <t>98-31952-83-1-GA-E</t>
  </si>
  <si>
    <t>General Inspection Fixture</t>
  </si>
  <si>
    <t>98-31952-69-1-GA-E</t>
  </si>
  <si>
    <t>Tool Channel Closure Dismantling Tool</t>
  </si>
  <si>
    <t>RT-88030-70120-2000-1-GA-B</t>
  </si>
  <si>
    <t>SA Transport Container</t>
  </si>
  <si>
    <t>RT-88030-70121-2000-1-GA-B</t>
  </si>
  <si>
    <t>EF Transport Container</t>
  </si>
  <si>
    <t>Sanchia Bartley-Nidaye</t>
  </si>
  <si>
    <t>End Shield Measurement Tool</t>
  </si>
  <si>
    <r>
      <rPr>
        <b/>
        <sz val="12"/>
        <rFont val="Cambria"/>
        <family val="1"/>
        <scheme val="major"/>
      </rPr>
      <t>RT98-</t>
    </r>
    <r>
      <rPr>
        <sz val="12"/>
        <rFont val="Cambria"/>
        <family val="1"/>
        <scheme val="major"/>
      </rPr>
      <t>87710-PN-R006</t>
    </r>
  </si>
  <si>
    <t>C6-Bore Gauge</t>
  </si>
  <si>
    <t>C6-Bore Gague- Narrow Landing</t>
  </si>
  <si>
    <r>
      <rPr>
        <b/>
        <sz val="12"/>
        <rFont val="Cambria"/>
        <family val="1"/>
        <scheme val="major"/>
      </rPr>
      <t>RT98</t>
    </r>
    <r>
      <rPr>
        <sz val="12"/>
        <rFont val="Cambria"/>
        <family val="1"/>
        <scheme val="major"/>
      </rPr>
      <t>-87900-PN-R003</t>
    </r>
  </si>
  <si>
    <t>RT-87272-0010-01-GA-E</t>
  </si>
  <si>
    <t>Hinge Mockup Columen for Comm.</t>
  </si>
  <si>
    <r>
      <rPr>
        <b/>
        <sz val="11"/>
        <rFont val="Cambria"/>
        <family val="1"/>
        <scheme val="major"/>
      </rPr>
      <t>RT98</t>
    </r>
    <r>
      <rPr>
        <sz val="11"/>
        <rFont val="Cambria"/>
        <family val="1"/>
        <scheme val="major"/>
      </rPr>
      <t>-87272-PN-R020-</t>
    </r>
    <r>
      <rPr>
        <b/>
        <sz val="11"/>
        <color rgb="FFFF0000"/>
        <rFont val="Cambria"/>
        <family val="1"/>
        <scheme val="major"/>
      </rPr>
      <t>R.1</t>
    </r>
  </si>
  <si>
    <t>RT-88030-0053-01-GA-D</t>
  </si>
  <si>
    <t>Calandria Tube Extension Sleeve</t>
  </si>
  <si>
    <t>RT-88020-0200-1-GA-C</t>
  </si>
  <si>
    <t>Feeder Port Angle Adjustment Tool</t>
  </si>
  <si>
    <t>Lifting Grapple</t>
  </si>
  <si>
    <t>RT-87920-74112-000-1-GA-E</t>
  </si>
  <si>
    <t>RT-87920-74107-000-1-GA-E</t>
  </si>
  <si>
    <t>Extension Trolley</t>
  </si>
  <si>
    <t>21RT-88070-0326-001-GA-1</t>
  </si>
  <si>
    <t>Cart Closure Plug Cart</t>
  </si>
  <si>
    <t>RT-87920-74104-000-1-GA-E</t>
  </si>
  <si>
    <t>Insertion Trolley &amp; Handle</t>
  </si>
  <si>
    <t>RT-87590-0250-1-GA-0</t>
  </si>
  <si>
    <t>EF in Shuttle Flask Tool</t>
  </si>
  <si>
    <t>RT-87500-0108-1-GA-0</t>
  </si>
  <si>
    <t>EF Rotation Tool</t>
  </si>
  <si>
    <t>RT-87590-70201-4000-1-GA-B</t>
  </si>
  <si>
    <t>Manual Bellows Push Tool</t>
  </si>
  <si>
    <t>RT-79100-0100-01-GA-E</t>
  </si>
  <si>
    <t>Closure Plug Shuttle Box</t>
  </si>
  <si>
    <t>Tool Delivery  Trough</t>
  </si>
  <si>
    <t>RT-87540-0200-01-GA-E</t>
  </si>
  <si>
    <t>08-63500-0223-01-GA-2</t>
  </si>
  <si>
    <t>Socket Size 16, 16 AWG Barrel</t>
  </si>
  <si>
    <t>87-63500-PN-R013</t>
  </si>
  <si>
    <r>
      <t xml:space="preserve">721701- </t>
    </r>
    <r>
      <rPr>
        <b/>
        <sz val="12"/>
        <color rgb="FFFF0000"/>
        <rFont val="Cambria"/>
        <family val="1"/>
        <scheme val="major"/>
      </rPr>
      <t>Rev.1</t>
    </r>
  </si>
  <si>
    <t>RT-87290-7002-1-GA-D</t>
  </si>
  <si>
    <t>Material Handling Carts</t>
  </si>
  <si>
    <r>
      <rPr>
        <b/>
        <sz val="12"/>
        <rFont val="Cambria"/>
        <family val="1"/>
        <scheme val="major"/>
      </rPr>
      <t>RT98</t>
    </r>
    <r>
      <rPr>
        <sz val="12"/>
        <rFont val="Cambria"/>
        <family val="1"/>
        <scheme val="major"/>
      </rPr>
      <t>-87290-PN-R004</t>
    </r>
  </si>
  <si>
    <t>RT-87630-71521-1000-1-GA-E</t>
  </si>
  <si>
    <t>VRS PT Lunchbox</t>
  </si>
  <si>
    <t>VRS Baseline- PT Small OD Gripper Hd</t>
  </si>
  <si>
    <t>RT-87630-71622-1000-1-GA-E</t>
  </si>
  <si>
    <t>RT-87630-71522-1000-1GA-E</t>
  </si>
  <si>
    <t>VRS Swab Loader- Mark 2</t>
  </si>
  <si>
    <r>
      <rPr>
        <b/>
        <sz val="12"/>
        <color rgb="FF0070C0"/>
        <rFont val="Cambria"/>
        <family val="1"/>
        <scheme val="major"/>
      </rPr>
      <t>RT79-</t>
    </r>
    <r>
      <rPr>
        <sz val="12"/>
        <rFont val="Cambria"/>
        <family val="1"/>
        <scheme val="major"/>
      </rPr>
      <t>87630-PN-R011</t>
    </r>
  </si>
  <si>
    <t>Modified Air Motor Adaptor</t>
  </si>
  <si>
    <t>RT-87920-74245-000-1-GA-E</t>
  </si>
  <si>
    <t>Air Motor Stande</t>
  </si>
  <si>
    <t>RT-88000-70097-000-1-GA-E</t>
  </si>
  <si>
    <t>Air Motor Support Stand</t>
  </si>
  <si>
    <t>RT-88000-70056-000-1-GA-E</t>
  </si>
  <si>
    <t>Air Motor Support with Stabalizer</t>
  </si>
  <si>
    <t>NPD0059-DET-9111</t>
  </si>
  <si>
    <t>Main Body</t>
  </si>
  <si>
    <t>NPD0059-DET-9115</t>
  </si>
  <si>
    <t>NPD0059-DET-2223</t>
  </si>
  <si>
    <t>Mounting Plate, Kid of Stages</t>
  </si>
  <si>
    <t>RT-87000-71100-1000-1-GA-E</t>
  </si>
  <si>
    <t>Bellows Replacement Tool Base</t>
  </si>
  <si>
    <t>RT-87000-71150-1000-1-GA-E</t>
  </si>
  <si>
    <t>Plug Insertion Tool</t>
  </si>
  <si>
    <t>RT-87000-71150-1021-1-DD-D</t>
  </si>
  <si>
    <t>Shield Plug to Handling Tool Adapter</t>
  </si>
  <si>
    <t>21RT-81000-0140-001-GA-1</t>
  </si>
  <si>
    <t>Shield Plug Manual Insertion Tool</t>
  </si>
  <si>
    <t>RT-87000-71150-1001-1-DD-D</t>
  </si>
  <si>
    <t>Bellows Replacement Shield Plug</t>
  </si>
  <si>
    <t>RT-87000-71200-1000-1-GA-E</t>
  </si>
  <si>
    <t>Bellows Removal Cutting Tool</t>
  </si>
  <si>
    <t>RT-87000-71225-1000-1-GA-E</t>
  </si>
  <si>
    <t>Bellows Removal Cutting Tool Drive</t>
  </si>
  <si>
    <t>RT-87000-71300-1000-1-GA-E</t>
  </si>
  <si>
    <t>Bellows Replacement Machine Chuck</t>
  </si>
  <si>
    <t>RT-87000-72000-1000-1-GA-E</t>
  </si>
  <si>
    <t>Tool Mockup Components</t>
  </si>
  <si>
    <t>RT-87000-0223-1-GA-2</t>
  </si>
  <si>
    <t>ALT. weld head Mounting Tool</t>
  </si>
  <si>
    <t>RT-87000-0300-1-GA-D</t>
  </si>
  <si>
    <t>Tool Alignment Tool</t>
  </si>
  <si>
    <t>RT-87000-0166-1-GA-C</t>
  </si>
  <si>
    <t>Extension Adaptor</t>
  </si>
  <si>
    <t>RT38-15200-014-00-GA00-001</t>
  </si>
  <si>
    <t>Junction Control Box  ( with Cables)</t>
  </si>
  <si>
    <t>RT-87000-0165-1-SK-C</t>
  </si>
  <si>
    <t>Tool Ring Gauges ( Set)</t>
  </si>
  <si>
    <t>RT-87000-71200-1004-1-DD-B</t>
  </si>
  <si>
    <t>Axial Wear Ring .633</t>
  </si>
  <si>
    <t>RT-87000-71230-1011-1-DD-B</t>
  </si>
  <si>
    <t>Axial Wera Ring Cut 1</t>
  </si>
  <si>
    <t>RT-87000-71230-1012-1-DD-B</t>
  </si>
  <si>
    <t>Azial Wear Ring Cut 2</t>
  </si>
  <si>
    <r>
      <rPr>
        <b/>
        <sz val="12"/>
        <color rgb="FF0070C0"/>
        <rFont val="Cambria"/>
        <family val="1"/>
        <scheme val="major"/>
      </rPr>
      <t>RT79</t>
    </r>
    <r>
      <rPr>
        <sz val="12"/>
        <rFont val="Cambria"/>
        <family val="1"/>
        <scheme val="major"/>
      </rPr>
      <t>-87000-PN-R020</t>
    </r>
  </si>
  <si>
    <t>CAT5824-2B</t>
  </si>
  <si>
    <t>Alignment Tool</t>
  </si>
  <si>
    <t>RT-87910-0130-1-GA-D</t>
  </si>
  <si>
    <t>Sanchia Bartley Ndiaye</t>
  </si>
  <si>
    <t>Measure/Cut off Bench</t>
  </si>
  <si>
    <t>RT-87910-0133-1-GA-0</t>
  </si>
  <si>
    <t>Scribing Tool</t>
  </si>
  <si>
    <t>RT-88000-70059-000-1-GA-E</t>
  </si>
  <si>
    <t>Bore Gague &amp; Ring Gauge Cal. Stor Trough</t>
  </si>
  <si>
    <t>RT-88000-70011-000-1-GA-E</t>
  </si>
  <si>
    <t>Tool E/F Assy Bench</t>
  </si>
  <si>
    <t>RT-88000-70036-002-2-DD-D</t>
  </si>
  <si>
    <t>Tool End Stop Bench (RH)</t>
  </si>
  <si>
    <t>RT-88000-70012-000-1-GA-E</t>
  </si>
  <si>
    <t>Tool P/T Measuring Bench</t>
  </si>
  <si>
    <t>RT-88000-70035-000-1-GA-E</t>
  </si>
  <si>
    <t>S/A Preparation Bench ( LH)</t>
  </si>
  <si>
    <t>RT-88000-70036-000-1-GA-E</t>
  </si>
  <si>
    <t>S/A Preparation Bench ( RH)</t>
  </si>
  <si>
    <t>RT-88000-70050-000-1-GA-E</t>
  </si>
  <si>
    <t>Expander Support Stand</t>
  </si>
  <si>
    <t>RT-88000-0013-01-GA-C</t>
  </si>
  <si>
    <t>Roller Supports for Measuring Bench</t>
  </si>
  <si>
    <t>RT-88000-73530-100-1-DD-E</t>
  </si>
  <si>
    <t>Roller Support Frame</t>
  </si>
  <si>
    <t>RT-88000-70035-002-1-DD-D</t>
  </si>
  <si>
    <t>End Stop Bench ( LH)</t>
  </si>
  <si>
    <t>RT-88000-70036-011-1-DD-D</t>
  </si>
  <si>
    <t>SA Prep Bench (RH) Supt Stand</t>
  </si>
  <si>
    <t>RT-88000-70035-011-1-DD-D</t>
  </si>
  <si>
    <t>Prep Bench ( LH) Supt Stand</t>
  </si>
  <si>
    <r>
      <rPr>
        <b/>
        <sz val="12"/>
        <color theme="1"/>
        <rFont val="Cambria"/>
        <family val="1"/>
        <scheme val="major"/>
      </rPr>
      <t>RT98</t>
    </r>
    <r>
      <rPr>
        <sz val="12"/>
        <rFont val="Cambria"/>
        <family val="1"/>
        <scheme val="major"/>
      </rPr>
      <t>-88010-PN-R010</t>
    </r>
  </si>
  <si>
    <t>Etianne Machado</t>
  </si>
  <si>
    <t>1+1</t>
  </si>
  <si>
    <t>RT-87640-72150-000-1-GA-E</t>
  </si>
  <si>
    <t>RT87640-73150-000-1-GA-E</t>
  </si>
  <si>
    <t>Shuttle Flask Trolley FM Room</t>
  </si>
  <si>
    <t>RT-87640-70315-000-1-GA-E</t>
  </si>
  <si>
    <t>RT-87640-70320-000-1-GA-E</t>
  </si>
  <si>
    <t>Tool Trolley Track (SF Trolley &amp; LWTF)</t>
  </si>
  <si>
    <t>Tool Trolley Track Asy ( Airlock)</t>
  </si>
  <si>
    <t>RT-87640-70315-049-1-GA-C</t>
  </si>
  <si>
    <t>Flag Assembly 1</t>
  </si>
  <si>
    <t>RT-87640-70315-050-1-GA-C</t>
  </si>
  <si>
    <t>Flag Assembly 2</t>
  </si>
  <si>
    <t>RT-87640-70315-051-1-GA-C</t>
  </si>
  <si>
    <t>Flag Assembly 3</t>
  </si>
  <si>
    <t>RT-87640-70315-052-1-GA-C</t>
  </si>
  <si>
    <t>Flag Assembly 4</t>
  </si>
  <si>
    <t>4034050-151</t>
  </si>
  <si>
    <t>LJA Pendulum Assu</t>
  </si>
  <si>
    <t>PO1021410</t>
  </si>
  <si>
    <t>AC</t>
  </si>
  <si>
    <t>RT-88040-0020-01-GA</t>
  </si>
  <si>
    <t>FC Axial Adjustment Tool</t>
  </si>
  <si>
    <t>RT-88030-0007-01-GA-1</t>
  </si>
  <si>
    <t>EC Spacer Detention End Fitting Adaptor Tool</t>
  </si>
  <si>
    <t>RT-88030-0090-01-GA-C</t>
  </si>
  <si>
    <t>CT Extension Installation Tool</t>
  </si>
  <si>
    <t>RT-88080-71000-038-01-GA-E</t>
  </si>
  <si>
    <t>Shield Plug Installation Tool</t>
  </si>
  <si>
    <t>RT-88090-71060-2000-1-GA-D</t>
  </si>
  <si>
    <t>Closure Plug Installation Tool</t>
  </si>
  <si>
    <t>RT-88090-71055-2000-1-GA-D</t>
  </si>
  <si>
    <t>Calibration Fixture</t>
  </si>
  <si>
    <t>C500-003</t>
  </si>
  <si>
    <r>
      <t xml:space="preserve">Airlock Trolley </t>
    </r>
    <r>
      <rPr>
        <sz val="12"/>
        <color rgb="FFFF0000"/>
        <rFont val="Cambria"/>
        <family val="1"/>
        <scheme val="major"/>
      </rPr>
      <t>c/w Wings</t>
    </r>
  </si>
  <si>
    <t>LWTF Trolley- Corridor-NO Wing</t>
  </si>
  <si>
    <t>Harnoor Singh</t>
  </si>
  <si>
    <r>
      <rPr>
        <b/>
        <sz val="12"/>
        <rFont val="Cambria"/>
        <family val="1"/>
        <scheme val="major"/>
      </rPr>
      <t>RT98</t>
    </r>
    <r>
      <rPr>
        <sz val="12"/>
        <rFont val="Cambria"/>
        <family val="1"/>
        <scheme val="major"/>
      </rPr>
      <t>-87640-PN-R004</t>
    </r>
  </si>
  <si>
    <t>RT-88000-70057-020-1-GA-D</t>
  </si>
  <si>
    <t>PT Expander Mandrel Clamp</t>
  </si>
  <si>
    <r>
      <rPr>
        <b/>
        <sz val="12"/>
        <rFont val="Cambria"/>
        <family val="1"/>
        <scheme val="major"/>
      </rPr>
      <t>RT98</t>
    </r>
    <r>
      <rPr>
        <sz val="12"/>
        <rFont val="Cambria"/>
        <family val="1"/>
        <scheme val="major"/>
      </rPr>
      <t>-87920-PN-R015</t>
    </r>
  </si>
  <si>
    <t>RT-88010-0160-1-DD-C</t>
  </si>
  <si>
    <t>End Fitting E-Face Inspection Ring</t>
  </si>
  <si>
    <t>Seal Face Protective Sleeve (Reactor Face)</t>
  </si>
  <si>
    <t>RT-88040-0005-01-GA-E</t>
  </si>
  <si>
    <t>Tool EF Levelling Tool</t>
  </si>
  <si>
    <t>RT-87600-0220-1-GA-E</t>
  </si>
  <si>
    <t xml:space="preserve">Lattice Sleeve Removal Tool </t>
  </si>
  <si>
    <t>RT-87920-74105-000-1-GA-E</t>
  </si>
  <si>
    <t>Tool Extension Tool</t>
  </si>
  <si>
    <t>RT-88030-0140-1-DD-C</t>
  </si>
  <si>
    <t>PT Protective Sleeve  for Annulus Spacer</t>
  </si>
  <si>
    <t>Tool EF Tool Rack</t>
  </si>
  <si>
    <r>
      <rPr>
        <b/>
        <sz val="12"/>
        <rFont val="Cambria"/>
        <family val="1"/>
        <scheme val="major"/>
      </rPr>
      <t>RT98</t>
    </r>
    <r>
      <rPr>
        <sz val="12"/>
        <rFont val="Cambria"/>
        <family val="1"/>
        <scheme val="major"/>
      </rPr>
      <t>-87640-PN-R005</t>
    </r>
  </si>
  <si>
    <t>RT-87600-70050-1-GA-B</t>
  </si>
  <si>
    <t>Transfer Carts for Lattice Sleeve &amp; Plugs</t>
  </si>
  <si>
    <t>RT-87910-0110-1-GA-0</t>
  </si>
  <si>
    <t>CT Storage Rack</t>
  </si>
  <si>
    <t>RT-88000-0300-000-01-GA-E</t>
  </si>
  <si>
    <t>Sanket Patil</t>
  </si>
  <si>
    <r>
      <rPr>
        <b/>
        <sz val="11"/>
        <color rgb="FF00B0F0"/>
        <rFont val="Cambria"/>
        <family val="1"/>
        <scheme val="major"/>
      </rPr>
      <t>RT79</t>
    </r>
    <r>
      <rPr>
        <sz val="11"/>
        <rFont val="Cambria"/>
        <family val="1"/>
        <scheme val="major"/>
      </rPr>
      <t>-87920-PN-R005-R.1</t>
    </r>
  </si>
  <si>
    <t>RT-88000-70010-000-1-GA-E</t>
  </si>
  <si>
    <t>Tool E/F Lifting Beam</t>
  </si>
  <si>
    <t>RT-88000-70018-000-1-GA-E</t>
  </si>
  <si>
    <t>Tool Lifting Rig for Measuring  Bench</t>
  </si>
  <si>
    <t>RT-87290-7020-1-GA-D</t>
  </si>
  <si>
    <t>15T Spreader Beam for Fuel Channel</t>
  </si>
  <si>
    <t>RT-8725-0280-1-DD-C</t>
  </si>
  <si>
    <t>5.5 Ton Heavy Worktable Spreader Beam</t>
  </si>
  <si>
    <t>RT-87290-7024-1-GA-D</t>
  </si>
  <si>
    <t>6T Spreader Beam for  EFSP Removal</t>
  </si>
  <si>
    <t>Cheryl Lewis</t>
  </si>
  <si>
    <t>U4 Single Spacer Drop off Tool</t>
  </si>
  <si>
    <t>MCR-17300-033-000009-01-GA-E</t>
  </si>
  <si>
    <t>AB</t>
  </si>
  <si>
    <t>MCR-17300-032-000002-01-GA-E</t>
  </si>
  <si>
    <t>U4 Annulus Spacer Detection Tool</t>
  </si>
  <si>
    <r>
      <rPr>
        <b/>
        <sz val="12"/>
        <color theme="5" tint="-0.249977111117893"/>
        <rFont val="Cambria"/>
        <family val="1"/>
        <scheme val="major"/>
      </rPr>
      <t>MCR-</t>
    </r>
    <r>
      <rPr>
        <sz val="12"/>
        <rFont val="Cambria"/>
        <family val="1"/>
        <scheme val="major"/>
      </rPr>
      <t>17000-PN-R053</t>
    </r>
  </si>
  <si>
    <r>
      <rPr>
        <b/>
        <sz val="12"/>
        <color theme="5" tint="-0.249977111117893"/>
        <rFont val="Cambria"/>
        <family val="1"/>
        <scheme val="major"/>
      </rPr>
      <t>MCR</t>
    </r>
    <r>
      <rPr>
        <sz val="12"/>
        <rFont val="Cambria"/>
        <family val="1"/>
        <scheme val="major"/>
      </rPr>
      <t>-17000-PN-R054</t>
    </r>
  </si>
  <si>
    <r>
      <rPr>
        <b/>
        <sz val="12"/>
        <rFont val="Cambria"/>
        <family val="1"/>
        <scheme val="major"/>
      </rPr>
      <t>RT98</t>
    </r>
    <r>
      <rPr>
        <sz val="12"/>
        <rFont val="Cambria"/>
        <family val="1"/>
        <scheme val="major"/>
      </rPr>
      <t>-87920-PN-R017</t>
    </r>
  </si>
  <si>
    <r>
      <t>RT98-</t>
    </r>
    <r>
      <rPr>
        <sz val="12"/>
        <rFont val="Cambria"/>
        <family val="1"/>
        <scheme val="major"/>
      </rPr>
      <t>87920-PN-R013</t>
    </r>
  </si>
  <si>
    <r>
      <t>634828-15000-52BX-R079-</t>
    </r>
    <r>
      <rPr>
        <b/>
        <sz val="8"/>
        <color rgb="FFFF0000"/>
        <rFont val="Cambria"/>
        <family val="1"/>
        <scheme val="major"/>
      </rPr>
      <t>R.07</t>
    </r>
  </si>
  <si>
    <t>Madhu Ragaven Mani</t>
  </si>
  <si>
    <t>S60401-101</t>
  </si>
  <si>
    <t>Travis Krebs</t>
  </si>
  <si>
    <t>Output Shaft</t>
  </si>
  <si>
    <t>Nena Nicko</t>
  </si>
  <si>
    <t>SAMPLE</t>
  </si>
  <si>
    <t>CHRIS</t>
  </si>
  <si>
    <t>Water Pump Housing to repair-wel</t>
  </si>
  <si>
    <t>4038927-101</t>
  </si>
  <si>
    <t>Flange, Bearing</t>
  </si>
  <si>
    <t>PO1022246</t>
  </si>
  <si>
    <t>4038930-101</t>
  </si>
  <si>
    <t>Flange, Torque Cell</t>
  </si>
  <si>
    <t>PO1022248</t>
  </si>
  <si>
    <t>4038934-101</t>
  </si>
  <si>
    <t>Hub, Bolt</t>
  </si>
  <si>
    <t>PO1022250</t>
  </si>
  <si>
    <t>4038925-101</t>
  </si>
  <si>
    <t>Shaft, IRB</t>
  </si>
  <si>
    <t>PO1022252</t>
  </si>
  <si>
    <t>4038926-101</t>
  </si>
  <si>
    <t>Hub, IRB</t>
  </si>
  <si>
    <t>PO1022253</t>
  </si>
  <si>
    <t>BS 24.5 x 15.0 x 5.8 (34135)</t>
  </si>
  <si>
    <t>4038929-101</t>
  </si>
  <si>
    <t>Tube, IRB</t>
  </si>
  <si>
    <t>PO1022247</t>
  </si>
  <si>
    <t>4033639-101</t>
  </si>
  <si>
    <t>PO1022242</t>
  </si>
  <si>
    <t>4021039-101</t>
  </si>
  <si>
    <t>Nut, IRB</t>
  </si>
  <si>
    <t>Frame, Welded</t>
  </si>
  <si>
    <t>PO1022409</t>
  </si>
  <si>
    <t>Hemal Frajapati</t>
  </si>
  <si>
    <t>Spline Insert</t>
  </si>
  <si>
    <r>
      <t>RT98-</t>
    </r>
    <r>
      <rPr>
        <sz val="11"/>
        <rFont val="Cambria"/>
        <family val="1"/>
        <scheme val="major"/>
      </rPr>
      <t>87920-PN-R006-</t>
    </r>
    <r>
      <rPr>
        <b/>
        <sz val="11"/>
        <color rgb="FFFF0000"/>
        <rFont val="Cambria"/>
        <family val="1"/>
        <scheme val="major"/>
      </rPr>
      <t>R.2</t>
    </r>
  </si>
  <si>
    <t>MCR-17200-003-000000-01-GA-E</t>
  </si>
  <si>
    <t>Protective Sleeve &amp; Guide Tool</t>
  </si>
  <si>
    <t>CAT6017-2</t>
  </si>
  <si>
    <t>Pintle Pin Removal</t>
  </si>
  <si>
    <r>
      <t xml:space="preserve">Guide Rail- </t>
    </r>
    <r>
      <rPr>
        <sz val="12"/>
        <color rgb="FFFF0000"/>
        <rFont val="Cambria"/>
        <family val="1"/>
        <scheme val="major"/>
      </rPr>
      <t>F/I Measure/Dwg/Quote</t>
    </r>
  </si>
  <si>
    <t>RT-87840-0220-01-GA-2</t>
  </si>
  <si>
    <t>Bearing Assy</t>
  </si>
  <si>
    <t>RT-79112-0300-01-GA-E</t>
  </si>
  <si>
    <t>RT-87250-0400-01-GA-E</t>
  </si>
  <si>
    <t>RT-87000-0480-1-GA-D</t>
  </si>
  <si>
    <t>DJ Round Delrin Part ( make New)</t>
  </si>
  <si>
    <t>3780947-00</t>
  </si>
  <si>
    <r>
      <t xml:space="preserve">634828-18000-52X-R231- </t>
    </r>
    <r>
      <rPr>
        <b/>
        <sz val="9"/>
        <color rgb="FFFF0000"/>
        <rFont val="Cambria"/>
        <family val="1"/>
        <scheme val="major"/>
      </rPr>
      <t>R.03</t>
    </r>
  </si>
  <si>
    <t>Mani M</t>
  </si>
  <si>
    <t>Cyrus Tenzif</t>
  </si>
  <si>
    <t>K-701184-DET-208</t>
  </si>
  <si>
    <t>K-701184-DET-209</t>
  </si>
  <si>
    <t>Grip for 15.88 mm Tube</t>
  </si>
  <si>
    <t>Grip for 12.70mm Tube</t>
  </si>
  <si>
    <t>RT-88000-70047-004-1-DD-B</t>
  </si>
  <si>
    <t>Retaining Latch</t>
  </si>
  <si>
    <t>RT-88000-70047-003-1-DD-B</t>
  </si>
  <si>
    <t xml:space="preserve">Sleeve Guide </t>
  </si>
  <si>
    <r>
      <t>216-02123-PN-</t>
    </r>
    <r>
      <rPr>
        <b/>
        <sz val="12"/>
        <color rgb="FFFF0000"/>
        <rFont val="Cambria"/>
        <family val="1"/>
        <scheme val="major"/>
      </rPr>
      <t>T129</t>
    </r>
  </si>
  <si>
    <r>
      <rPr>
        <b/>
        <sz val="12"/>
        <rFont val="Cambria"/>
        <family val="1"/>
        <scheme val="major"/>
      </rPr>
      <t>RT98</t>
    </r>
    <r>
      <rPr>
        <sz val="12"/>
        <rFont val="Cambria"/>
        <family val="1"/>
        <scheme val="major"/>
      </rPr>
      <t>-87000-PN-R018</t>
    </r>
  </si>
  <si>
    <t>Axial Wear Ring Cut 1</t>
  </si>
  <si>
    <t>Axial Wear Ring Cut 2</t>
  </si>
  <si>
    <t>XX-31124-9-1-DD-C</t>
  </si>
  <si>
    <t>Spacer Clips</t>
  </si>
  <si>
    <t>10+10</t>
  </si>
  <si>
    <t>79F-31124-0008-01-DD-C</t>
  </si>
  <si>
    <t>Olivier</t>
  </si>
  <si>
    <r>
      <t xml:space="preserve">Spacer Clips </t>
    </r>
    <r>
      <rPr>
        <b/>
        <sz val="12"/>
        <rFont val="Cambria"/>
        <family val="1"/>
        <scheme val="major"/>
      </rPr>
      <t>( Stock per Olivier)</t>
    </r>
  </si>
  <si>
    <t>RT-87540-0200-1-GA-0</t>
  </si>
  <si>
    <t>01A</t>
  </si>
  <si>
    <t>PA Removal Tool Cart</t>
  </si>
  <si>
    <t>Bolster Plate- 4140 PH</t>
  </si>
  <si>
    <t>3783121-00</t>
  </si>
  <si>
    <t>PD-21099</t>
  </si>
  <si>
    <r>
      <t xml:space="preserve">Puff.Caps &amp; Nozzles </t>
    </r>
    <r>
      <rPr>
        <sz val="12"/>
        <color rgb="FFFF0000"/>
        <rFont val="Cambria"/>
        <family val="1"/>
        <scheme val="major"/>
      </rPr>
      <t>34 x 40 mesh</t>
    </r>
  </si>
  <si>
    <t>LWTF Mock-UP Trolley Frame</t>
  </si>
  <si>
    <r>
      <rPr>
        <b/>
        <sz val="11.5"/>
        <rFont val="Cambria"/>
        <family val="1"/>
        <scheme val="major"/>
      </rPr>
      <t>RT98</t>
    </r>
    <r>
      <rPr>
        <sz val="11.5"/>
        <rFont val="Cambria"/>
        <family val="1"/>
        <scheme val="major"/>
      </rPr>
      <t>-87590-PN-R007-R1</t>
    </r>
  </si>
  <si>
    <r>
      <t>23133.58 +</t>
    </r>
    <r>
      <rPr>
        <sz val="10"/>
        <color rgb="FFFF0000"/>
        <rFont val="Cambria"/>
        <family val="1"/>
        <scheme val="major"/>
      </rPr>
      <t>3822</t>
    </r>
  </si>
  <si>
    <r>
      <t>23133.58 +</t>
    </r>
    <r>
      <rPr>
        <b/>
        <sz val="10"/>
        <color rgb="FFFF0000"/>
        <rFont val="Cambria"/>
        <family val="1"/>
        <scheme val="major"/>
      </rPr>
      <t>3822</t>
    </r>
  </si>
  <si>
    <t>29-31913-2504-01-DD-D</t>
  </si>
  <si>
    <t>Connector Sleeve B</t>
  </si>
  <si>
    <t>201-31915-PN-R978</t>
  </si>
  <si>
    <t>29-31913-2505-01-DD-D</t>
  </si>
  <si>
    <t>Connector Sleeve A</t>
  </si>
  <si>
    <r>
      <t>12+</t>
    </r>
    <r>
      <rPr>
        <sz val="12"/>
        <color rgb="FFFF0000"/>
        <rFont val="Cambria"/>
        <family val="1"/>
        <scheme val="major"/>
      </rPr>
      <t>2</t>
    </r>
  </si>
  <si>
    <t>900-03</t>
  </si>
  <si>
    <t>Paddle Switch ( 5/16-Unc)</t>
  </si>
  <si>
    <t>3785390-00</t>
  </si>
  <si>
    <r>
      <rPr>
        <b/>
        <sz val="11"/>
        <color rgb="FF0070C0"/>
        <rFont val="Cambria"/>
        <family val="1"/>
        <scheme val="major"/>
      </rPr>
      <t>RT79</t>
    </r>
    <r>
      <rPr>
        <b/>
        <sz val="11"/>
        <rFont val="Cambria"/>
        <family val="1"/>
        <scheme val="major"/>
      </rPr>
      <t>-88030-PN-R001</t>
    </r>
    <r>
      <rPr>
        <b/>
        <sz val="11"/>
        <color rgb="FFFF3300"/>
        <rFont val="Cambria"/>
        <family val="1"/>
        <scheme val="major"/>
      </rPr>
      <t>-R.2</t>
    </r>
  </si>
  <si>
    <r>
      <rPr>
        <b/>
        <sz val="12"/>
        <color theme="5" tint="-0.249977111117893"/>
        <rFont val="Cambria"/>
        <family val="1"/>
        <scheme val="major"/>
      </rPr>
      <t>MCR</t>
    </r>
    <r>
      <rPr>
        <sz val="12"/>
        <rFont val="Cambria"/>
        <family val="1"/>
        <scheme val="major"/>
      </rPr>
      <t>-17000-PN-R056</t>
    </r>
  </si>
  <si>
    <r>
      <rPr>
        <b/>
        <sz val="9"/>
        <color rgb="FF0070C0"/>
        <rFont val="Cambria"/>
        <family val="1"/>
        <scheme val="major"/>
      </rPr>
      <t>RT79</t>
    </r>
    <r>
      <rPr>
        <b/>
        <sz val="9"/>
        <rFont val="Cambria"/>
        <family val="1"/>
        <scheme val="major"/>
      </rPr>
      <t>-88230-PN-R012-</t>
    </r>
    <r>
      <rPr>
        <b/>
        <sz val="9"/>
        <color rgb="FFFF0000"/>
        <rFont val="Cambria"/>
        <family val="1"/>
        <scheme val="major"/>
      </rPr>
      <t xml:space="preserve"> R.2</t>
    </r>
  </si>
  <si>
    <t>2-Sets</t>
  </si>
  <si>
    <t>CT-220-1039B-1/R1/Fig1-4/ It.26</t>
  </si>
  <si>
    <t>Greg Lee</t>
  </si>
  <si>
    <t>Copper Stem w/ Valve Spring &amp; Locknut</t>
  </si>
  <si>
    <t>12262-29152</t>
  </si>
  <si>
    <t>RT-87540-0210-01-GA-C</t>
  </si>
  <si>
    <t>Sanchia Bartley- Ndiaye</t>
  </si>
  <si>
    <t>PA Stud Installation Tool</t>
  </si>
  <si>
    <t>361BHBAY01-L01</t>
  </si>
  <si>
    <t>Lo Firmness PH Bracket (Anjo)</t>
  </si>
  <si>
    <t>PD-21134</t>
  </si>
  <si>
    <t>Speedway Packaging</t>
  </si>
  <si>
    <t>Scott Wilson</t>
  </si>
  <si>
    <t>Modified Spur- F/I Mat'l</t>
  </si>
  <si>
    <t>83303- Rev.4</t>
  </si>
  <si>
    <t>125503055-F/I</t>
  </si>
  <si>
    <t>125519954- F/I</t>
  </si>
  <si>
    <t>MOdified Spur Gear- F/I Mat'l</t>
  </si>
  <si>
    <t>Idler Gear</t>
  </si>
  <si>
    <t>Pinion</t>
  </si>
  <si>
    <t>Gear</t>
  </si>
  <si>
    <t>Peter</t>
  </si>
  <si>
    <t>Tony Mazza</t>
  </si>
  <si>
    <t>3A</t>
  </si>
  <si>
    <t>RT-87120-70184-003-1-DD-B</t>
  </si>
  <si>
    <t>Seal Ring Washer Mockup</t>
  </si>
  <si>
    <r>
      <rPr>
        <b/>
        <sz val="12"/>
        <rFont val="Cambria"/>
        <family val="1"/>
        <scheme val="major"/>
      </rPr>
      <t>RT98</t>
    </r>
    <r>
      <rPr>
        <sz val="12"/>
        <rFont val="Cambria"/>
        <family val="1"/>
        <scheme val="major"/>
      </rPr>
      <t>-87000-PN-R021</t>
    </r>
  </si>
  <si>
    <t>RT-87120-70184-002-1-DD-B</t>
  </si>
  <si>
    <t>Graylock Hub Mockup</t>
  </si>
  <si>
    <t>RT-87120-70184-001-1-DD-B</t>
  </si>
  <si>
    <t>Flange</t>
  </si>
  <si>
    <t>RT-87120-70184-004-1-DD-B</t>
  </si>
  <si>
    <t>Lock Plate</t>
  </si>
  <si>
    <r>
      <rPr>
        <b/>
        <sz val="12"/>
        <color theme="3" tint="0.39997558519241921"/>
        <rFont val="Cambria"/>
        <family val="1"/>
        <scheme val="major"/>
      </rPr>
      <t>RT79</t>
    </r>
    <r>
      <rPr>
        <sz val="12"/>
        <rFont val="Cambria"/>
        <family val="1"/>
        <scheme val="major"/>
      </rPr>
      <t>-87540-PN-R004</t>
    </r>
  </si>
  <si>
    <r>
      <rPr>
        <b/>
        <sz val="11"/>
        <rFont val="Cambria"/>
        <family val="1"/>
        <scheme val="major"/>
      </rPr>
      <t>RT98</t>
    </r>
    <r>
      <rPr>
        <sz val="11"/>
        <rFont val="Cambria"/>
        <family val="1"/>
        <scheme val="major"/>
      </rPr>
      <t>-87640-PN-R005-</t>
    </r>
    <r>
      <rPr>
        <b/>
        <sz val="11"/>
        <color rgb="FFFF0000"/>
        <rFont val="Cambria"/>
        <family val="1"/>
        <scheme val="major"/>
      </rPr>
      <t>R1</t>
    </r>
  </si>
  <si>
    <r>
      <rPr>
        <b/>
        <sz val="12"/>
        <color rgb="FF0070C0"/>
        <rFont val="Cambria"/>
        <family val="1"/>
        <scheme val="major"/>
      </rPr>
      <t>RT79</t>
    </r>
    <r>
      <rPr>
        <sz val="12"/>
        <rFont val="Cambria"/>
        <family val="1"/>
        <scheme val="major"/>
      </rPr>
      <t>-79112-PN-R002</t>
    </r>
  </si>
  <si>
    <t>RT-88010-0005-01-GA-E</t>
  </si>
  <si>
    <t>Sachin Miranda</t>
  </si>
  <si>
    <t>08A</t>
  </si>
  <si>
    <t>Calibrated Measuring Tape-BOM#6</t>
  </si>
  <si>
    <t>RT-88000-70210-044-1-DD-D</t>
  </si>
  <si>
    <t>11A</t>
  </si>
  <si>
    <t>E/F Protective Cap for Plug Gaug'g</t>
  </si>
  <si>
    <t>RT-87600-0250-1-GA-C</t>
  </si>
  <si>
    <t>10A</t>
  </si>
  <si>
    <t>Lattice Sleeve Removal Tool HWT</t>
  </si>
  <si>
    <t>4039091-101</t>
  </si>
  <si>
    <t>Dave Brydon</t>
  </si>
  <si>
    <t>Housing,Spring</t>
  </si>
  <si>
    <t>PO1023670</t>
  </si>
  <si>
    <t>4039094-101</t>
  </si>
  <si>
    <t>Spacer, Plate</t>
  </si>
  <si>
    <t>PO1023671</t>
  </si>
  <si>
    <t>4038679-101</t>
  </si>
  <si>
    <t>Bracket, Pull</t>
  </si>
  <si>
    <t>PO1023672</t>
  </si>
  <si>
    <t>4039101-101</t>
  </si>
  <si>
    <t>Bracket, Base</t>
  </si>
  <si>
    <t>PO1023673</t>
  </si>
  <si>
    <t>4039087-101</t>
  </si>
  <si>
    <t>Plate, Connector</t>
  </si>
  <si>
    <t>PO1023674</t>
  </si>
  <si>
    <t>4039065-101</t>
  </si>
  <si>
    <t xml:space="preserve">Housing </t>
  </si>
  <si>
    <t>PO1023676</t>
  </si>
  <si>
    <t>4039090-101</t>
  </si>
  <si>
    <t>Sleeve, Screw</t>
  </si>
  <si>
    <t>4039092-101</t>
  </si>
  <si>
    <t>Plate, Lead Nut</t>
  </si>
  <si>
    <t>PO1023678</t>
  </si>
  <si>
    <t>4039095-101</t>
  </si>
  <si>
    <t>Screw, Lead</t>
  </si>
  <si>
    <t>PO1023679</t>
  </si>
  <si>
    <t>4039096-101</t>
  </si>
  <si>
    <t>Adapter, Lead Screw</t>
  </si>
  <si>
    <t>PO1023680</t>
  </si>
  <si>
    <t>4039097-101</t>
  </si>
  <si>
    <t>Plate, Mounting</t>
  </si>
  <si>
    <t>PO1023681</t>
  </si>
  <si>
    <t>4039099-101</t>
  </si>
  <si>
    <t>Block, Connector</t>
  </si>
  <si>
    <t>PO1023682</t>
  </si>
  <si>
    <t>4039100-101</t>
  </si>
  <si>
    <t>Plate, Push</t>
  </si>
  <si>
    <t>PO1023683</t>
  </si>
  <si>
    <t>Padmashri Paranjape</t>
  </si>
  <si>
    <t>Screw Feeder Coupling Cap Scerw</t>
  </si>
  <si>
    <t>Flange Feeder Mock-up</t>
  </si>
  <si>
    <t>Hub Feeder Mock up -2.1/2"</t>
  </si>
  <si>
    <t>RT-87120-70184-003-01-DD-B</t>
  </si>
  <si>
    <t>Washer Feeder Mock-up Seal Ring</t>
  </si>
  <si>
    <r>
      <rPr>
        <b/>
        <sz val="12"/>
        <color theme="9" tint="-0.249977111117893"/>
        <rFont val="Cambria"/>
        <family val="1"/>
        <scheme val="major"/>
      </rPr>
      <t>RT30</t>
    </r>
    <r>
      <rPr>
        <sz val="12"/>
        <rFont val="Cambria"/>
        <family val="1"/>
        <scheme val="major"/>
      </rPr>
      <t>-12100-PN-R002</t>
    </r>
  </si>
  <si>
    <r>
      <t xml:space="preserve">2 + </t>
    </r>
    <r>
      <rPr>
        <b/>
        <sz val="12"/>
        <color theme="9" tint="-0.249977111117893"/>
        <rFont val="Cambria"/>
        <family val="1"/>
        <scheme val="major"/>
      </rPr>
      <t>2A</t>
    </r>
  </si>
  <si>
    <t>XX-31912-959-1-GA-E</t>
  </si>
  <si>
    <t>Flask and Trolley for Garter Spring</t>
  </si>
  <si>
    <t>1+ 4</t>
  </si>
  <si>
    <t>$49,452/$ 47,452</t>
  </si>
  <si>
    <r>
      <rPr>
        <b/>
        <sz val="12"/>
        <color theme="3" tint="0.39997558519241921"/>
        <rFont val="Cambria"/>
        <family val="1"/>
        <scheme val="major"/>
      </rPr>
      <t>RT79</t>
    </r>
    <r>
      <rPr>
        <sz val="12"/>
        <rFont val="Cambria"/>
        <family val="1"/>
        <scheme val="major"/>
      </rPr>
      <t>-31912-PN-R006</t>
    </r>
  </si>
  <si>
    <t>1,3,5.7</t>
  </si>
  <si>
    <t>Antirotation Tube</t>
  </si>
  <si>
    <t>91397- Rev.1</t>
  </si>
  <si>
    <t>2,4,6,8</t>
  </si>
  <si>
    <t>Center Tube Body</t>
  </si>
  <si>
    <t>1A</t>
  </si>
  <si>
    <r>
      <t>PO1023677-</t>
    </r>
    <r>
      <rPr>
        <b/>
        <sz val="12"/>
        <color rgb="FFFF0000"/>
        <rFont val="Cambria"/>
        <family val="1"/>
        <scheme val="major"/>
      </rPr>
      <t>R.1</t>
    </r>
  </si>
  <si>
    <t>NMP5V-22 ASY- R/W</t>
  </si>
  <si>
    <t>58967-MAPIR-ASSY- R/W</t>
  </si>
  <si>
    <r>
      <t xml:space="preserve">Single Piston Inj Blk-R/W- </t>
    </r>
    <r>
      <rPr>
        <b/>
        <sz val="8"/>
        <color rgb="FFFF0000"/>
        <rFont val="Cambria"/>
        <family val="1"/>
        <scheme val="major"/>
      </rPr>
      <t>W/O# 25-7258- Huntsville</t>
    </r>
  </si>
  <si>
    <r>
      <t>Raptor Block R/W-</t>
    </r>
    <r>
      <rPr>
        <b/>
        <sz val="11"/>
        <color rgb="FFFF0000"/>
        <rFont val="Cambria"/>
        <family val="1"/>
        <scheme val="major"/>
      </rPr>
      <t>W/O# 25/7285- Kipling</t>
    </r>
  </si>
  <si>
    <r>
      <t>Raptor Block R/W-</t>
    </r>
    <r>
      <rPr>
        <b/>
        <sz val="11"/>
        <color rgb="FFFF0000"/>
        <rFont val="Cambria"/>
        <family val="1"/>
        <scheme val="major"/>
      </rPr>
      <t>W/O# 25/7287- Fremont</t>
    </r>
  </si>
  <si>
    <r>
      <t>Raptor Block R/W-</t>
    </r>
    <r>
      <rPr>
        <b/>
        <sz val="11"/>
        <color rgb="FFFF0000"/>
        <rFont val="Cambria"/>
        <family val="1"/>
        <scheme val="major"/>
      </rPr>
      <t>W/O# 25/7284- Mexico</t>
    </r>
  </si>
  <si>
    <r>
      <t>Raptor Block R/W-</t>
    </r>
    <r>
      <rPr>
        <b/>
        <sz val="11"/>
        <color rgb="FFFF0000"/>
        <rFont val="Cambria"/>
        <family val="1"/>
        <scheme val="major"/>
      </rPr>
      <t>W/O# 25/7288- Nanno</t>
    </r>
  </si>
  <si>
    <r>
      <t>Raptor Block R/W-</t>
    </r>
    <r>
      <rPr>
        <b/>
        <sz val="11"/>
        <color rgb="FFFF0000"/>
        <rFont val="Cambria"/>
        <family val="1"/>
        <scheme val="major"/>
      </rPr>
      <t>W/O# 25/7286- Fremont</t>
    </r>
  </si>
  <si>
    <r>
      <t>Raptor Block R/W-</t>
    </r>
    <r>
      <rPr>
        <b/>
        <sz val="10.5"/>
        <color rgb="FFFF0000"/>
        <rFont val="Cambria"/>
        <family val="1"/>
        <scheme val="major"/>
      </rPr>
      <t>W/O# 25/7283- Huntsville</t>
    </r>
  </si>
  <si>
    <t>Support Brkt for spring Inst Tool</t>
  </si>
  <si>
    <t>RT-87540-0212-01-GA-C</t>
  </si>
  <si>
    <t>Hardware for Spring Pin Inst Tool</t>
  </si>
  <si>
    <t>K-565052-DET-0002</t>
  </si>
  <si>
    <t>Micheal O Brien</t>
  </si>
  <si>
    <t>Inflatale Seal Test Assy- Side Supt</t>
  </si>
  <si>
    <t>Jan-5-26</t>
  </si>
  <si>
    <t>Detent Spring</t>
  </si>
  <si>
    <t>NPO#</t>
  </si>
  <si>
    <t>021HBDMD03-C00</t>
  </si>
  <si>
    <t>Pourhead Bracket-3B Palm Down</t>
  </si>
  <si>
    <t>PD-21175</t>
  </si>
  <si>
    <t>1-Set</t>
  </si>
  <si>
    <t>Misc Parts</t>
  </si>
  <si>
    <t>Measure/Draw/ Make</t>
  </si>
  <si>
    <t>Ultimaker PPS-CFF  500Gr</t>
  </si>
  <si>
    <t>Ultimaker Tought PLA- Red</t>
  </si>
  <si>
    <r>
      <t xml:space="preserve">159.02 + </t>
    </r>
    <r>
      <rPr>
        <b/>
        <sz val="12"/>
        <color rgb="FFFF0000"/>
        <rFont val="Cambria"/>
        <family val="1"/>
        <scheme val="major"/>
      </rPr>
      <t>75+70</t>
    </r>
  </si>
  <si>
    <t>4039650-101</t>
  </si>
  <si>
    <t>Mount, Target</t>
  </si>
  <si>
    <t>PO1022591</t>
  </si>
  <si>
    <t>4037119-151</t>
  </si>
  <si>
    <t>Torque Tube Assy</t>
  </si>
  <si>
    <t>PO1022592</t>
  </si>
  <si>
    <t>4037738-101</t>
  </si>
  <si>
    <t>Block, Belleville</t>
  </si>
  <si>
    <t>PO1023915</t>
  </si>
  <si>
    <t>GD322-0001-1-RFIX01</t>
  </si>
  <si>
    <t>RT-88000-70047-000-1-GA-D</t>
  </si>
  <si>
    <t>Protective Sleeve</t>
  </si>
  <si>
    <t>Cart Frame</t>
  </si>
  <si>
    <t>91367- Rev.3</t>
  </si>
  <si>
    <t>NAA Bulkhead Frame</t>
  </si>
  <si>
    <t>4~5</t>
  </si>
  <si>
    <t>7~11</t>
  </si>
  <si>
    <t>DSK30399T04-101</t>
  </si>
  <si>
    <t>Bearing Carrier, Upper SS TLG</t>
  </si>
  <si>
    <t>DSK30399T04-107</t>
  </si>
  <si>
    <t>Dowel Pin</t>
  </si>
  <si>
    <t>DSK30399T04-109</t>
  </si>
  <si>
    <t>Loking Key, Gland Nut</t>
  </si>
  <si>
    <t>DSK30399T04-111</t>
  </si>
  <si>
    <t>Gland Nut , SS  TLG</t>
  </si>
  <si>
    <t>AI</t>
  </si>
  <si>
    <t>Rolled &amp; Machined Insert - F/I by ATS</t>
  </si>
  <si>
    <t>83354-Rev.3</t>
  </si>
  <si>
    <t>AF</t>
  </si>
  <si>
    <t>Hub</t>
  </si>
  <si>
    <t>AD</t>
  </si>
  <si>
    <t>Unrolled Hub</t>
  </si>
  <si>
    <t>x</t>
  </si>
  <si>
    <t>RT-88000-0300-01-GA-E</t>
  </si>
  <si>
    <t>EF Tool Rack</t>
  </si>
  <si>
    <t>CT-420-2882B</t>
  </si>
  <si>
    <t>Mounting Flange with Slotted Base</t>
  </si>
  <si>
    <t>12275-26134</t>
  </si>
  <si>
    <t>CT-420-2883B</t>
  </si>
  <si>
    <t>Mouting Flange Insert</t>
  </si>
  <si>
    <t>RT-87540-0211-01-DD-C</t>
  </si>
  <si>
    <t>GT415-55000-1-SFIX01</t>
  </si>
  <si>
    <t xml:space="preserve">30pa Spline Shaft </t>
  </si>
  <si>
    <t>K-700810-DET-1101</t>
  </si>
  <si>
    <t>Eric Tulk</t>
  </si>
  <si>
    <t>U4 Nominal Mock Stud-F/I</t>
  </si>
  <si>
    <t>K-700810-DET-1201</t>
  </si>
  <si>
    <t>Mock Tubesheet- F/I mat'l</t>
  </si>
  <si>
    <t>RT-87600-0250-1-GA-E</t>
  </si>
  <si>
    <t>Lattice Sleeve Removal Tool</t>
  </si>
  <si>
    <t>Hemal Prajapati</t>
  </si>
  <si>
    <t>Slide Plate</t>
  </si>
  <si>
    <t>RT-87600-051-01-GA-D</t>
  </si>
  <si>
    <t>Lattice Sleeve ID Plug Gauge</t>
  </si>
  <si>
    <r>
      <rPr>
        <b/>
        <sz val="12"/>
        <rFont val="Cambria"/>
        <family val="1"/>
        <scheme val="major"/>
      </rPr>
      <t>RT98</t>
    </r>
    <r>
      <rPr>
        <sz val="12"/>
        <rFont val="Cambria"/>
        <family val="1"/>
        <scheme val="major"/>
      </rPr>
      <t>-87600-PN-R008</t>
    </r>
  </si>
  <si>
    <r>
      <rPr>
        <b/>
        <sz val="12"/>
        <color theme="4" tint="-0.249977111117893"/>
        <rFont val="Cambria"/>
        <family val="1"/>
        <scheme val="major"/>
      </rPr>
      <t>RT79</t>
    </r>
    <r>
      <rPr>
        <sz val="12"/>
        <rFont val="Cambria"/>
        <family val="1"/>
        <scheme val="major"/>
      </rPr>
      <t>-87640-PN-R004</t>
    </r>
  </si>
  <si>
    <r>
      <rPr>
        <b/>
        <sz val="12"/>
        <rFont val="Cambria"/>
        <family val="1"/>
        <scheme val="major"/>
      </rPr>
      <t>RT98</t>
    </r>
    <r>
      <rPr>
        <sz val="12"/>
        <rFont val="Cambria"/>
        <family val="1"/>
        <scheme val="major"/>
      </rPr>
      <t>-87540-PN-R003</t>
    </r>
  </si>
  <si>
    <t>KM2026014-01-H-5L29</t>
  </si>
  <si>
    <t>Karl Mai</t>
  </si>
  <si>
    <t>Termination Hex Die</t>
  </si>
  <si>
    <t>KM20260114-01R-5L29</t>
  </si>
  <si>
    <t>Termination Round Die</t>
  </si>
  <si>
    <t>NPD0059-7-DET-8058</t>
  </si>
  <si>
    <t>Emily Jarvine</t>
  </si>
  <si>
    <t>Insert Clamp</t>
  </si>
  <si>
    <t>K-701111-DET-4006</t>
  </si>
  <si>
    <t>Platen load Plate</t>
  </si>
  <si>
    <t>K-701111-DET-4007</t>
  </si>
  <si>
    <t>K-700810-DET-2001</t>
  </si>
  <si>
    <t>K-700810-DET-2002</t>
  </si>
  <si>
    <t>K-700810-DET-3001</t>
  </si>
  <si>
    <t>K-700510-DET-20010</t>
  </si>
  <si>
    <t>K-700510-DET-20011</t>
  </si>
  <si>
    <t>Support Plate</t>
  </si>
  <si>
    <t>Mock Tubesheet Platen</t>
  </si>
  <si>
    <t>High Strenght Threaded Rod</t>
  </si>
  <si>
    <t>Load Cell Interface Plate</t>
  </si>
  <si>
    <t>Actuator- Tubesheet Attachment Plate</t>
  </si>
  <si>
    <t>New Shaft 2" dia for Worm Gear</t>
  </si>
  <si>
    <t>Roller with Broken Trunion-F/I</t>
  </si>
  <si>
    <t>Shaft to Straighten - F/I</t>
  </si>
  <si>
    <t>A-002439</t>
  </si>
  <si>
    <r>
      <rPr>
        <b/>
        <sz val="11.5"/>
        <color theme="4" tint="-0.249977111117893"/>
        <rFont val="Cambria"/>
        <family val="1"/>
        <scheme val="major"/>
      </rPr>
      <t>RT79</t>
    </r>
    <r>
      <rPr>
        <sz val="11.5"/>
        <rFont val="Cambria"/>
        <family val="1"/>
        <scheme val="major"/>
      </rPr>
      <t>-87540-PN-R001-</t>
    </r>
    <r>
      <rPr>
        <b/>
        <sz val="11.5"/>
        <color rgb="FFFF0000"/>
        <rFont val="Cambria"/>
        <family val="1"/>
        <scheme val="major"/>
      </rPr>
      <t>R3</t>
    </r>
  </si>
  <si>
    <r>
      <rPr>
        <b/>
        <sz val="11.5"/>
        <rFont val="Cambria"/>
        <family val="1"/>
        <scheme val="major"/>
      </rPr>
      <t>RT98</t>
    </r>
    <r>
      <rPr>
        <sz val="11.5"/>
        <rFont val="Cambria"/>
        <family val="1"/>
        <scheme val="major"/>
      </rPr>
      <t>-88010-PN-R001-</t>
    </r>
    <r>
      <rPr>
        <b/>
        <sz val="11.5"/>
        <color rgb="FFFF0000"/>
        <rFont val="Cambria"/>
        <family val="1"/>
        <scheme val="major"/>
      </rPr>
      <t>R.3</t>
    </r>
  </si>
  <si>
    <t>RT-88000-70097-045-1-DD-C</t>
  </si>
  <si>
    <t>Coupling Adapter</t>
  </si>
  <si>
    <t>Air Motor Support c/w Stabilizer</t>
  </si>
  <si>
    <r>
      <rPr>
        <b/>
        <sz val="12"/>
        <color rgb="FF0070C0"/>
        <rFont val="Cambria"/>
        <family val="1"/>
        <scheme val="major"/>
      </rPr>
      <t>RT79</t>
    </r>
    <r>
      <rPr>
        <sz val="12"/>
        <rFont val="Cambria"/>
        <family val="1"/>
        <scheme val="major"/>
      </rPr>
      <t>-88010-PN-R015</t>
    </r>
  </si>
  <si>
    <r>
      <rPr>
        <b/>
        <sz val="11.5"/>
        <color theme="3" tint="0.39997558519241921"/>
        <rFont val="Cambria"/>
        <family val="1"/>
        <scheme val="major"/>
      </rPr>
      <t>RT79</t>
    </r>
    <r>
      <rPr>
        <sz val="11.5"/>
        <rFont val="Cambria"/>
        <family val="1"/>
        <scheme val="major"/>
      </rPr>
      <t>-88010-PN-R003-</t>
    </r>
    <r>
      <rPr>
        <b/>
        <sz val="11.5"/>
        <color rgb="FFFF0000"/>
        <rFont val="Cambria"/>
        <family val="1"/>
        <scheme val="major"/>
      </rPr>
      <t>R.2</t>
    </r>
  </si>
  <si>
    <r>
      <rPr>
        <b/>
        <sz val="11.5"/>
        <color theme="3" tint="0.39997558519241921"/>
        <rFont val="Cambria"/>
        <family val="1"/>
        <scheme val="major"/>
      </rPr>
      <t>RT79</t>
    </r>
    <r>
      <rPr>
        <b/>
        <sz val="11.5"/>
        <rFont val="Cambria"/>
        <family val="1"/>
        <scheme val="major"/>
      </rPr>
      <t>-87540-PN-R003-</t>
    </r>
    <r>
      <rPr>
        <b/>
        <sz val="11.5"/>
        <color rgb="FFFF0000"/>
        <rFont val="Cambria"/>
        <family val="1"/>
        <scheme val="major"/>
      </rPr>
      <t>R1</t>
    </r>
  </si>
  <si>
    <r>
      <rPr>
        <b/>
        <sz val="11.5"/>
        <color theme="3" tint="0.39997558519241921"/>
        <rFont val="Cambria"/>
        <family val="1"/>
        <scheme val="major"/>
      </rPr>
      <t>RT79</t>
    </r>
    <r>
      <rPr>
        <sz val="11.5"/>
        <rFont val="Cambria"/>
        <family val="1"/>
        <scheme val="major"/>
      </rPr>
      <t>-87840-PN-R002-</t>
    </r>
    <r>
      <rPr>
        <b/>
        <sz val="11.5"/>
        <color rgb="FFFF3300"/>
        <rFont val="Cambria"/>
        <family val="1"/>
        <scheme val="major"/>
      </rPr>
      <t>R1</t>
    </r>
  </si>
  <si>
    <r>
      <rPr>
        <b/>
        <sz val="11.5"/>
        <rFont val="Cambria"/>
        <family val="1"/>
        <scheme val="major"/>
      </rPr>
      <t>RT98</t>
    </r>
    <r>
      <rPr>
        <sz val="11.5"/>
        <rFont val="Cambria"/>
        <family val="1"/>
        <scheme val="major"/>
      </rPr>
      <t>-88040-PN-R004</t>
    </r>
    <r>
      <rPr>
        <b/>
        <sz val="11.5"/>
        <rFont val="Cambria"/>
        <family val="1"/>
        <scheme val="major"/>
      </rPr>
      <t xml:space="preserve"> </t>
    </r>
    <r>
      <rPr>
        <b/>
        <sz val="11.5"/>
        <color rgb="FFFF0000"/>
        <rFont val="Cambria"/>
        <family val="1"/>
        <scheme val="major"/>
      </rPr>
      <t>R.1</t>
    </r>
  </si>
  <si>
    <r>
      <rPr>
        <b/>
        <sz val="11.5"/>
        <color theme="1"/>
        <rFont val="Cambria"/>
        <family val="1"/>
        <scheme val="major"/>
      </rPr>
      <t>RT98</t>
    </r>
    <r>
      <rPr>
        <sz val="11.5"/>
        <rFont val="Cambria"/>
        <family val="1"/>
        <scheme val="major"/>
      </rPr>
      <t>-88010-PN-R010-</t>
    </r>
    <r>
      <rPr>
        <b/>
        <sz val="11.5"/>
        <color rgb="FFFF0000"/>
        <rFont val="Cambria"/>
        <family val="1"/>
        <scheme val="major"/>
      </rPr>
      <t>R.1</t>
    </r>
  </si>
  <si>
    <r>
      <rPr>
        <b/>
        <sz val="11.5"/>
        <rFont val="Cambria"/>
        <family val="1"/>
        <scheme val="major"/>
      </rPr>
      <t>RT98-</t>
    </r>
    <r>
      <rPr>
        <sz val="11.5"/>
        <rFont val="Cambria"/>
        <family val="1"/>
        <scheme val="major"/>
      </rPr>
      <t>87920-PN-R014-</t>
    </r>
    <r>
      <rPr>
        <b/>
        <sz val="11.5"/>
        <color rgb="FFFF0000"/>
        <rFont val="Cambria"/>
        <family val="1"/>
        <scheme val="major"/>
      </rPr>
      <t>R.1</t>
    </r>
  </si>
  <si>
    <r>
      <rPr>
        <b/>
        <sz val="11.5"/>
        <color rgb="FF00B0F0"/>
        <rFont val="Cambria"/>
        <family val="1"/>
        <scheme val="major"/>
      </rPr>
      <t>RT79</t>
    </r>
    <r>
      <rPr>
        <sz val="11.5"/>
        <rFont val="Cambria"/>
        <family val="1"/>
        <scheme val="major"/>
      </rPr>
      <t>-88020-PN-R003-</t>
    </r>
    <r>
      <rPr>
        <b/>
        <sz val="11.5"/>
        <color rgb="FFFF0000"/>
        <rFont val="Cambria"/>
        <family val="1"/>
        <scheme val="major"/>
      </rPr>
      <t>R.1</t>
    </r>
  </si>
  <si>
    <r>
      <rPr>
        <b/>
        <sz val="11.5"/>
        <color theme="3" tint="0.39997558519241921"/>
        <rFont val="Cambria"/>
        <family val="1"/>
        <scheme val="major"/>
      </rPr>
      <t>RT79</t>
    </r>
    <r>
      <rPr>
        <sz val="11.5"/>
        <rFont val="Cambria"/>
        <family val="1"/>
        <scheme val="major"/>
      </rPr>
      <t>-87840-PN-R002-</t>
    </r>
    <r>
      <rPr>
        <b/>
        <sz val="11.5"/>
        <color theme="9" tint="-0.249977111117893"/>
        <rFont val="Cambria"/>
        <family val="1"/>
        <scheme val="major"/>
      </rPr>
      <t>R.1</t>
    </r>
  </si>
  <si>
    <r>
      <rPr>
        <b/>
        <sz val="11.5"/>
        <color theme="3" tint="0.39997558519241921"/>
        <rFont val="Cambria"/>
        <family val="1"/>
        <scheme val="major"/>
      </rPr>
      <t>RT79</t>
    </r>
    <r>
      <rPr>
        <sz val="11.5"/>
        <rFont val="Cambria"/>
        <family val="1"/>
        <scheme val="major"/>
      </rPr>
      <t>-87630-PN-R005-</t>
    </r>
    <r>
      <rPr>
        <b/>
        <sz val="11.5"/>
        <color rgb="FFFF0000"/>
        <rFont val="Cambria"/>
        <family val="1"/>
        <scheme val="major"/>
      </rPr>
      <t>R.1</t>
    </r>
  </si>
  <si>
    <r>
      <t>RT98-87590-PN-R006-</t>
    </r>
    <r>
      <rPr>
        <b/>
        <sz val="11.5"/>
        <color rgb="FFFF0000"/>
        <rFont val="Cambria"/>
        <family val="1"/>
        <scheme val="major"/>
      </rPr>
      <t>R.1</t>
    </r>
  </si>
  <si>
    <r>
      <rPr>
        <b/>
        <sz val="11"/>
        <color rgb="FF0070C0"/>
        <rFont val="Cambria"/>
        <family val="1"/>
        <scheme val="major"/>
      </rPr>
      <t>RT79</t>
    </r>
    <r>
      <rPr>
        <b/>
        <sz val="11"/>
        <rFont val="Cambria"/>
        <family val="1"/>
        <scheme val="major"/>
      </rPr>
      <t>-87900-PN-R003-</t>
    </r>
    <r>
      <rPr>
        <b/>
        <sz val="11"/>
        <color rgb="FFFF0000"/>
        <rFont val="Cambria"/>
        <family val="1"/>
        <scheme val="major"/>
      </rPr>
      <t>r.1</t>
    </r>
  </si>
  <si>
    <r>
      <t>RT98-87550-PN-R004-</t>
    </r>
    <r>
      <rPr>
        <b/>
        <sz val="11"/>
        <color rgb="FFFF0000"/>
        <rFont val="Cambria"/>
        <family val="1"/>
        <scheme val="major"/>
      </rPr>
      <t>R.1</t>
    </r>
  </si>
  <si>
    <r>
      <t>RT98-88030-PN-R001</t>
    </r>
    <r>
      <rPr>
        <b/>
        <sz val="10.5"/>
        <color rgb="FFFF3300"/>
        <rFont val="Cambria"/>
        <family val="1"/>
        <scheme val="major"/>
      </rPr>
      <t>- R.2</t>
    </r>
  </si>
  <si>
    <t>PC-420-10421A</t>
  </si>
  <si>
    <t>Justin 416-903-8006</t>
  </si>
  <si>
    <r>
      <t>79-31124-PN-R003</t>
    </r>
    <r>
      <rPr>
        <b/>
        <sz val="9"/>
        <color rgb="FFFF0000"/>
        <rFont val="Cambria"/>
        <family val="1"/>
        <scheme val="major"/>
      </rPr>
      <t>-</t>
    </r>
    <r>
      <rPr>
        <b/>
        <sz val="7"/>
        <color rgb="FFFF0000"/>
        <rFont val="Cambria"/>
        <family val="1"/>
        <scheme val="major"/>
      </rPr>
      <t>CMMS</t>
    </r>
  </si>
  <si>
    <t>Treating Boss</t>
  </si>
  <si>
    <t>Walter Nydza</t>
  </si>
  <si>
    <t>Laser Etch Labels per Sample- F/I Mat;l</t>
  </si>
  <si>
    <t>TS-061-16-12-001</t>
  </si>
  <si>
    <t>4540014040-0</t>
  </si>
  <si>
    <t>4" Victaulic Flange ( 304SS)</t>
  </si>
  <si>
    <t>3806838-00</t>
  </si>
  <si>
    <t>David Bailly</t>
  </si>
  <si>
    <t>Pin Retainer</t>
  </si>
  <si>
    <t>4039149-101</t>
  </si>
  <si>
    <t>Vibe Adaptor, Base</t>
  </si>
  <si>
    <t>PO1024576</t>
  </si>
  <si>
    <t>79RF-31170-0002-01-DD-2</t>
  </si>
  <si>
    <t>Ann N</t>
  </si>
  <si>
    <t>14 + 1</t>
  </si>
  <si>
    <t>A2 &amp; D2 Parts HT 58-60 RC</t>
  </si>
</sst>
</file>

<file path=xl/styles.xml><?xml version="1.0" encoding="utf-8"?>
<styleSheet xmlns="http://schemas.openxmlformats.org/spreadsheetml/2006/main">
  <numFmts count="7">
    <numFmt numFmtId="44" formatCode="_(&quot;$&quot;* #,##0.00_);_(&quot;$&quot;* \(#,##0.00\);_(&quot;$&quot;* &quot;-&quot;??_);_(@_)"/>
    <numFmt numFmtId="164" formatCode="m/d/yy;@"/>
    <numFmt numFmtId="165" formatCode="&quot;$&quot;#,##0.00"/>
    <numFmt numFmtId="166" formatCode="[$-409]d\-mmm\-yy;@"/>
    <numFmt numFmtId="167" formatCode="[$-409]mmmm\ d\,\ yyyy;@"/>
    <numFmt numFmtId="168" formatCode="[$-409]d\-mmm\-yyyy;@"/>
    <numFmt numFmtId="169" formatCode="mm/dd/yy;@"/>
  </numFmts>
  <fonts count="102">
    <font>
      <sz val="10"/>
      <name val="Arial"/>
    </font>
    <font>
      <sz val="8"/>
      <name val="Verdana"/>
      <family val="2"/>
    </font>
    <font>
      <sz val="10"/>
      <name val="Verdana"/>
      <family val="2"/>
    </font>
    <font>
      <b/>
      <sz val="11"/>
      <name val="Verdana"/>
      <family val="2"/>
    </font>
    <font>
      <sz val="9"/>
      <name val="Verdana"/>
      <family val="2"/>
    </font>
    <font>
      <sz val="12"/>
      <color indexed="81"/>
      <name val="Tahoma"/>
      <family val="2"/>
    </font>
    <font>
      <b/>
      <sz val="12"/>
      <name val="Verdana"/>
      <family val="2"/>
    </font>
    <font>
      <sz val="11"/>
      <name val="Verdana"/>
      <family val="2"/>
    </font>
    <font>
      <sz val="16"/>
      <name val="Verdana"/>
      <family val="2"/>
    </font>
    <font>
      <sz val="10"/>
      <name val="Times New Roman"/>
      <family val="1"/>
    </font>
    <font>
      <sz val="10"/>
      <name val="Arial"/>
      <family val="2"/>
    </font>
    <font>
      <u/>
      <sz val="10"/>
      <color indexed="12"/>
      <name val="Arial"/>
      <family val="2"/>
    </font>
    <font>
      <b/>
      <sz val="10"/>
      <name val="Times New Roman"/>
      <family val="1"/>
    </font>
    <font>
      <b/>
      <sz val="12"/>
      <color indexed="81"/>
      <name val="Tahoma"/>
      <family val="2"/>
    </font>
    <font>
      <sz val="18"/>
      <name val="Arial"/>
      <family val="2"/>
    </font>
    <font>
      <b/>
      <sz val="18"/>
      <name val="Arial"/>
      <family val="2"/>
    </font>
    <font>
      <b/>
      <sz val="24"/>
      <name val="Arial"/>
      <family val="2"/>
    </font>
    <font>
      <b/>
      <sz val="14"/>
      <name val="Arial"/>
      <family val="2"/>
    </font>
    <font>
      <sz val="20"/>
      <color rgb="FFFF0000"/>
      <name val="Times New Roman"/>
      <family val="1"/>
    </font>
    <font>
      <b/>
      <sz val="12"/>
      <name val="Times New Roman"/>
      <family val="1"/>
    </font>
    <font>
      <b/>
      <sz val="28"/>
      <name val="Arial"/>
      <family val="2"/>
    </font>
    <font>
      <sz val="10"/>
      <color theme="1" tint="0.499984740745262"/>
      <name val="Arial"/>
      <family val="2"/>
    </font>
    <font>
      <b/>
      <sz val="36"/>
      <name val="Times New Roman"/>
      <family val="1"/>
    </font>
    <font>
      <b/>
      <sz val="18"/>
      <name val="Times New Roman"/>
      <family val="1"/>
    </font>
    <font>
      <sz val="18"/>
      <name val="Times New Roman"/>
      <family val="1"/>
    </font>
    <font>
      <sz val="26"/>
      <name val="Times New Roman"/>
      <family val="1"/>
    </font>
    <font>
      <b/>
      <u/>
      <sz val="18"/>
      <color theme="5" tint="-0.499984740745262"/>
      <name val="Times New Roman"/>
      <family val="1"/>
    </font>
    <font>
      <b/>
      <sz val="26"/>
      <name val="Times New Roman"/>
      <family val="1"/>
    </font>
    <font>
      <b/>
      <sz val="34"/>
      <name val="Times New Roman"/>
      <family val="1"/>
    </font>
    <font>
      <b/>
      <sz val="9"/>
      <name val="Verdana"/>
      <family val="2"/>
    </font>
    <font>
      <sz val="11"/>
      <color rgb="FF9C0006"/>
      <name val="Calibri"/>
      <family val="2"/>
      <scheme val="minor"/>
    </font>
    <font>
      <sz val="10"/>
      <color rgb="FF000000"/>
      <name val="Arial"/>
      <family val="2"/>
    </font>
    <font>
      <sz val="16"/>
      <color rgb="FF0000FF"/>
      <name val="Times New Roman"/>
      <family val="1"/>
    </font>
    <font>
      <b/>
      <u/>
      <sz val="16"/>
      <name val="Times New Roman"/>
      <family val="1"/>
    </font>
    <font>
      <sz val="12"/>
      <name val="Times New Roman"/>
      <family val="1"/>
    </font>
    <font>
      <b/>
      <sz val="14"/>
      <name val="Times New Roman"/>
      <family val="1"/>
    </font>
    <font>
      <sz val="11"/>
      <name val="Times New Roman"/>
      <family val="1"/>
    </font>
    <font>
      <b/>
      <sz val="22"/>
      <name val="Times New Roman"/>
      <family val="1"/>
    </font>
    <font>
      <b/>
      <sz val="16"/>
      <name val="Times New Roman"/>
      <family val="1"/>
    </font>
    <font>
      <sz val="14"/>
      <name val="Times New Roman"/>
      <family val="1"/>
    </font>
    <font>
      <b/>
      <i/>
      <sz val="11"/>
      <name val="Times New Roman"/>
      <family val="1"/>
    </font>
    <font>
      <sz val="9"/>
      <name val="Times New Roman"/>
      <family val="1"/>
    </font>
    <font>
      <b/>
      <sz val="9"/>
      <name val="Times New Roman"/>
      <family val="1"/>
    </font>
    <font>
      <b/>
      <sz val="8"/>
      <color rgb="FF000000"/>
      <name val="Arial"/>
      <family val="2"/>
    </font>
    <font>
      <b/>
      <sz val="12"/>
      <color rgb="FF000000"/>
      <name val="Arial"/>
      <family val="2"/>
    </font>
    <font>
      <sz val="9"/>
      <color indexed="81"/>
      <name val="Tahoma"/>
      <family val="2"/>
    </font>
    <font>
      <b/>
      <sz val="9"/>
      <color indexed="81"/>
      <name val="Tahoma"/>
      <family val="2"/>
    </font>
    <font>
      <sz val="16"/>
      <color rgb="FFFF0000"/>
      <name val="Verdana"/>
      <family val="2"/>
    </font>
    <font>
      <sz val="11"/>
      <name val="Cambria"/>
      <family val="1"/>
      <scheme val="major"/>
    </font>
    <font>
      <b/>
      <sz val="10"/>
      <name val="Cambria"/>
      <family val="1"/>
      <scheme val="major"/>
    </font>
    <font>
      <sz val="12"/>
      <name val="Cambria"/>
      <family val="1"/>
      <scheme val="major"/>
    </font>
    <font>
      <b/>
      <sz val="12"/>
      <name val="Cambria"/>
      <family val="1"/>
      <scheme val="major"/>
    </font>
    <font>
      <b/>
      <sz val="12"/>
      <color rgb="FFFF0000"/>
      <name val="Cambria"/>
      <family val="1"/>
      <scheme val="major"/>
    </font>
    <font>
      <b/>
      <sz val="12"/>
      <color theme="9" tint="-0.249977111117893"/>
      <name val="Cambria"/>
      <family val="1"/>
      <scheme val="major"/>
    </font>
    <font>
      <b/>
      <sz val="12"/>
      <color rgb="FF00B050"/>
      <name val="Cambria"/>
      <family val="1"/>
      <scheme val="major"/>
    </font>
    <font>
      <b/>
      <sz val="11"/>
      <color indexed="81"/>
      <name val="Vandra"/>
    </font>
    <font>
      <sz val="12"/>
      <color rgb="FFFF0000"/>
      <name val="Cambria"/>
      <family val="1"/>
      <scheme val="major"/>
    </font>
    <font>
      <sz val="16"/>
      <name val="Cambria"/>
      <family val="1"/>
      <scheme val="major"/>
    </font>
    <font>
      <b/>
      <sz val="11"/>
      <name val="Cambria"/>
      <family val="1"/>
      <scheme val="major"/>
    </font>
    <font>
      <b/>
      <sz val="12"/>
      <color rgb="FF0070C0"/>
      <name val="Cambria"/>
      <family val="1"/>
      <scheme val="major"/>
    </font>
    <font>
      <b/>
      <sz val="10"/>
      <color rgb="FFFF0000"/>
      <name val="Cambria"/>
      <family val="1"/>
      <scheme val="major"/>
    </font>
    <font>
      <b/>
      <sz val="9"/>
      <name val="Cambria"/>
      <family val="1"/>
      <scheme val="major"/>
    </font>
    <font>
      <b/>
      <sz val="10.5"/>
      <name val="Cambria"/>
      <family val="1"/>
      <scheme val="major"/>
    </font>
    <font>
      <b/>
      <sz val="9"/>
      <color rgb="FFFF0000"/>
      <name val="Cambria"/>
      <family val="1"/>
      <scheme val="major"/>
    </font>
    <font>
      <b/>
      <sz val="12"/>
      <color rgb="FF17425D"/>
      <name val="Cambria"/>
      <family val="1"/>
      <scheme val="major"/>
    </font>
    <font>
      <b/>
      <sz val="11"/>
      <color rgb="FFFF0000"/>
      <name val="Cambria"/>
      <family val="1"/>
      <scheme val="major"/>
    </font>
    <font>
      <b/>
      <sz val="8"/>
      <name val="Cambria"/>
      <family val="1"/>
      <scheme val="major"/>
    </font>
    <font>
      <b/>
      <sz val="8"/>
      <color rgb="FFFF0000"/>
      <name val="Cambria"/>
      <family val="1"/>
      <scheme val="major"/>
    </font>
    <font>
      <sz val="10"/>
      <name val="Cambria"/>
      <family val="1"/>
      <scheme val="major"/>
    </font>
    <font>
      <b/>
      <sz val="14"/>
      <color indexed="81"/>
      <name val="Vandra"/>
    </font>
    <font>
      <b/>
      <sz val="12"/>
      <color indexed="81"/>
      <name val="Vandra"/>
    </font>
    <font>
      <sz val="9"/>
      <name val="Cambria"/>
      <family val="1"/>
      <scheme val="major"/>
    </font>
    <font>
      <sz val="12"/>
      <color indexed="81"/>
      <name val="Arial"/>
      <family val="2"/>
    </font>
    <font>
      <b/>
      <sz val="12"/>
      <color theme="3" tint="0.39997558519241921"/>
      <name val="Cambria"/>
      <family val="1"/>
      <scheme val="major"/>
    </font>
    <font>
      <b/>
      <sz val="11"/>
      <color rgb="FF00B0F0"/>
      <name val="Cambria"/>
      <family val="1"/>
      <scheme val="major"/>
    </font>
    <font>
      <b/>
      <sz val="11"/>
      <color rgb="FF0070C0"/>
      <name val="Cambria"/>
      <family val="1"/>
      <scheme val="major"/>
    </font>
    <font>
      <sz val="11.5"/>
      <name val="Cambria"/>
      <family val="1"/>
      <scheme val="major"/>
    </font>
    <font>
      <b/>
      <sz val="11"/>
      <color rgb="FFFF3300"/>
      <name val="Cambria"/>
      <family val="1"/>
      <scheme val="major"/>
    </font>
    <font>
      <b/>
      <sz val="10.5"/>
      <color theme="1"/>
      <name val="Cambria"/>
      <family val="1"/>
      <scheme val="major"/>
    </font>
    <font>
      <b/>
      <sz val="10.5"/>
      <color rgb="FFFF3300"/>
      <name val="Cambria"/>
      <family val="1"/>
      <scheme val="major"/>
    </font>
    <font>
      <b/>
      <sz val="10.5"/>
      <color rgb="FFFF0000"/>
      <name val="Cambria"/>
      <family val="1"/>
      <scheme val="major"/>
    </font>
    <font>
      <sz val="10"/>
      <name val="Arial"/>
      <family val="2"/>
    </font>
    <font>
      <b/>
      <sz val="12"/>
      <color rgb="FFFF3300"/>
      <name val="Cambria"/>
      <family val="1"/>
      <scheme val="major"/>
    </font>
    <font>
      <sz val="11"/>
      <color indexed="81"/>
      <name val="Tahoma"/>
      <family val="2"/>
    </font>
    <font>
      <b/>
      <sz val="12"/>
      <color theme="1"/>
      <name val="Cambria"/>
      <family val="1"/>
      <scheme val="major"/>
    </font>
    <font>
      <i/>
      <sz val="9"/>
      <name val="Cambria"/>
      <family val="1"/>
      <scheme val="major"/>
    </font>
    <font>
      <sz val="12"/>
      <color theme="1"/>
      <name val="Cambria"/>
      <family val="1"/>
      <scheme val="major"/>
    </font>
    <font>
      <b/>
      <sz val="12"/>
      <color theme="5" tint="-0.249977111117893"/>
      <name val="Cambria"/>
      <family val="1"/>
      <scheme val="major"/>
    </font>
    <font>
      <b/>
      <sz val="11.5"/>
      <name val="Cambria"/>
      <family val="1"/>
      <scheme val="major"/>
    </font>
    <font>
      <sz val="10"/>
      <color rgb="FFFF0000"/>
      <name val="Cambria"/>
      <family val="1"/>
      <scheme val="major"/>
    </font>
    <font>
      <b/>
      <sz val="9"/>
      <color rgb="FF0070C0"/>
      <name val="Cambria"/>
      <family val="1"/>
      <scheme val="major"/>
    </font>
    <font>
      <sz val="10.5"/>
      <name val="Cambria"/>
      <family val="1"/>
      <scheme val="major"/>
    </font>
    <font>
      <b/>
      <i/>
      <sz val="11"/>
      <color indexed="81"/>
      <name val="Vandra"/>
    </font>
    <font>
      <b/>
      <sz val="12"/>
      <color theme="4" tint="-0.249977111117893"/>
      <name val="Cambria"/>
      <family val="1"/>
      <scheme val="major"/>
    </font>
    <font>
      <b/>
      <sz val="11.5"/>
      <color theme="4" tint="-0.249977111117893"/>
      <name val="Cambria"/>
      <family val="1"/>
      <scheme val="major"/>
    </font>
    <font>
      <b/>
      <sz val="11.5"/>
      <color rgb="FFFF0000"/>
      <name val="Cambria"/>
      <family val="1"/>
      <scheme val="major"/>
    </font>
    <font>
      <b/>
      <sz val="11.5"/>
      <color theme="3" tint="0.39997558519241921"/>
      <name val="Cambria"/>
      <family val="1"/>
      <scheme val="major"/>
    </font>
    <font>
      <b/>
      <sz val="11.5"/>
      <color rgb="FFFF3300"/>
      <name val="Cambria"/>
      <family val="1"/>
      <scheme val="major"/>
    </font>
    <font>
      <b/>
      <sz val="11.5"/>
      <color theme="1"/>
      <name val="Cambria"/>
      <family val="1"/>
      <scheme val="major"/>
    </font>
    <font>
      <b/>
      <sz val="11.5"/>
      <color rgb="FF00B0F0"/>
      <name val="Cambria"/>
      <family val="1"/>
      <scheme val="major"/>
    </font>
    <font>
      <b/>
      <sz val="11.5"/>
      <color theme="9" tint="-0.249977111117893"/>
      <name val="Cambria"/>
      <family val="1"/>
      <scheme val="major"/>
    </font>
    <font>
      <b/>
      <sz val="7"/>
      <color rgb="FFFF0000"/>
      <name val="Cambria"/>
      <family val="1"/>
      <scheme val="major"/>
    </font>
  </fonts>
  <fills count="29">
    <fill>
      <patternFill patternType="none"/>
    </fill>
    <fill>
      <patternFill patternType="gray125"/>
    </fill>
    <fill>
      <patternFill patternType="solid">
        <fgColor indexed="31"/>
        <bgColor indexed="64"/>
      </patternFill>
    </fill>
    <fill>
      <patternFill patternType="solid">
        <fgColor indexed="9"/>
        <bgColor indexed="64"/>
      </patternFill>
    </fill>
    <fill>
      <patternFill patternType="solid">
        <fgColor rgb="FFFFFF00"/>
        <bgColor indexed="64"/>
      </patternFill>
    </fill>
    <fill>
      <patternFill patternType="solid">
        <fgColor theme="3" tint="0.59999389629810485"/>
        <bgColor indexed="64"/>
      </patternFill>
    </fill>
    <fill>
      <patternFill patternType="solid">
        <fgColor rgb="FFFF0000"/>
        <bgColor indexed="64"/>
      </patternFill>
    </fill>
    <fill>
      <patternFill patternType="solid">
        <fgColor rgb="FF92D050"/>
        <bgColor indexed="64"/>
      </patternFill>
    </fill>
    <fill>
      <patternFill patternType="solid">
        <fgColor theme="6" tint="0.59999389629810485"/>
        <bgColor indexed="64"/>
      </patternFill>
    </fill>
    <fill>
      <patternFill patternType="solid">
        <fgColor indexed="22"/>
        <bgColor indexed="64"/>
      </patternFill>
    </fill>
    <fill>
      <patternFill patternType="solid">
        <fgColor indexed="55"/>
        <bgColor indexed="64"/>
      </patternFill>
    </fill>
    <fill>
      <patternFill patternType="solid">
        <fgColor theme="4"/>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FC7CE"/>
      </patternFill>
    </fill>
    <fill>
      <patternFill patternType="solid">
        <fgColor indexed="41"/>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7C80"/>
        <bgColor indexed="64"/>
      </patternFill>
    </fill>
    <fill>
      <patternFill patternType="solid">
        <fgColor rgb="FFFFFF99"/>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theme="9"/>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rgb="FFFFCCCC"/>
        <bgColor indexed="64"/>
      </patternFill>
    </fill>
  </fills>
  <borders count="42">
    <border>
      <left/>
      <right/>
      <top/>
      <bottom/>
      <diagonal/>
    </border>
    <border>
      <left/>
      <right/>
      <top style="hair">
        <color auto="1"/>
      </top>
      <bottom/>
      <diagonal/>
    </border>
    <border>
      <left style="medium">
        <color indexed="64"/>
      </left>
      <right style="thin">
        <color indexed="64"/>
      </right>
      <top style="medium">
        <color indexed="64"/>
      </top>
      <bottom style="hair">
        <color auto="1"/>
      </bottom>
      <diagonal/>
    </border>
    <border>
      <left style="thin">
        <color indexed="64"/>
      </left>
      <right style="thin">
        <color indexed="64"/>
      </right>
      <top style="medium">
        <color indexed="64"/>
      </top>
      <bottom style="hair">
        <color auto="1"/>
      </bottom>
      <diagonal/>
    </border>
    <border>
      <left/>
      <right/>
      <top/>
      <bottom style="hair">
        <color auto="1"/>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style="hair">
        <color auto="1"/>
      </top>
      <bottom style="hair">
        <color auto="1"/>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thin">
        <color indexed="64"/>
      </right>
      <top style="thin">
        <color indexed="64"/>
      </top>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thin">
        <color indexed="64"/>
      </left>
      <right style="thin">
        <color indexed="64"/>
      </right>
      <top/>
      <bottom style="thin">
        <color indexed="64"/>
      </bottom>
      <diagonal/>
    </border>
    <border>
      <left/>
      <right style="thin">
        <color indexed="64"/>
      </right>
      <top style="hair">
        <color indexed="64"/>
      </top>
      <bottom style="thin">
        <color indexed="64"/>
      </bottom>
      <diagonal/>
    </border>
    <border>
      <left style="hair">
        <color auto="1"/>
      </left>
      <right style="hair">
        <color auto="1"/>
      </right>
      <top style="hair">
        <color auto="1"/>
      </top>
      <bottom style="hair">
        <color auto="1"/>
      </bottom>
      <diagonal/>
    </border>
    <border>
      <left style="thin">
        <color indexed="64"/>
      </left>
      <right/>
      <top style="medium">
        <color indexed="64"/>
      </top>
      <bottom/>
      <diagonal/>
    </border>
    <border>
      <left style="thin">
        <color indexed="64"/>
      </left>
      <right style="thin">
        <color indexed="64"/>
      </right>
      <top style="thin">
        <color indexed="64"/>
      </top>
      <bottom style="thin">
        <color indexed="64"/>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medium">
        <color indexed="64"/>
      </left>
      <right style="thin">
        <color auto="1"/>
      </right>
      <top style="medium">
        <color indexed="64"/>
      </top>
      <bottom style="thin">
        <color auto="1"/>
      </bottom>
      <diagonal/>
    </border>
  </borders>
  <cellStyleXfs count="5">
    <xf numFmtId="0" fontId="0" fillId="0" borderId="0"/>
    <xf numFmtId="0" fontId="10" fillId="0" borderId="0"/>
    <xf numFmtId="0" fontId="11" fillId="0" borderId="0" applyNumberFormat="0" applyFill="0" applyBorder="0" applyAlignment="0" applyProtection="0">
      <alignment vertical="top"/>
      <protection locked="0"/>
    </xf>
    <xf numFmtId="0" fontId="30" fillId="15" borderId="0" applyNumberFormat="0" applyBorder="0" applyAlignment="0" applyProtection="0"/>
    <xf numFmtId="44" fontId="81" fillId="0" borderId="0" applyFont="0" applyFill="0" applyBorder="0" applyAlignment="0" applyProtection="0"/>
  </cellStyleXfs>
  <cellXfs count="451">
    <xf numFmtId="0" fontId="0" fillId="0" borderId="0" xfId="0"/>
    <xf numFmtId="0" fontId="10" fillId="9" borderId="0" xfId="1" applyFill="1" applyAlignment="1">
      <alignment vertical="center"/>
    </xf>
    <xf numFmtId="0" fontId="14" fillId="9" borderId="0" xfId="1" applyFont="1" applyFill="1" applyAlignment="1">
      <alignment vertical="center"/>
    </xf>
    <xf numFmtId="0" fontId="16" fillId="10" borderId="0" xfId="1" applyFont="1" applyFill="1" applyAlignment="1">
      <alignment horizontal="centerContinuous" vertical="center"/>
    </xf>
    <xf numFmtId="0" fontId="17" fillId="10" borderId="0" xfId="1" applyFont="1" applyFill="1" applyAlignment="1">
      <alignment horizontal="centerContinuous" vertical="center"/>
    </xf>
    <xf numFmtId="0" fontId="10" fillId="11" borderId="0" xfId="1" applyFill="1" applyAlignment="1">
      <alignment vertical="center"/>
    </xf>
    <xf numFmtId="0" fontId="15" fillId="10" borderId="0" xfId="1" applyFont="1" applyFill="1" applyAlignment="1">
      <alignment horizontal="right" vertical="center" indent="1"/>
    </xf>
    <xf numFmtId="14" fontId="10" fillId="9" borderId="0" xfId="1" applyNumberFormat="1" applyFill="1" applyAlignment="1">
      <alignment vertical="center"/>
    </xf>
    <xf numFmtId="0" fontId="10" fillId="12" borderId="0" xfId="1" applyFill="1" applyAlignment="1">
      <alignment vertical="center"/>
    </xf>
    <xf numFmtId="0" fontId="15" fillId="12" borderId="0" xfId="1" applyFont="1" applyFill="1" applyAlignment="1">
      <alignment horizontal="right" vertical="center" indent="1"/>
    </xf>
    <xf numFmtId="0" fontId="14" fillId="4" borderId="0" xfId="1" applyFont="1" applyFill="1" applyAlignment="1">
      <alignment vertical="center"/>
    </xf>
    <xf numFmtId="1" fontId="18" fillId="4" borderId="0" xfId="1" applyNumberFormat="1" applyFont="1" applyFill="1" applyAlignment="1">
      <alignment horizontal="left" vertical="center" wrapText="1"/>
    </xf>
    <xf numFmtId="0" fontId="10" fillId="4" borderId="0" xfId="1" applyFill="1" applyAlignment="1">
      <alignment vertical="center"/>
    </xf>
    <xf numFmtId="0" fontId="10" fillId="12" borderId="0" xfId="1" applyFill="1" applyAlignment="1">
      <alignment horizontal="left" vertical="center" wrapText="1"/>
    </xf>
    <xf numFmtId="0" fontId="10" fillId="12" borderId="0" xfId="1" applyFill="1" applyAlignment="1">
      <alignment horizontal="left" vertical="center" indent="1"/>
    </xf>
    <xf numFmtId="164" fontId="10" fillId="9" borderId="0" xfId="1" applyNumberFormat="1" applyFill="1" applyAlignment="1">
      <alignment horizontal="left" vertical="center"/>
    </xf>
    <xf numFmtId="1" fontId="2" fillId="12" borderId="0" xfId="1" applyNumberFormat="1" applyFont="1" applyFill="1" applyAlignment="1">
      <alignment horizontal="right"/>
    </xf>
    <xf numFmtId="0" fontId="10" fillId="0" borderId="0" xfId="1" applyAlignment="1" applyProtection="1">
      <alignment horizontal="left" vertical="center" wrapText="1"/>
      <protection locked="0"/>
    </xf>
    <xf numFmtId="0" fontId="10" fillId="0" borderId="0" xfId="1" applyAlignment="1">
      <alignment vertical="center"/>
    </xf>
    <xf numFmtId="0" fontId="14" fillId="0" borderId="0" xfId="1" applyFont="1" applyAlignment="1">
      <alignment vertical="center"/>
    </xf>
    <xf numFmtId="49" fontId="19" fillId="0" borderId="0" xfId="1" applyNumberFormat="1" applyFont="1" applyAlignment="1" applyProtection="1">
      <alignment horizontal="left"/>
      <protection locked="0"/>
    </xf>
    <xf numFmtId="0" fontId="10" fillId="0" borderId="0" xfId="1"/>
    <xf numFmtId="1" fontId="2" fillId="11" borderId="0" xfId="0" applyNumberFormat="1" applyFont="1" applyFill="1" applyAlignment="1">
      <alignment horizontal="right"/>
    </xf>
    <xf numFmtId="0" fontId="20" fillId="10" borderId="0" xfId="1" applyFont="1" applyFill="1" applyAlignment="1">
      <alignment horizontal="centerContinuous" vertical="center"/>
    </xf>
    <xf numFmtId="1" fontId="8" fillId="0" borderId="0" xfId="1" applyNumberFormat="1" applyFont="1" applyAlignment="1">
      <alignment horizontal="left" vertical="center" wrapText="1"/>
    </xf>
    <xf numFmtId="0" fontId="8" fillId="9" borderId="0" xfId="1" applyFont="1" applyFill="1" applyAlignment="1">
      <alignment horizontal="left" vertical="center"/>
    </xf>
    <xf numFmtId="166" fontId="8" fillId="12" borderId="0" xfId="1" applyNumberFormat="1" applyFont="1" applyFill="1" applyAlignment="1">
      <alignment horizontal="left" vertical="center"/>
    </xf>
    <xf numFmtId="1" fontId="8" fillId="9" borderId="0" xfId="1" applyNumberFormat="1" applyFont="1" applyFill="1" applyAlignment="1">
      <alignment horizontal="left" vertical="center"/>
    </xf>
    <xf numFmtId="1" fontId="8" fillId="9" borderId="0" xfId="1" applyNumberFormat="1" applyFont="1" applyFill="1" applyAlignment="1">
      <alignment horizontal="center" vertical="center"/>
    </xf>
    <xf numFmtId="0" fontId="6" fillId="0" borderId="0" xfId="0" applyFont="1" applyAlignment="1">
      <alignment horizontal="center"/>
    </xf>
    <xf numFmtId="0" fontId="2" fillId="0" borderId="0" xfId="0" applyFont="1"/>
    <xf numFmtId="0" fontId="21" fillId="12" borderId="0" xfId="1" applyFont="1" applyFill="1" applyAlignment="1">
      <alignment horizontal="center" vertical="center"/>
    </xf>
    <xf numFmtId="1" fontId="8" fillId="11" borderId="0" xfId="1" applyNumberFormat="1" applyFont="1" applyFill="1" applyAlignment="1">
      <alignment horizontal="left" vertical="center"/>
    </xf>
    <xf numFmtId="0" fontId="10" fillId="9" borderId="0" xfId="1" applyFill="1" applyAlignment="1" applyProtection="1">
      <alignment vertical="center"/>
      <protection locked="0"/>
    </xf>
    <xf numFmtId="0" fontId="10" fillId="8" borderId="0" xfId="1" applyFill="1"/>
    <xf numFmtId="1" fontId="22" fillId="8" borderId="10" xfId="1" applyNumberFormat="1" applyFont="1" applyFill="1" applyBorder="1" applyAlignment="1">
      <alignment horizontal="center"/>
    </xf>
    <xf numFmtId="1" fontId="22" fillId="13" borderId="9" xfId="1" applyNumberFormat="1" applyFont="1" applyFill="1" applyBorder="1" applyAlignment="1">
      <alignment horizontal="center"/>
    </xf>
    <xf numFmtId="0" fontId="23" fillId="8" borderId="9" xfId="1" applyFont="1" applyFill="1" applyBorder="1" applyAlignment="1">
      <alignment horizontal="center"/>
    </xf>
    <xf numFmtId="0" fontId="22" fillId="8" borderId="9" xfId="1" applyFont="1" applyFill="1" applyBorder="1"/>
    <xf numFmtId="0" fontId="12" fillId="8" borderId="8" xfId="1" applyFont="1" applyFill="1" applyBorder="1"/>
    <xf numFmtId="0" fontId="9" fillId="13" borderId="0" xfId="1" applyFont="1" applyFill="1"/>
    <xf numFmtId="0" fontId="24" fillId="0" borderId="0" xfId="1" applyFont="1" applyAlignment="1">
      <alignment vertical="center"/>
    </xf>
    <xf numFmtId="0" fontId="24" fillId="0" borderId="0" xfId="1" applyFont="1" applyAlignment="1">
      <alignment horizontal="center" vertical="center"/>
    </xf>
    <xf numFmtId="0" fontId="9" fillId="0" borderId="0" xfId="1" applyFont="1"/>
    <xf numFmtId="0" fontId="25" fillId="0" borderId="0" xfId="1" applyFont="1"/>
    <xf numFmtId="1" fontId="22" fillId="8" borderId="12" xfId="1" applyNumberFormat="1" applyFont="1" applyFill="1" applyBorder="1" applyAlignment="1">
      <alignment horizontal="center"/>
    </xf>
    <xf numFmtId="1" fontId="22" fillId="13" borderId="0" xfId="1" applyNumberFormat="1" applyFont="1" applyFill="1" applyAlignment="1">
      <alignment horizontal="center"/>
    </xf>
    <xf numFmtId="0" fontId="23" fillId="13" borderId="0" xfId="1" applyFont="1" applyFill="1" applyAlignment="1">
      <alignment horizontal="center"/>
    </xf>
    <xf numFmtId="0" fontId="22" fillId="13" borderId="0" xfId="1" applyFont="1" applyFill="1"/>
    <xf numFmtId="0" fontId="12" fillId="13" borderId="13" xfId="1" applyFont="1" applyFill="1" applyBorder="1"/>
    <xf numFmtId="1" fontId="24" fillId="0" borderId="7" xfId="1" applyNumberFormat="1" applyFont="1" applyBorder="1" applyAlignment="1" applyProtection="1">
      <alignment horizontal="center"/>
      <protection hidden="1"/>
    </xf>
    <xf numFmtId="1" fontId="24" fillId="13" borderId="6" xfId="1" applyNumberFormat="1" applyFont="1" applyFill="1" applyBorder="1" applyAlignment="1" applyProtection="1">
      <alignment horizontal="center"/>
      <protection hidden="1"/>
    </xf>
    <xf numFmtId="0" fontId="24" fillId="0" borderId="6" xfId="1" applyFont="1" applyBorder="1" applyAlignment="1">
      <alignment horizontal="center"/>
    </xf>
    <xf numFmtId="0" fontId="9" fillId="0" borderId="5" xfId="1" applyFont="1" applyBorder="1"/>
    <xf numFmtId="1" fontId="24" fillId="0" borderId="0" xfId="1" applyNumberFormat="1" applyFont="1" applyAlignment="1">
      <alignment horizontal="center"/>
    </xf>
    <xf numFmtId="1" fontId="24" fillId="13" borderId="0" xfId="1" applyNumberFormat="1" applyFont="1" applyFill="1" applyAlignment="1">
      <alignment horizontal="center"/>
    </xf>
    <xf numFmtId="0" fontId="24" fillId="0" borderId="0" xfId="1" applyFont="1" applyAlignment="1">
      <alignment horizontal="center"/>
    </xf>
    <xf numFmtId="0" fontId="24" fillId="5" borderId="0" xfId="1" applyFont="1" applyFill="1" applyAlignment="1">
      <alignment horizontal="center"/>
    </xf>
    <xf numFmtId="14" fontId="24" fillId="0" borderId="0" xfId="1" applyNumberFormat="1" applyFont="1" applyAlignment="1">
      <alignment horizontal="center" vertical="center"/>
    </xf>
    <xf numFmtId="0" fontId="24" fillId="7" borderId="0" xfId="1" applyFont="1" applyFill="1" applyAlignment="1">
      <alignment horizontal="center"/>
    </xf>
    <xf numFmtId="0" fontId="24" fillId="4" borderId="0" xfId="1" applyFont="1" applyFill="1" applyAlignment="1">
      <alignment horizontal="center"/>
    </xf>
    <xf numFmtId="0" fontId="23" fillId="4" borderId="0" xfId="1" applyFont="1" applyFill="1" applyAlignment="1">
      <alignment horizontal="center"/>
    </xf>
    <xf numFmtId="0" fontId="24" fillId="6" borderId="0" xfId="1" applyFont="1" applyFill="1" applyAlignment="1">
      <alignment horizontal="center"/>
    </xf>
    <xf numFmtId="0" fontId="23" fillId="6" borderId="0" xfId="1" applyFont="1" applyFill="1" applyAlignment="1">
      <alignment horizontal="center"/>
    </xf>
    <xf numFmtId="0" fontId="26" fillId="0" borderId="0" xfId="1" applyFont="1" applyAlignment="1">
      <alignment horizontal="center"/>
    </xf>
    <xf numFmtId="0" fontId="24" fillId="14" borderId="0" xfId="1" applyFont="1" applyFill="1" applyAlignment="1">
      <alignment horizontal="center"/>
    </xf>
    <xf numFmtId="9" fontId="24" fillId="5" borderId="0" xfId="1" applyNumberFormat="1" applyFont="1" applyFill="1" applyAlignment="1">
      <alignment horizontal="center"/>
    </xf>
    <xf numFmtId="9" fontId="24" fillId="7" borderId="0" xfId="1" applyNumberFormat="1" applyFont="1" applyFill="1" applyAlignment="1">
      <alignment horizontal="center"/>
    </xf>
    <xf numFmtId="9" fontId="24" fillId="4" borderId="0" xfId="1" applyNumberFormat="1" applyFont="1" applyFill="1" applyAlignment="1">
      <alignment horizontal="center"/>
    </xf>
    <xf numFmtId="9" fontId="24" fillId="6" borderId="0" xfId="1" applyNumberFormat="1" applyFont="1" applyFill="1" applyAlignment="1">
      <alignment horizontal="center"/>
    </xf>
    <xf numFmtId="1" fontId="2" fillId="0" borderId="0" xfId="1" applyNumberFormat="1" applyFont="1" applyAlignment="1" applyProtection="1">
      <alignment horizontal="center"/>
      <protection locked="0"/>
    </xf>
    <xf numFmtId="0" fontId="1" fillId="0" borderId="0" xfId="1" applyFont="1" applyProtection="1">
      <protection locked="0"/>
    </xf>
    <xf numFmtId="1" fontId="2" fillId="0" borderId="0" xfId="1" applyNumberFormat="1" applyFont="1" applyAlignment="1">
      <alignment horizontal="center"/>
    </xf>
    <xf numFmtId="0" fontId="24" fillId="0" borderId="0" xfId="1" applyFont="1" applyAlignment="1">
      <alignment horizontal="right"/>
    </xf>
    <xf numFmtId="14" fontId="24" fillId="0" borderId="0" xfId="1" applyNumberFormat="1" applyFont="1" applyAlignment="1">
      <alignment horizontal="right"/>
    </xf>
    <xf numFmtId="0" fontId="27" fillId="0" borderId="0" xfId="1" applyFont="1" applyAlignment="1">
      <alignment horizontal="center"/>
    </xf>
    <xf numFmtId="1" fontId="24" fillId="13" borderId="0" xfId="1" applyNumberFormat="1" applyFont="1" applyFill="1" applyAlignment="1" applyProtection="1">
      <alignment horizontal="center"/>
      <protection hidden="1"/>
    </xf>
    <xf numFmtId="0" fontId="22" fillId="8" borderId="15" xfId="1" applyFont="1" applyFill="1" applyBorder="1" applyAlignment="1">
      <alignment horizontal="left" vertical="center"/>
    </xf>
    <xf numFmtId="0" fontId="12" fillId="8" borderId="16" xfId="1" applyFont="1" applyFill="1" applyBorder="1"/>
    <xf numFmtId="0" fontId="9" fillId="0" borderId="17" xfId="1" applyFont="1" applyBorder="1"/>
    <xf numFmtId="0" fontId="28" fillId="8" borderId="14" xfId="1" applyFont="1" applyFill="1" applyBorder="1" applyAlignment="1">
      <alignment horizontal="left"/>
    </xf>
    <xf numFmtId="0" fontId="23" fillId="13" borderId="18" xfId="1" applyFont="1" applyFill="1" applyBorder="1" applyAlignment="1">
      <alignment horizontal="center"/>
    </xf>
    <xf numFmtId="0" fontId="22" fillId="13" borderId="19" xfId="1" applyFont="1" applyFill="1" applyBorder="1"/>
    <xf numFmtId="0" fontId="12" fillId="13" borderId="20" xfId="1" applyFont="1" applyFill="1" applyBorder="1"/>
    <xf numFmtId="0" fontId="24" fillId="0" borderId="18" xfId="1" applyFont="1" applyBorder="1" applyAlignment="1">
      <alignment horizontal="center"/>
    </xf>
    <xf numFmtId="0" fontId="24" fillId="0" borderId="20" xfId="1" applyFont="1" applyBorder="1" applyAlignment="1">
      <alignment horizontal="center"/>
    </xf>
    <xf numFmtId="0" fontId="19" fillId="0" borderId="0" xfId="1" applyFont="1" applyAlignment="1">
      <alignment horizontal="left"/>
    </xf>
    <xf numFmtId="0" fontId="30" fillId="15" borderId="0" xfId="3"/>
    <xf numFmtId="0" fontId="9" fillId="16" borderId="14" xfId="1" applyFont="1" applyFill="1" applyBorder="1"/>
    <xf numFmtId="0" fontId="9" fillId="16" borderId="15" xfId="1" applyFont="1" applyFill="1" applyBorder="1"/>
    <xf numFmtId="0" fontId="9" fillId="16" borderId="15" xfId="1" applyFont="1" applyFill="1" applyBorder="1" applyAlignment="1">
      <alignment horizontal="right"/>
    </xf>
    <xf numFmtId="0" fontId="9" fillId="16" borderId="16" xfId="1" applyFont="1" applyFill="1" applyBorder="1" applyAlignment="1">
      <alignment horizontal="right"/>
    </xf>
    <xf numFmtId="0" fontId="9" fillId="16" borderId="21" xfId="1" applyFont="1" applyFill="1" applyBorder="1" applyAlignment="1">
      <alignment horizontal="center"/>
    </xf>
    <xf numFmtId="0" fontId="9" fillId="16" borderId="0" xfId="1" applyFont="1" applyFill="1"/>
    <xf numFmtId="0" fontId="9" fillId="16" borderId="0" xfId="1" applyFont="1" applyFill="1" applyAlignment="1">
      <alignment horizontal="center"/>
    </xf>
    <xf numFmtId="0" fontId="33" fillId="16" borderId="0" xfId="1" applyFont="1" applyFill="1" applyAlignment="1">
      <alignment horizontal="center"/>
    </xf>
    <xf numFmtId="0" fontId="9" fillId="16" borderId="22" xfId="1" applyFont="1" applyFill="1" applyBorder="1" applyAlignment="1">
      <alignment horizontal="center"/>
    </xf>
    <xf numFmtId="0" fontId="9" fillId="0" borderId="0" xfId="1" applyFont="1" applyAlignment="1">
      <alignment horizontal="center"/>
    </xf>
    <xf numFmtId="0" fontId="34" fillId="16" borderId="21" xfId="1" applyFont="1" applyFill="1" applyBorder="1"/>
    <xf numFmtId="0" fontId="34" fillId="16" borderId="0" xfId="1" applyFont="1" applyFill="1"/>
    <xf numFmtId="0" fontId="9" fillId="16" borderId="22" xfId="1" applyFont="1" applyFill="1" applyBorder="1"/>
    <xf numFmtId="0" fontId="19" fillId="16" borderId="0" xfId="1" applyFont="1" applyFill="1"/>
    <xf numFmtId="0" fontId="35" fillId="16" borderId="0" xfId="1" applyFont="1" applyFill="1" applyAlignment="1">
      <alignment horizontal="center"/>
    </xf>
    <xf numFmtId="0" fontId="9" fillId="16" borderId="22" xfId="1" applyFont="1" applyFill="1" applyBorder="1" applyAlignment="1">
      <alignment horizontal="right"/>
    </xf>
    <xf numFmtId="0" fontId="34" fillId="16" borderId="23" xfId="1" applyFont="1" applyFill="1" applyBorder="1"/>
    <xf numFmtId="0" fontId="34" fillId="16" borderId="24" xfId="1" applyFont="1" applyFill="1" applyBorder="1"/>
    <xf numFmtId="0" fontId="19" fillId="16" borderId="24" xfId="1" applyFont="1" applyFill="1" applyBorder="1"/>
    <xf numFmtId="0" fontId="9" fillId="16" borderId="24" xfId="1" applyFont="1" applyFill="1" applyBorder="1"/>
    <xf numFmtId="0" fontId="9" fillId="16" borderId="17" xfId="1" applyFont="1" applyFill="1" applyBorder="1"/>
    <xf numFmtId="0" fontId="9" fillId="0" borderId="18" xfId="1" applyFont="1" applyBorder="1"/>
    <xf numFmtId="0" fontId="9" fillId="0" borderId="19" xfId="1" applyFont="1" applyBorder="1"/>
    <xf numFmtId="0" fontId="9" fillId="0" borderId="18" xfId="1" applyFont="1" applyBorder="1" applyAlignment="1">
      <alignment horizontal="right"/>
    </xf>
    <xf numFmtId="0" fontId="9" fillId="0" borderId="14" xfId="1" applyFont="1" applyBorder="1"/>
    <xf numFmtId="0" fontId="9" fillId="0" borderId="24" xfId="1" applyFont="1" applyBorder="1"/>
    <xf numFmtId="0" fontId="9" fillId="0" borderId="16" xfId="1" applyFont="1" applyBorder="1" applyAlignment="1">
      <alignment horizontal="left"/>
    </xf>
    <xf numFmtId="0" fontId="9" fillId="0" borderId="15" xfId="1" applyFont="1" applyBorder="1"/>
    <xf numFmtId="0" fontId="9" fillId="0" borderId="16" xfId="1" applyFont="1" applyBorder="1"/>
    <xf numFmtId="0" fontId="9" fillId="0" borderId="24" xfId="1" applyFont="1" applyBorder="1" applyAlignment="1">
      <alignment horizontal="right"/>
    </xf>
    <xf numFmtId="0" fontId="9" fillId="0" borderId="16" xfId="1" applyFont="1" applyBorder="1" applyAlignment="1">
      <alignment horizontal="center"/>
    </xf>
    <xf numFmtId="0" fontId="9" fillId="0" borderId="20" xfId="1" applyFont="1" applyBorder="1"/>
    <xf numFmtId="0" fontId="40" fillId="0" borderId="18" xfId="1" applyFont="1" applyBorder="1"/>
    <xf numFmtId="0" fontId="12" fillId="0" borderId="19" xfId="1" applyFont="1" applyBorder="1"/>
    <xf numFmtId="0" fontId="9" fillId="0" borderId="18" xfId="1" applyFont="1" applyBorder="1" applyAlignment="1">
      <alignment horizontal="left"/>
    </xf>
    <xf numFmtId="0" fontId="19" fillId="0" borderId="19" xfId="1" applyFont="1" applyBorder="1" applyAlignment="1">
      <alignment horizontal="center"/>
    </xf>
    <xf numFmtId="0" fontId="34" fillId="0" borderId="19" xfId="1" applyFont="1" applyBorder="1"/>
    <xf numFmtId="0" fontId="41" fillId="0" borderId="25" xfId="1" applyFont="1" applyBorder="1"/>
    <xf numFmtId="0" fontId="41" fillId="0" borderId="26" xfId="1" applyFont="1" applyBorder="1"/>
    <xf numFmtId="0" fontId="41" fillId="0" borderId="20" xfId="1" applyFont="1" applyBorder="1"/>
    <xf numFmtId="0" fontId="39" fillId="0" borderId="27" xfId="1" applyFont="1" applyBorder="1" applyAlignment="1">
      <alignment horizontal="center"/>
    </xf>
    <xf numFmtId="0" fontId="41" fillId="0" borderId="14" xfId="1" applyFont="1" applyBorder="1"/>
    <xf numFmtId="0" fontId="41" fillId="0" borderId="16" xfId="1" applyFont="1" applyBorder="1"/>
    <xf numFmtId="0" fontId="41" fillId="0" borderId="28" xfId="1" applyFont="1" applyBorder="1"/>
    <xf numFmtId="0" fontId="41" fillId="0" borderId="29" xfId="1" applyFont="1" applyBorder="1"/>
    <xf numFmtId="0" fontId="41" fillId="0" borderId="11" xfId="1" applyFont="1" applyBorder="1"/>
    <xf numFmtId="0" fontId="39" fillId="0" borderId="30" xfId="1" applyFont="1" applyBorder="1" applyAlignment="1">
      <alignment horizontal="center"/>
    </xf>
    <xf numFmtId="0" fontId="41" fillId="0" borderId="30" xfId="1" applyFont="1" applyBorder="1"/>
    <xf numFmtId="0" fontId="41" fillId="0" borderId="31" xfId="1" applyFont="1" applyBorder="1"/>
    <xf numFmtId="0" fontId="34" fillId="0" borderId="30" xfId="1" applyFont="1" applyBorder="1" applyAlignment="1">
      <alignment horizontal="center"/>
    </xf>
    <xf numFmtId="0" fontId="41" fillId="0" borderId="30" xfId="1" applyFont="1" applyBorder="1" applyAlignment="1">
      <alignment horizontal="center"/>
    </xf>
    <xf numFmtId="0" fontId="41" fillId="0" borderId="32" xfId="1" applyFont="1" applyBorder="1"/>
    <xf numFmtId="0" fontId="41" fillId="0" borderId="33" xfId="1" applyFont="1" applyBorder="1"/>
    <xf numFmtId="0" fontId="41" fillId="0" borderId="34" xfId="1" applyFont="1" applyBorder="1"/>
    <xf numFmtId="0" fontId="41" fillId="0" borderId="23" xfId="1" applyFont="1" applyBorder="1"/>
    <xf numFmtId="0" fontId="41" fillId="0" borderId="17" xfId="1" applyFont="1" applyBorder="1"/>
    <xf numFmtId="0" fontId="41" fillId="0" borderId="35" xfId="1" applyFont="1" applyBorder="1"/>
    <xf numFmtId="0" fontId="42" fillId="0" borderId="25" xfId="1" applyFont="1" applyBorder="1"/>
    <xf numFmtId="0" fontId="9" fillId="0" borderId="11" xfId="1" applyFont="1" applyBorder="1"/>
    <xf numFmtId="0" fontId="9" fillId="0" borderId="29" xfId="1" applyFont="1" applyBorder="1"/>
    <xf numFmtId="0" fontId="9" fillId="0" borderId="31" xfId="1" applyFont="1" applyBorder="1"/>
    <xf numFmtId="0" fontId="9" fillId="0" borderId="32" xfId="1" applyFont="1" applyBorder="1"/>
    <xf numFmtId="0" fontId="9" fillId="0" borderId="33" xfId="1" applyFont="1" applyBorder="1"/>
    <xf numFmtId="0" fontId="9" fillId="0" borderId="35" xfId="1" applyFont="1" applyBorder="1"/>
    <xf numFmtId="0" fontId="9" fillId="0" borderId="23" xfId="1" applyFont="1" applyBorder="1"/>
    <xf numFmtId="0" fontId="36" fillId="0" borderId="0" xfId="1" applyFont="1"/>
    <xf numFmtId="0" fontId="10" fillId="0" borderId="0" xfId="1" applyAlignment="1">
      <alignment horizontal="left"/>
    </xf>
    <xf numFmtId="165" fontId="8" fillId="3" borderId="0" xfId="1" applyNumberFormat="1" applyFont="1" applyFill="1" applyAlignment="1" applyProtection="1">
      <alignment horizontal="left" vertical="center"/>
      <protection locked="0"/>
    </xf>
    <xf numFmtId="1" fontId="3" fillId="2" borderId="3" xfId="0" applyNumberFormat="1" applyFont="1" applyFill="1" applyBorder="1" applyAlignment="1" applyProtection="1">
      <alignment horizontal="center" vertical="center"/>
      <protection locked="0"/>
    </xf>
    <xf numFmtId="0" fontId="7" fillId="0" borderId="0" xfId="0" applyFont="1" applyAlignment="1" applyProtection="1">
      <alignment horizontal="center" vertical="center"/>
      <protection locked="0"/>
    </xf>
    <xf numFmtId="49" fontId="3" fillId="2" borderId="3" xfId="0" applyNumberFormat="1" applyFont="1" applyFill="1" applyBorder="1" applyAlignment="1" applyProtection="1">
      <alignment horizontal="center" vertical="center"/>
      <protection locked="0"/>
    </xf>
    <xf numFmtId="49" fontId="3" fillId="2" borderId="3" xfId="0" applyNumberFormat="1" applyFont="1" applyFill="1" applyBorder="1" applyAlignment="1" applyProtection="1">
      <alignment horizontal="left" vertical="center"/>
      <protection locked="0"/>
    </xf>
    <xf numFmtId="0" fontId="7" fillId="0" borderId="0" xfId="0" applyFont="1" applyAlignment="1" applyProtection="1">
      <alignment horizontal="left" vertical="center"/>
      <protection locked="0"/>
    </xf>
    <xf numFmtId="164" fontId="3" fillId="2" borderId="3" xfId="0" applyNumberFormat="1" applyFont="1" applyFill="1" applyBorder="1" applyAlignment="1" applyProtection="1">
      <alignment horizontal="center" vertical="center"/>
      <protection locked="0"/>
    </xf>
    <xf numFmtId="164" fontId="7" fillId="0" borderId="0" xfId="0" applyNumberFormat="1" applyFont="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0" fontId="29" fillId="0" borderId="0" xfId="0" applyFont="1" applyAlignment="1" applyProtection="1">
      <alignment horizontal="left" vertical="center"/>
      <protection locked="0"/>
    </xf>
    <xf numFmtId="0" fontId="3" fillId="0" borderId="0" xfId="0" applyFont="1" applyAlignment="1" applyProtection="1">
      <alignment horizontal="center" vertical="center"/>
      <protection locked="0"/>
    </xf>
    <xf numFmtId="0" fontId="3" fillId="0" borderId="0" xfId="0" applyFont="1" applyAlignment="1" applyProtection="1">
      <alignment horizontal="left" vertical="center"/>
      <protection locked="0"/>
    </xf>
    <xf numFmtId="0" fontId="3" fillId="4" borderId="0" xfId="0" applyFont="1" applyFill="1" applyAlignment="1" applyProtection="1">
      <alignment horizontal="center" vertical="center"/>
      <protection locked="0"/>
    </xf>
    <xf numFmtId="0" fontId="7" fillId="4" borderId="0" xfId="0" applyFont="1" applyFill="1" applyAlignment="1" applyProtection="1">
      <alignment horizontal="center" vertical="center"/>
      <protection locked="0"/>
    </xf>
    <xf numFmtId="0" fontId="4" fillId="0" borderId="0" xfId="0" applyFont="1" applyAlignment="1" applyProtection="1">
      <alignment horizontal="center" vertical="center"/>
      <protection locked="0"/>
    </xf>
    <xf numFmtId="0" fontId="7" fillId="4" borderId="0" xfId="0" applyFont="1" applyFill="1" applyAlignment="1" applyProtection="1">
      <alignment horizontal="left" vertical="center"/>
      <protection locked="0"/>
    </xf>
    <xf numFmtId="164" fontId="7" fillId="4" borderId="0" xfId="0" applyNumberFormat="1" applyFont="1" applyFill="1" applyAlignment="1" applyProtection="1">
      <alignment horizontal="center" vertical="center"/>
      <protection locked="0"/>
    </xf>
    <xf numFmtId="1" fontId="47" fillId="3" borderId="0" xfId="1" applyNumberFormat="1" applyFont="1" applyFill="1" applyAlignment="1">
      <alignment horizontal="left" vertical="center"/>
    </xf>
    <xf numFmtId="49" fontId="50" fillId="18" borderId="0" xfId="0" applyNumberFormat="1" applyFont="1" applyFill="1" applyAlignment="1" applyProtection="1">
      <alignment horizontal="left" vertical="center"/>
      <protection locked="0"/>
    </xf>
    <xf numFmtId="49" fontId="51" fillId="18" borderId="0" xfId="0" applyNumberFormat="1" applyFont="1" applyFill="1" applyAlignment="1" applyProtection="1">
      <alignment horizontal="left" vertical="center"/>
      <protection locked="0"/>
    </xf>
    <xf numFmtId="49" fontId="51" fillId="2" borderId="3" xfId="0" applyNumberFormat="1" applyFont="1" applyFill="1" applyBorder="1" applyAlignment="1" applyProtection="1">
      <alignment horizontal="left" vertical="center"/>
      <protection locked="0"/>
    </xf>
    <xf numFmtId="49" fontId="50" fillId="0" borderId="0" xfId="0" applyNumberFormat="1" applyFont="1" applyAlignment="1" applyProtection="1">
      <alignment horizontal="left" vertical="center"/>
      <protection locked="0"/>
    </xf>
    <xf numFmtId="49" fontId="50" fillId="0" borderId="0" xfId="0" applyNumberFormat="1" applyFont="1" applyAlignment="1" applyProtection="1">
      <alignment horizontal="center" vertical="center"/>
      <protection locked="0"/>
    </xf>
    <xf numFmtId="1" fontId="50" fillId="18" borderId="1" xfId="0" applyNumberFormat="1" applyFont="1" applyFill="1" applyBorder="1" applyAlignment="1">
      <alignment horizontal="center" vertical="center"/>
    </xf>
    <xf numFmtId="1" fontId="51" fillId="18" borderId="1" xfId="0" applyNumberFormat="1" applyFont="1" applyFill="1" applyBorder="1" applyAlignment="1">
      <alignment horizontal="center" vertical="center"/>
    </xf>
    <xf numFmtId="1" fontId="50" fillId="18" borderId="0" xfId="0" applyNumberFormat="1" applyFont="1" applyFill="1" applyAlignment="1" applyProtection="1">
      <alignment horizontal="left" vertical="center"/>
      <protection locked="0"/>
    </xf>
    <xf numFmtId="164" fontId="50" fillId="18" borderId="0" xfId="0" applyNumberFormat="1" applyFont="1" applyFill="1" applyAlignment="1" applyProtection="1">
      <alignment horizontal="center" vertical="center"/>
      <protection locked="0"/>
    </xf>
    <xf numFmtId="0" fontId="50" fillId="18" borderId="0" xfId="0" applyFont="1" applyFill="1" applyAlignment="1" applyProtection="1">
      <alignment horizontal="center" vertical="center"/>
      <protection locked="0"/>
    </xf>
    <xf numFmtId="165" fontId="53" fillId="18" borderId="0" xfId="0" applyNumberFormat="1" applyFont="1" applyFill="1" applyAlignment="1" applyProtection="1">
      <alignment horizontal="center" vertical="center"/>
      <protection locked="0"/>
    </xf>
    <xf numFmtId="1" fontId="50" fillId="18" borderId="0" xfId="0" applyNumberFormat="1" applyFont="1" applyFill="1" applyAlignment="1" applyProtection="1">
      <alignment horizontal="center" vertical="center"/>
      <protection locked="0"/>
    </xf>
    <xf numFmtId="49" fontId="54" fillId="18" borderId="0" xfId="0" applyNumberFormat="1" applyFont="1" applyFill="1" applyAlignment="1" applyProtection="1">
      <alignment horizontal="center" vertical="center"/>
      <protection locked="0"/>
    </xf>
    <xf numFmtId="1" fontId="50" fillId="18" borderId="0" xfId="0" applyNumberFormat="1" applyFont="1" applyFill="1" applyAlignment="1">
      <alignment horizontal="center" vertical="center"/>
    </xf>
    <xf numFmtId="0" fontId="50" fillId="0" borderId="1" xfId="0" applyFont="1" applyBorder="1" applyProtection="1">
      <protection locked="0"/>
    </xf>
    <xf numFmtId="0" fontId="50" fillId="0" borderId="0" xfId="0" applyFont="1" applyProtection="1">
      <protection locked="0"/>
    </xf>
    <xf numFmtId="1" fontId="51" fillId="18" borderId="0" xfId="0" applyNumberFormat="1" applyFont="1" applyFill="1" applyAlignment="1" applyProtection="1">
      <alignment horizontal="center" vertical="center"/>
      <protection locked="0"/>
    </xf>
    <xf numFmtId="164" fontId="51" fillId="18" borderId="0" xfId="0" applyNumberFormat="1" applyFont="1" applyFill="1" applyAlignment="1" applyProtection="1">
      <alignment horizontal="center" vertical="center"/>
      <protection locked="0"/>
    </xf>
    <xf numFmtId="0" fontId="51" fillId="18" borderId="0" xfId="0" applyFont="1" applyFill="1" applyAlignment="1" applyProtection="1">
      <alignment horizontal="center" vertical="center"/>
      <protection locked="0"/>
    </xf>
    <xf numFmtId="0" fontId="51" fillId="0" borderId="36" xfId="0" applyFont="1" applyBorder="1"/>
    <xf numFmtId="0" fontId="53" fillId="0" borderId="39" xfId="0" applyFont="1" applyBorder="1" applyProtection="1">
      <protection locked="0"/>
    </xf>
    <xf numFmtId="0" fontId="51" fillId="0" borderId="0" xfId="0" applyFont="1" applyProtection="1">
      <protection locked="0"/>
    </xf>
    <xf numFmtId="0" fontId="51" fillId="0" borderId="40" xfId="0" applyFont="1" applyBorder="1" applyProtection="1">
      <protection locked="0"/>
    </xf>
    <xf numFmtId="0" fontId="51" fillId="0" borderId="36" xfId="0" applyFont="1" applyBorder="1" applyProtection="1">
      <protection locked="0"/>
    </xf>
    <xf numFmtId="0" fontId="53" fillId="0" borderId="36" xfId="0" applyFont="1" applyBorder="1" applyProtection="1">
      <protection locked="0"/>
    </xf>
    <xf numFmtId="0" fontId="53" fillId="0" borderId="0" xfId="0" applyFont="1" applyProtection="1">
      <protection locked="0"/>
    </xf>
    <xf numFmtId="1" fontId="51" fillId="2" borderId="2" xfId="0" applyNumberFormat="1" applyFont="1" applyFill="1" applyBorder="1" applyAlignment="1" applyProtection="1">
      <alignment horizontal="center" vertical="center"/>
      <protection locked="0"/>
    </xf>
    <xf numFmtId="1" fontId="51" fillId="2" borderId="3" xfId="0" applyNumberFormat="1" applyFont="1" applyFill="1" applyBorder="1" applyAlignment="1" applyProtection="1">
      <alignment horizontal="center" vertical="center"/>
      <protection locked="0"/>
    </xf>
    <xf numFmtId="164" fontId="51" fillId="2" borderId="3" xfId="0" applyNumberFormat="1" applyFont="1" applyFill="1" applyBorder="1" applyAlignment="1" applyProtection="1">
      <alignment horizontal="center" vertical="center"/>
      <protection locked="0"/>
    </xf>
    <xf numFmtId="0" fontId="51" fillId="2" borderId="3" xfId="0" applyFont="1" applyFill="1" applyBorder="1" applyAlignment="1" applyProtection="1">
      <alignment horizontal="center" vertical="center"/>
      <protection locked="0"/>
    </xf>
    <xf numFmtId="49" fontId="54" fillId="2" borderId="3" xfId="0" applyNumberFormat="1" applyFont="1" applyFill="1" applyBorder="1" applyAlignment="1" applyProtection="1">
      <alignment horizontal="center" vertical="center"/>
      <protection locked="0"/>
    </xf>
    <xf numFmtId="1" fontId="51" fillId="2" borderId="37" xfId="0" applyNumberFormat="1" applyFont="1" applyFill="1" applyBorder="1" applyAlignment="1" applyProtection="1">
      <alignment horizontal="center" vertical="center"/>
      <protection locked="0"/>
    </xf>
    <xf numFmtId="0" fontId="50" fillId="0" borderId="36" xfId="0" applyFont="1" applyBorder="1" applyProtection="1">
      <protection locked="0"/>
    </xf>
    <xf numFmtId="166" fontId="53" fillId="0" borderId="4" xfId="0" applyNumberFormat="1" applyFont="1" applyBorder="1" applyProtection="1">
      <protection locked="0"/>
    </xf>
    <xf numFmtId="166" fontId="51" fillId="0" borderId="0" xfId="0" applyNumberFormat="1" applyFont="1" applyProtection="1">
      <protection locked="0"/>
    </xf>
    <xf numFmtId="166" fontId="51" fillId="0" borderId="4" xfId="0" applyNumberFormat="1" applyFont="1" applyBorder="1" applyProtection="1">
      <protection locked="0"/>
    </xf>
    <xf numFmtId="15" fontId="53" fillId="0" borderId="36" xfId="0" applyNumberFormat="1" applyFont="1" applyBorder="1" applyProtection="1">
      <protection locked="0"/>
    </xf>
    <xf numFmtId="15" fontId="51" fillId="0" borderId="36" xfId="0" applyNumberFormat="1" applyFont="1" applyBorder="1" applyProtection="1">
      <protection locked="0"/>
    </xf>
    <xf numFmtId="15" fontId="53" fillId="0" borderId="4" xfId="0" applyNumberFormat="1" applyFont="1" applyBorder="1" applyProtection="1">
      <protection locked="0"/>
    </xf>
    <xf numFmtId="15" fontId="51" fillId="0" borderId="4" xfId="0" applyNumberFormat="1" applyFont="1" applyBorder="1" applyProtection="1">
      <protection locked="0"/>
    </xf>
    <xf numFmtId="0" fontId="50" fillId="0" borderId="4" xfId="0" applyFont="1" applyBorder="1" applyProtection="1">
      <protection locked="0"/>
    </xf>
    <xf numFmtId="1" fontId="50" fillId="0" borderId="0" xfId="0" applyNumberFormat="1" applyFont="1" applyAlignment="1" applyProtection="1">
      <alignment horizontal="center" vertical="center"/>
      <protection locked="0"/>
    </xf>
    <xf numFmtId="1" fontId="51" fillId="0" borderId="0" xfId="0" applyNumberFormat="1" applyFont="1" applyAlignment="1" applyProtection="1">
      <alignment horizontal="center" vertical="center"/>
      <protection locked="0"/>
    </xf>
    <xf numFmtId="164" fontId="50" fillId="0" borderId="0" xfId="0" applyNumberFormat="1" applyFont="1" applyAlignment="1" applyProtection="1">
      <alignment horizontal="center" vertical="center"/>
      <protection locked="0"/>
    </xf>
    <xf numFmtId="0" fontId="50" fillId="0" borderId="0" xfId="0" applyFont="1" applyAlignment="1" applyProtection="1">
      <alignment horizontal="center" vertical="center"/>
      <protection locked="0"/>
    </xf>
    <xf numFmtId="49" fontId="54" fillId="0" borderId="0" xfId="0" applyNumberFormat="1" applyFont="1" applyAlignment="1" applyProtection="1">
      <alignment horizontal="center" vertical="center"/>
      <protection locked="0"/>
    </xf>
    <xf numFmtId="1" fontId="50" fillId="0" borderId="0" xfId="0" applyNumberFormat="1" applyFont="1" applyAlignment="1">
      <alignment horizontal="center" vertical="center"/>
    </xf>
    <xf numFmtId="0" fontId="50" fillId="0" borderId="0" xfId="0" applyFont="1"/>
    <xf numFmtId="49" fontId="48" fillId="0" borderId="0" xfId="0" applyNumberFormat="1" applyFont="1" applyAlignment="1" applyProtection="1">
      <alignment horizontal="left" vertical="center"/>
      <protection locked="0"/>
    </xf>
    <xf numFmtId="168" fontId="50" fillId="0" borderId="0" xfId="0" applyNumberFormat="1" applyFont="1" applyAlignment="1" applyProtection="1">
      <alignment horizontal="center" vertical="center"/>
      <protection locked="0"/>
    </xf>
    <xf numFmtId="0" fontId="8" fillId="0" borderId="0" xfId="0" applyFont="1" applyAlignment="1" applyProtection="1">
      <alignment horizontal="left" vertical="center"/>
      <protection locked="0"/>
    </xf>
    <xf numFmtId="1" fontId="8" fillId="3" borderId="0" xfId="1" applyNumberFormat="1" applyFont="1" applyFill="1" applyAlignment="1" applyProtection="1">
      <alignment horizontal="left" vertical="center"/>
      <protection locked="0"/>
    </xf>
    <xf numFmtId="1" fontId="57" fillId="0" borderId="0" xfId="0" applyNumberFormat="1" applyFont="1" applyAlignment="1" applyProtection="1">
      <alignment horizontal="left" vertical="center"/>
      <protection locked="0"/>
    </xf>
    <xf numFmtId="1" fontId="51" fillId="17" borderId="38" xfId="1" applyNumberFormat="1" applyFont="1" applyFill="1" applyBorder="1" applyAlignment="1" applyProtection="1">
      <alignment horizontal="center" vertical="center"/>
      <protection locked="0"/>
    </xf>
    <xf numFmtId="49" fontId="51" fillId="17" borderId="38" xfId="1" applyNumberFormat="1" applyFont="1" applyFill="1" applyBorder="1" applyAlignment="1" applyProtection="1">
      <alignment horizontal="left" vertical="center"/>
      <protection locked="0"/>
    </xf>
    <xf numFmtId="49" fontId="51" fillId="17" borderId="38" xfId="1" applyNumberFormat="1" applyFont="1" applyFill="1" applyBorder="1" applyAlignment="1" applyProtection="1">
      <alignment horizontal="center" vertical="center"/>
      <protection locked="0"/>
    </xf>
    <xf numFmtId="164" fontId="51" fillId="17" borderId="38" xfId="1" applyNumberFormat="1" applyFont="1" applyFill="1" applyBorder="1" applyAlignment="1" applyProtection="1">
      <alignment horizontal="center" vertical="center"/>
      <protection locked="0"/>
    </xf>
    <xf numFmtId="9" fontId="52" fillId="17" borderId="38" xfId="1" applyNumberFormat="1" applyFont="1" applyFill="1" applyBorder="1" applyAlignment="1">
      <alignment horizontal="center" vertical="center"/>
    </xf>
    <xf numFmtId="0" fontId="50" fillId="0" borderId="0" xfId="1" applyFont="1" applyAlignment="1">
      <alignment vertical="center"/>
    </xf>
    <xf numFmtId="0" fontId="50" fillId="0" borderId="0" xfId="1" applyFont="1" applyAlignment="1">
      <alignment horizontal="center"/>
    </xf>
    <xf numFmtId="0" fontId="51" fillId="0" borderId="0" xfId="1" applyFont="1" applyAlignment="1">
      <alignment horizontal="center"/>
    </xf>
    <xf numFmtId="0" fontId="50" fillId="0" borderId="0" xfId="1" applyFont="1" applyAlignment="1">
      <alignment horizontal="left"/>
    </xf>
    <xf numFmtId="164" fontId="50" fillId="0" borderId="0" xfId="1" applyNumberFormat="1" applyFont="1" applyAlignment="1">
      <alignment horizontal="center"/>
    </xf>
    <xf numFmtId="0" fontId="50" fillId="0" borderId="0" xfId="1" applyFont="1"/>
    <xf numFmtId="1" fontId="51" fillId="2" borderId="41" xfId="1" applyNumberFormat="1" applyFont="1" applyFill="1" applyBorder="1" applyAlignment="1" applyProtection="1">
      <alignment horizontal="center" vertical="center"/>
      <protection locked="0"/>
    </xf>
    <xf numFmtId="49" fontId="52" fillId="0" borderId="0" xfId="0" applyNumberFormat="1" applyFont="1" applyAlignment="1" applyProtection="1">
      <alignment horizontal="center" vertical="center"/>
      <protection locked="0"/>
    </xf>
    <xf numFmtId="49" fontId="58" fillId="0" borderId="0" xfId="0" applyNumberFormat="1" applyFont="1" applyAlignment="1" applyProtection="1">
      <alignment horizontal="center" vertical="center"/>
      <protection locked="0"/>
    </xf>
    <xf numFmtId="0" fontId="49" fillId="0" borderId="0" xfId="0" applyFont="1" applyAlignment="1" applyProtection="1">
      <alignment horizontal="center" vertical="center"/>
      <protection locked="0"/>
    </xf>
    <xf numFmtId="1" fontId="51" fillId="19" borderId="0" xfId="0" applyNumberFormat="1" applyFont="1" applyFill="1" applyAlignment="1" applyProtection="1">
      <alignment horizontal="center" vertical="center"/>
      <protection locked="0"/>
    </xf>
    <xf numFmtId="49" fontId="60" fillId="0" borderId="0" xfId="0" applyNumberFormat="1" applyFont="1" applyAlignment="1" applyProtection="1">
      <alignment horizontal="center" vertical="center"/>
      <protection locked="0"/>
    </xf>
    <xf numFmtId="1" fontId="51" fillId="20" borderId="0" xfId="0" applyNumberFormat="1" applyFont="1" applyFill="1" applyAlignment="1" applyProtection="1">
      <alignment horizontal="center" vertical="center"/>
      <protection locked="0"/>
    </xf>
    <xf numFmtId="1" fontId="51" fillId="21" borderId="0" xfId="0" applyNumberFormat="1" applyFont="1" applyFill="1" applyAlignment="1" applyProtection="1">
      <alignment horizontal="center" vertical="center"/>
      <protection locked="0"/>
    </xf>
    <xf numFmtId="0" fontId="50" fillId="0" borderId="0" xfId="0" applyFont="1" applyAlignment="1" applyProtection="1">
      <alignment horizontal="center"/>
      <protection locked="0"/>
    </xf>
    <xf numFmtId="0" fontId="51" fillId="0" borderId="0" xfId="0" applyFont="1" applyAlignment="1" applyProtection="1">
      <alignment horizontal="center"/>
      <protection locked="0"/>
    </xf>
    <xf numFmtId="0" fontId="50" fillId="0" borderId="0" xfId="0" applyFont="1" applyAlignment="1" applyProtection="1">
      <alignment horizontal="left"/>
      <protection locked="0"/>
    </xf>
    <xf numFmtId="165" fontId="51" fillId="18" borderId="0" xfId="0" applyNumberFormat="1" applyFont="1" applyFill="1" applyAlignment="1" applyProtection="1">
      <alignment horizontal="center" vertical="center"/>
      <protection locked="0"/>
    </xf>
    <xf numFmtId="165" fontId="51" fillId="2" borderId="3" xfId="0" applyNumberFormat="1" applyFont="1" applyFill="1" applyBorder="1" applyAlignment="1" applyProtection="1">
      <alignment horizontal="center" vertical="center"/>
      <protection locked="0"/>
    </xf>
    <xf numFmtId="165" fontId="50" fillId="0" borderId="0" xfId="0" applyNumberFormat="1" applyFont="1" applyAlignment="1" applyProtection="1">
      <alignment horizontal="center" vertical="center"/>
      <protection locked="0"/>
    </xf>
    <xf numFmtId="49" fontId="52" fillId="18" borderId="0" xfId="0" applyNumberFormat="1" applyFont="1" applyFill="1" applyAlignment="1" applyProtection="1">
      <alignment horizontal="center" vertical="center"/>
      <protection locked="0"/>
    </xf>
    <xf numFmtId="0" fontId="52" fillId="0" borderId="0" xfId="0" applyFont="1" applyAlignment="1" applyProtection="1">
      <alignment horizontal="center"/>
      <protection locked="0"/>
    </xf>
    <xf numFmtId="0" fontId="48" fillId="0" borderId="0" xfId="0" applyFont="1" applyAlignment="1" applyProtection="1">
      <alignment horizontal="left"/>
      <protection locked="0"/>
    </xf>
    <xf numFmtId="0" fontId="54" fillId="0" borderId="0" xfId="0" applyFont="1" applyAlignment="1" applyProtection="1">
      <alignment horizontal="center"/>
      <protection locked="0"/>
    </xf>
    <xf numFmtId="49" fontId="50" fillId="18" borderId="0" xfId="0" applyNumberFormat="1" applyFont="1" applyFill="1" applyAlignment="1" applyProtection="1">
      <alignment horizontal="center"/>
      <protection locked="0"/>
    </xf>
    <xf numFmtId="49" fontId="51" fillId="18" borderId="0" xfId="0" applyNumberFormat="1" applyFont="1" applyFill="1" applyAlignment="1" applyProtection="1">
      <alignment horizontal="center"/>
      <protection locked="0"/>
    </xf>
    <xf numFmtId="49" fontId="51" fillId="2" borderId="3" xfId="0" applyNumberFormat="1" applyFont="1" applyFill="1" applyBorder="1" applyAlignment="1" applyProtection="1">
      <alignment horizontal="center"/>
      <protection locked="0"/>
    </xf>
    <xf numFmtId="49" fontId="50" fillId="0" borderId="0" xfId="0" applyNumberFormat="1" applyFont="1" applyAlignment="1" applyProtection="1">
      <alignment horizontal="center"/>
      <protection locked="0"/>
    </xf>
    <xf numFmtId="49" fontId="49" fillId="0" borderId="0" xfId="0" applyNumberFormat="1" applyFont="1" applyAlignment="1" applyProtection="1">
      <alignment horizontal="center"/>
      <protection locked="0"/>
    </xf>
    <xf numFmtId="166" fontId="50" fillId="18" borderId="0" xfId="0" applyNumberFormat="1" applyFont="1" applyFill="1" applyAlignment="1" applyProtection="1">
      <alignment horizontal="center" vertical="center"/>
      <protection locked="0"/>
    </xf>
    <xf numFmtId="166" fontId="51" fillId="18" borderId="0" xfId="0" applyNumberFormat="1" applyFont="1" applyFill="1" applyAlignment="1" applyProtection="1">
      <alignment horizontal="center" vertical="center"/>
      <protection locked="0"/>
    </xf>
    <xf numFmtId="166" fontId="51" fillId="2" borderId="3" xfId="0" applyNumberFormat="1" applyFont="1" applyFill="1" applyBorder="1" applyAlignment="1" applyProtection="1">
      <alignment horizontal="center" vertical="center"/>
      <protection locked="0"/>
    </xf>
    <xf numFmtId="166" fontId="50" fillId="0" borderId="0" xfId="0" applyNumberFormat="1" applyFont="1" applyAlignment="1" applyProtection="1">
      <alignment horizontal="center" vertical="center"/>
      <protection locked="0"/>
    </xf>
    <xf numFmtId="166" fontId="56" fillId="0" borderId="0" xfId="0" applyNumberFormat="1" applyFont="1" applyAlignment="1" applyProtection="1">
      <alignment horizontal="center" vertical="center"/>
      <protection locked="0"/>
    </xf>
    <xf numFmtId="166" fontId="52" fillId="20" borderId="0" xfId="0" applyNumberFormat="1" applyFont="1" applyFill="1" applyAlignment="1" applyProtection="1">
      <alignment horizontal="center" vertical="center"/>
      <protection locked="0"/>
    </xf>
    <xf numFmtId="166" fontId="50" fillId="0" borderId="0" xfId="0" applyNumberFormat="1" applyFont="1" applyAlignment="1" applyProtection="1">
      <alignment horizontal="center"/>
      <protection locked="0"/>
    </xf>
    <xf numFmtId="164" fontId="50" fillId="0" borderId="0" xfId="0" applyNumberFormat="1" applyFont="1" applyAlignment="1" applyProtection="1">
      <alignment horizontal="center"/>
      <protection locked="0"/>
    </xf>
    <xf numFmtId="169" fontId="50" fillId="18" borderId="0" xfId="0" applyNumberFormat="1" applyFont="1" applyFill="1" applyAlignment="1" applyProtection="1">
      <alignment horizontal="center" vertical="center"/>
      <protection locked="0"/>
    </xf>
    <xf numFmtId="169" fontId="50" fillId="2" borderId="3" xfId="0" applyNumberFormat="1" applyFont="1" applyFill="1" applyBorder="1" applyAlignment="1" applyProtection="1">
      <alignment horizontal="center" vertical="center"/>
      <protection locked="0"/>
    </xf>
    <xf numFmtId="169" fontId="50" fillId="0" borderId="0" xfId="0" applyNumberFormat="1" applyFont="1" applyAlignment="1" applyProtection="1">
      <alignment horizontal="center" vertical="center"/>
      <protection locked="0"/>
    </xf>
    <xf numFmtId="169" fontId="50" fillId="0" borderId="0" xfId="0" applyNumberFormat="1" applyFont="1" applyAlignment="1" applyProtection="1">
      <alignment horizontal="center"/>
      <protection locked="0"/>
    </xf>
    <xf numFmtId="166" fontId="52" fillId="0" borderId="0" xfId="0" applyNumberFormat="1" applyFont="1" applyAlignment="1" applyProtection="1">
      <alignment horizontal="center"/>
      <protection locked="0"/>
    </xf>
    <xf numFmtId="14" fontId="8" fillId="0" borderId="0" xfId="0" applyNumberFormat="1" applyFont="1" applyAlignment="1" applyProtection="1">
      <alignment horizontal="left" vertical="center"/>
      <protection locked="0"/>
    </xf>
    <xf numFmtId="0" fontId="50" fillId="18" borderId="1" xfId="0" applyFont="1" applyFill="1" applyBorder="1" applyAlignment="1" applyProtection="1">
      <alignment horizontal="center" vertical="center"/>
      <protection locked="0"/>
    </xf>
    <xf numFmtId="49" fontId="8" fillId="3" borderId="0" xfId="1" applyNumberFormat="1" applyFont="1" applyFill="1" applyAlignment="1" applyProtection="1">
      <alignment horizontal="left" vertical="center"/>
      <protection locked="0"/>
    </xf>
    <xf numFmtId="0" fontId="62" fillId="0" borderId="0" xfId="0" applyFont="1" applyProtection="1">
      <protection locked="0"/>
    </xf>
    <xf numFmtId="0" fontId="51" fillId="17" borderId="38" xfId="1" applyFont="1" applyFill="1" applyBorder="1" applyAlignment="1" applyProtection="1">
      <alignment horizontal="center" vertical="center"/>
      <protection locked="0"/>
    </xf>
    <xf numFmtId="14" fontId="51" fillId="17" borderId="38" xfId="1" applyNumberFormat="1" applyFont="1" applyFill="1" applyBorder="1" applyAlignment="1">
      <alignment horizontal="center" vertical="center"/>
    </xf>
    <xf numFmtId="9" fontId="51" fillId="0" borderId="0" xfId="1" applyNumberFormat="1" applyFont="1" applyAlignment="1">
      <alignment horizontal="center"/>
    </xf>
    <xf numFmtId="14" fontId="51" fillId="0" borderId="0" xfId="1" applyNumberFormat="1" applyFont="1" applyAlignment="1">
      <alignment horizontal="center"/>
    </xf>
    <xf numFmtId="0" fontId="49" fillId="0" borderId="0" xfId="0" applyFont="1" applyProtection="1">
      <protection locked="0"/>
    </xf>
    <xf numFmtId="49" fontId="64" fillId="2" borderId="3" xfId="0" applyNumberFormat="1" applyFont="1" applyFill="1" applyBorder="1" applyAlignment="1" applyProtection="1">
      <alignment horizontal="center" vertical="center"/>
      <protection locked="0"/>
    </xf>
    <xf numFmtId="0" fontId="66" fillId="0" borderId="0" xfId="0" applyFont="1" applyAlignment="1" applyProtection="1">
      <alignment horizontal="center" vertical="center"/>
      <protection locked="0"/>
    </xf>
    <xf numFmtId="0" fontId="68" fillId="0" borderId="0" xfId="0" applyFont="1" applyProtection="1">
      <protection locked="0"/>
    </xf>
    <xf numFmtId="0" fontId="58" fillId="0" borderId="0" xfId="0" applyFont="1" applyProtection="1">
      <protection locked="0"/>
    </xf>
    <xf numFmtId="0" fontId="57" fillId="0" borderId="0" xfId="0" applyFont="1" applyAlignment="1" applyProtection="1">
      <alignment horizontal="left" vertical="center"/>
      <protection locked="0"/>
    </xf>
    <xf numFmtId="0" fontId="48" fillId="0" borderId="0" xfId="0" applyFont="1" applyProtection="1">
      <protection locked="0"/>
    </xf>
    <xf numFmtId="0" fontId="50" fillId="0" borderId="0" xfId="0" applyFont="1" applyAlignment="1" applyProtection="1">
      <alignment horizontal="left" vertical="center"/>
      <protection locked="0"/>
    </xf>
    <xf numFmtId="0" fontId="50" fillId="22" borderId="0" xfId="0" applyFont="1" applyFill="1" applyAlignment="1" applyProtection="1">
      <alignment horizontal="center"/>
      <protection locked="0"/>
    </xf>
    <xf numFmtId="0" fontId="51" fillId="22" borderId="0" xfId="0" applyFont="1" applyFill="1" applyAlignment="1" applyProtection="1">
      <alignment horizontal="center"/>
      <protection locked="0"/>
    </xf>
    <xf numFmtId="0" fontId="50" fillId="22" borderId="0" xfId="0" applyFont="1" applyFill="1" applyProtection="1">
      <protection locked="0"/>
    </xf>
    <xf numFmtId="0" fontId="50" fillId="22" borderId="0" xfId="0" applyFont="1" applyFill="1" applyAlignment="1" applyProtection="1">
      <alignment horizontal="left"/>
      <protection locked="0"/>
    </xf>
    <xf numFmtId="164" fontId="50" fillId="22" borderId="0" xfId="0" applyNumberFormat="1" applyFont="1" applyFill="1" applyAlignment="1" applyProtection="1">
      <alignment horizontal="center"/>
      <protection locked="0"/>
    </xf>
    <xf numFmtId="0" fontId="50" fillId="22" borderId="0" xfId="0" applyFont="1" applyFill="1" applyAlignment="1" applyProtection="1">
      <alignment horizontal="center" vertical="center"/>
      <protection locked="0"/>
    </xf>
    <xf numFmtId="165" fontId="50" fillId="22" borderId="0" xfId="0" applyNumberFormat="1" applyFont="1" applyFill="1" applyAlignment="1" applyProtection="1">
      <alignment horizontal="center" vertical="center"/>
      <protection locked="0"/>
    </xf>
    <xf numFmtId="0" fontId="50" fillId="14" borderId="0" xfId="0" applyFont="1" applyFill="1" applyAlignment="1" applyProtection="1">
      <alignment horizontal="center"/>
      <protection locked="0"/>
    </xf>
    <xf numFmtId="0" fontId="51" fillId="14" borderId="0" xfId="0" applyFont="1" applyFill="1" applyAlignment="1" applyProtection="1">
      <alignment horizontal="center"/>
      <protection locked="0"/>
    </xf>
    <xf numFmtId="0" fontId="50" fillId="14" borderId="0" xfId="0" applyFont="1" applyFill="1" applyProtection="1">
      <protection locked="0"/>
    </xf>
    <xf numFmtId="0" fontId="50" fillId="14" borderId="0" xfId="0" applyFont="1" applyFill="1" applyAlignment="1" applyProtection="1">
      <alignment horizontal="left"/>
      <protection locked="0"/>
    </xf>
    <xf numFmtId="164" fontId="50" fillId="14" borderId="0" xfId="0" applyNumberFormat="1" applyFont="1" applyFill="1" applyAlignment="1" applyProtection="1">
      <alignment horizontal="center"/>
      <protection locked="0"/>
    </xf>
    <xf numFmtId="0" fontId="50" fillId="14" borderId="0" xfId="0" applyFont="1" applyFill="1" applyAlignment="1" applyProtection="1">
      <alignment horizontal="center" vertical="center"/>
      <protection locked="0"/>
    </xf>
    <xf numFmtId="165" fontId="50" fillId="14" borderId="0" xfId="0" applyNumberFormat="1" applyFont="1" applyFill="1" applyAlignment="1" applyProtection="1">
      <alignment horizontal="center" vertical="center"/>
      <protection locked="0"/>
    </xf>
    <xf numFmtId="0" fontId="50" fillId="23" borderId="0" xfId="0" applyFont="1" applyFill="1" applyAlignment="1" applyProtection="1">
      <alignment horizontal="center"/>
      <protection locked="0"/>
    </xf>
    <xf numFmtId="0" fontId="51" fillId="23" borderId="0" xfId="0" applyFont="1" applyFill="1" applyAlignment="1" applyProtection="1">
      <alignment horizontal="center"/>
      <protection locked="0"/>
    </xf>
    <xf numFmtId="0" fontId="50" fillId="23" borderId="0" xfId="0" applyFont="1" applyFill="1" applyProtection="1">
      <protection locked="0"/>
    </xf>
    <xf numFmtId="0" fontId="50" fillId="23" borderId="0" xfId="0" applyFont="1" applyFill="1" applyAlignment="1" applyProtection="1">
      <alignment horizontal="left"/>
      <protection locked="0"/>
    </xf>
    <xf numFmtId="164" fontId="50" fillId="23" borderId="0" xfId="0" applyNumberFormat="1" applyFont="1" applyFill="1" applyAlignment="1" applyProtection="1">
      <alignment horizontal="center"/>
      <protection locked="0"/>
    </xf>
    <xf numFmtId="0" fontId="50" fillId="23" borderId="0" xfId="0" applyFont="1" applyFill="1" applyAlignment="1" applyProtection="1">
      <alignment horizontal="center" vertical="center"/>
      <protection locked="0"/>
    </xf>
    <xf numFmtId="165" fontId="50" fillId="23" borderId="0" xfId="0" applyNumberFormat="1" applyFont="1" applyFill="1" applyAlignment="1" applyProtection="1">
      <alignment horizontal="center" vertical="center"/>
      <protection locked="0"/>
    </xf>
    <xf numFmtId="0" fontId="52" fillId="22" borderId="0" xfId="0" applyFont="1" applyFill="1" applyAlignment="1" applyProtection="1">
      <alignment horizontal="center"/>
      <protection locked="0"/>
    </xf>
    <xf numFmtId="0" fontId="54" fillId="22" borderId="0" xfId="0" applyFont="1" applyFill="1" applyAlignment="1" applyProtection="1">
      <alignment horizontal="center"/>
      <protection locked="0"/>
    </xf>
    <xf numFmtId="166" fontId="50" fillId="22" borderId="0" xfId="0" applyNumberFormat="1" applyFont="1" applyFill="1" applyAlignment="1" applyProtection="1">
      <alignment horizontal="center"/>
      <protection locked="0"/>
    </xf>
    <xf numFmtId="0" fontId="52" fillId="23" borderId="0" xfId="0" applyFont="1" applyFill="1" applyAlignment="1" applyProtection="1">
      <alignment horizontal="center"/>
      <protection locked="0"/>
    </xf>
    <xf numFmtId="0" fontId="54" fillId="23" borderId="0" xfId="0" applyFont="1" applyFill="1" applyAlignment="1" applyProtection="1">
      <alignment horizontal="center"/>
      <protection locked="0"/>
    </xf>
    <xf numFmtId="166" fontId="50" fillId="23" borderId="0" xfId="0" applyNumberFormat="1" applyFont="1" applyFill="1" applyAlignment="1" applyProtection="1">
      <alignment horizontal="center"/>
      <protection locked="0"/>
    </xf>
    <xf numFmtId="0" fontId="52" fillId="14" borderId="0" xfId="0" applyFont="1" applyFill="1" applyAlignment="1" applyProtection="1">
      <alignment horizontal="center"/>
      <protection locked="0"/>
    </xf>
    <xf numFmtId="0" fontId="54" fillId="14" borderId="0" xfId="0" applyFont="1" applyFill="1" applyAlignment="1" applyProtection="1">
      <alignment horizontal="center"/>
      <protection locked="0"/>
    </xf>
    <xf numFmtId="166" fontId="50" fillId="14" borderId="0" xfId="0" applyNumberFormat="1" applyFont="1" applyFill="1" applyAlignment="1" applyProtection="1">
      <alignment horizontal="center"/>
      <protection locked="0"/>
    </xf>
    <xf numFmtId="0" fontId="71" fillId="0" borderId="0" xfId="0" applyFont="1" applyProtection="1">
      <protection locked="0"/>
    </xf>
    <xf numFmtId="0" fontId="50" fillId="13" borderId="0" xfId="0" applyFont="1" applyFill="1" applyAlignment="1" applyProtection="1">
      <alignment horizontal="center"/>
      <protection locked="0"/>
    </xf>
    <xf numFmtId="0" fontId="51" fillId="13" borderId="0" xfId="0" applyFont="1" applyFill="1" applyAlignment="1" applyProtection="1">
      <alignment horizontal="center"/>
      <protection locked="0"/>
    </xf>
    <xf numFmtId="0" fontId="50" fillId="13" borderId="0" xfId="0" applyFont="1" applyFill="1" applyProtection="1">
      <protection locked="0"/>
    </xf>
    <xf numFmtId="0" fontId="50" fillId="13" borderId="0" xfId="0" applyFont="1" applyFill="1" applyAlignment="1" applyProtection="1">
      <alignment horizontal="left"/>
      <protection locked="0"/>
    </xf>
    <xf numFmtId="164" fontId="50" fillId="13" borderId="0" xfId="0" applyNumberFormat="1" applyFont="1" applyFill="1" applyAlignment="1" applyProtection="1">
      <alignment horizontal="center"/>
      <protection locked="0"/>
    </xf>
    <xf numFmtId="0" fontId="50" fillId="13" borderId="0" xfId="0" applyFont="1" applyFill="1" applyAlignment="1" applyProtection="1">
      <alignment horizontal="center" vertical="center"/>
      <protection locked="0"/>
    </xf>
    <xf numFmtId="165" fontId="50" fillId="13" borderId="0" xfId="0" applyNumberFormat="1" applyFont="1" applyFill="1" applyAlignment="1" applyProtection="1">
      <alignment horizontal="center" vertical="center"/>
      <protection locked="0"/>
    </xf>
    <xf numFmtId="0" fontId="52" fillId="13" borderId="0" xfId="0" applyFont="1" applyFill="1" applyAlignment="1" applyProtection="1">
      <alignment horizontal="center"/>
      <protection locked="0"/>
    </xf>
    <xf numFmtId="0" fontId="54" fillId="13" borderId="0" xfId="0" applyFont="1" applyFill="1" applyAlignment="1" applyProtection="1">
      <alignment horizontal="center"/>
      <protection locked="0"/>
    </xf>
    <xf numFmtId="166" fontId="50" fillId="13" borderId="0" xfId="0" applyNumberFormat="1" applyFont="1" applyFill="1" applyAlignment="1" applyProtection="1">
      <alignment horizontal="center"/>
      <protection locked="0"/>
    </xf>
    <xf numFmtId="169" fontId="50" fillId="13" borderId="0" xfId="0" applyNumberFormat="1" applyFont="1" applyFill="1" applyAlignment="1" applyProtection="1">
      <alignment horizontal="center"/>
      <protection locked="0"/>
    </xf>
    <xf numFmtId="0" fontId="66" fillId="13" borderId="0" xfId="0" applyFont="1" applyFill="1" applyProtection="1">
      <protection locked="0"/>
    </xf>
    <xf numFmtId="0" fontId="58" fillId="23" borderId="0" xfId="0" applyFont="1" applyFill="1" applyProtection="1">
      <protection locked="0"/>
    </xf>
    <xf numFmtId="0" fontId="56" fillId="0" borderId="0" xfId="0" applyFont="1" applyAlignment="1" applyProtection="1">
      <alignment horizontal="center"/>
      <protection locked="0"/>
    </xf>
    <xf numFmtId="0" fontId="50" fillId="24" borderId="0" xfId="0" applyFont="1" applyFill="1" applyAlignment="1" applyProtection="1">
      <alignment horizontal="center"/>
      <protection locked="0"/>
    </xf>
    <xf numFmtId="0" fontId="51" fillId="24" borderId="0" xfId="0" applyFont="1" applyFill="1" applyAlignment="1" applyProtection="1">
      <alignment horizontal="center"/>
      <protection locked="0"/>
    </xf>
    <xf numFmtId="0" fontId="50" fillId="24" borderId="0" xfId="0" applyFont="1" applyFill="1" applyProtection="1">
      <protection locked="0"/>
    </xf>
    <xf numFmtId="0" fontId="50" fillId="24" borderId="0" xfId="0" applyFont="1" applyFill="1" applyAlignment="1" applyProtection="1">
      <alignment horizontal="left"/>
      <protection locked="0"/>
    </xf>
    <xf numFmtId="164" fontId="50" fillId="24" borderId="0" xfId="0" applyNumberFormat="1" applyFont="1" applyFill="1" applyAlignment="1" applyProtection="1">
      <alignment horizontal="center"/>
      <protection locked="0"/>
    </xf>
    <xf numFmtId="0" fontId="50" fillId="24" borderId="0" xfId="0" applyFont="1" applyFill="1" applyAlignment="1" applyProtection="1">
      <alignment horizontal="center" vertical="center"/>
      <protection locked="0"/>
    </xf>
    <xf numFmtId="165" fontId="50" fillId="24" borderId="0" xfId="0" applyNumberFormat="1" applyFont="1" applyFill="1" applyAlignment="1" applyProtection="1">
      <alignment horizontal="center" vertical="center"/>
      <protection locked="0"/>
    </xf>
    <xf numFmtId="0" fontId="58" fillId="24" borderId="0" xfId="0" applyFont="1" applyFill="1" applyAlignment="1" applyProtection="1">
      <alignment horizontal="center" vertical="center"/>
      <protection locked="0"/>
    </xf>
    <xf numFmtId="0" fontId="52" fillId="24" borderId="0" xfId="0" applyFont="1" applyFill="1" applyAlignment="1" applyProtection="1">
      <alignment horizontal="center"/>
      <protection locked="0"/>
    </xf>
    <xf numFmtId="0" fontId="54" fillId="24" borderId="0" xfId="0" applyFont="1" applyFill="1" applyAlignment="1" applyProtection="1">
      <alignment horizontal="center"/>
      <protection locked="0"/>
    </xf>
    <xf numFmtId="166" fontId="52" fillId="24" borderId="0" xfId="0" applyNumberFormat="1" applyFont="1" applyFill="1" applyAlignment="1" applyProtection="1">
      <alignment horizontal="center"/>
      <protection locked="0"/>
    </xf>
    <xf numFmtId="169" fontId="50" fillId="24" borderId="0" xfId="0" applyNumberFormat="1" applyFont="1" applyFill="1" applyAlignment="1" applyProtection="1">
      <alignment horizontal="center"/>
      <protection locked="0"/>
    </xf>
    <xf numFmtId="166" fontId="51" fillId="24" borderId="0" xfId="0" applyNumberFormat="1" applyFont="1" applyFill="1" applyAlignment="1" applyProtection="1">
      <alignment horizontal="center"/>
      <protection locked="0"/>
    </xf>
    <xf numFmtId="0" fontId="66" fillId="24" borderId="0" xfId="0" applyFont="1" applyFill="1" applyProtection="1">
      <protection locked="0"/>
    </xf>
    <xf numFmtId="0" fontId="51" fillId="25" borderId="0" xfId="0" applyFont="1" applyFill="1" applyAlignment="1" applyProtection="1">
      <alignment horizontal="center"/>
      <protection locked="0"/>
    </xf>
    <xf numFmtId="0" fontId="51" fillId="4" borderId="0" xfId="0" applyFont="1" applyFill="1" applyAlignment="1" applyProtection="1">
      <alignment horizontal="center"/>
      <protection locked="0"/>
    </xf>
    <xf numFmtId="0" fontId="58" fillId="13" borderId="0" xfId="0" applyFont="1" applyFill="1" applyProtection="1">
      <protection locked="0"/>
    </xf>
    <xf numFmtId="0" fontId="58" fillId="23" borderId="0" xfId="0" applyFont="1" applyFill="1" applyAlignment="1" applyProtection="1">
      <alignment horizontal="center" vertical="center"/>
      <protection locked="0"/>
    </xf>
    <xf numFmtId="0" fontId="50" fillId="4" borderId="0" xfId="0" applyFont="1" applyFill="1" applyAlignment="1" applyProtection="1">
      <alignment horizontal="center"/>
      <protection locked="0"/>
    </xf>
    <xf numFmtId="0" fontId="48" fillId="0" borderId="0" xfId="0" applyFont="1" applyAlignment="1" applyProtection="1">
      <alignment horizontal="center" vertical="center"/>
      <protection locked="0"/>
    </xf>
    <xf numFmtId="0" fontId="51" fillId="26" borderId="0" xfId="0" applyFont="1" applyFill="1" applyAlignment="1" applyProtection="1">
      <alignment horizontal="center"/>
      <protection locked="0"/>
    </xf>
    <xf numFmtId="0" fontId="50" fillId="26" borderId="0" xfId="0" applyFont="1" applyFill="1" applyAlignment="1" applyProtection="1">
      <alignment horizontal="left"/>
      <protection locked="0"/>
    </xf>
    <xf numFmtId="0" fontId="78" fillId="23" borderId="0" xfId="0" applyFont="1" applyFill="1" applyAlignment="1" applyProtection="1">
      <alignment horizontal="center" vertical="center"/>
      <protection locked="0"/>
    </xf>
    <xf numFmtId="166" fontId="52" fillId="13" borderId="0" xfId="0" applyNumberFormat="1" applyFont="1" applyFill="1" applyAlignment="1" applyProtection="1">
      <alignment horizontal="center"/>
      <protection locked="0"/>
    </xf>
    <xf numFmtId="0" fontId="61" fillId="0" borderId="0" xfId="0" applyFont="1" applyProtection="1">
      <protection locked="0"/>
    </xf>
    <xf numFmtId="44" fontId="50" fillId="0" borderId="0" xfId="4" applyFont="1" applyAlignment="1" applyProtection="1">
      <alignment horizontal="center" vertical="center"/>
      <protection locked="0"/>
    </xf>
    <xf numFmtId="0" fontId="51" fillId="0" borderId="0" xfId="0" applyFont="1" applyAlignment="1" applyProtection="1">
      <alignment horizontal="center" vertical="center"/>
      <protection locked="0"/>
    </xf>
    <xf numFmtId="0" fontId="65" fillId="0" borderId="0" xfId="0" applyFont="1" applyAlignment="1" applyProtection="1">
      <alignment horizontal="center"/>
      <protection locked="0"/>
    </xf>
    <xf numFmtId="0" fontId="48" fillId="14" borderId="0" xfId="0" applyFont="1" applyFill="1" applyAlignment="1" applyProtection="1">
      <alignment horizontal="center" vertical="center"/>
      <protection locked="0"/>
    </xf>
    <xf numFmtId="0" fontId="85" fillId="0" borderId="0" xfId="0" applyFont="1" applyProtection="1">
      <protection locked="0"/>
    </xf>
    <xf numFmtId="166" fontId="86" fillId="0" borderId="0" xfId="0" applyNumberFormat="1" applyFont="1" applyAlignment="1" applyProtection="1">
      <alignment horizontal="center"/>
      <protection locked="0"/>
    </xf>
    <xf numFmtId="166" fontId="56" fillId="0" borderId="0" xfId="0" applyNumberFormat="1" applyFont="1" applyAlignment="1" applyProtection="1">
      <alignment horizontal="center"/>
      <protection locked="0"/>
    </xf>
    <xf numFmtId="0" fontId="58" fillId="14" borderId="0" xfId="0" applyFont="1" applyFill="1" applyAlignment="1" applyProtection="1">
      <alignment horizontal="center" vertical="center"/>
      <protection locked="0"/>
    </xf>
    <xf numFmtId="0" fontId="61" fillId="0" borderId="0" xfId="0" applyFont="1" applyAlignment="1" applyProtection="1">
      <alignment horizontal="center" vertical="center"/>
      <protection locked="0"/>
    </xf>
    <xf numFmtId="0" fontId="58" fillId="0" borderId="0" xfId="0" applyFont="1" applyAlignment="1" applyProtection="1">
      <alignment horizontal="center" vertical="center"/>
      <protection locked="0"/>
    </xf>
    <xf numFmtId="0" fontId="50" fillId="27" borderId="0" xfId="0" applyFont="1" applyFill="1" applyAlignment="1" applyProtection="1">
      <alignment horizontal="center"/>
      <protection locked="0"/>
    </xf>
    <xf numFmtId="0" fontId="51" fillId="27" borderId="0" xfId="0" applyFont="1" applyFill="1" applyAlignment="1" applyProtection="1">
      <alignment horizontal="center"/>
      <protection locked="0"/>
    </xf>
    <xf numFmtId="0" fontId="50" fillId="27" borderId="0" xfId="0" applyFont="1" applyFill="1" applyProtection="1">
      <protection locked="0"/>
    </xf>
    <xf numFmtId="0" fontId="76" fillId="27" borderId="0" xfId="0" applyFont="1" applyFill="1" applyAlignment="1" applyProtection="1">
      <alignment horizontal="left"/>
      <protection locked="0"/>
    </xf>
    <xf numFmtId="0" fontId="49" fillId="27" borderId="0" xfId="0" applyFont="1" applyFill="1" applyProtection="1">
      <protection locked="0"/>
    </xf>
    <xf numFmtId="164" fontId="50" fillId="27" borderId="0" xfId="0" applyNumberFormat="1" applyFont="1" applyFill="1" applyAlignment="1" applyProtection="1">
      <alignment horizontal="center"/>
      <protection locked="0"/>
    </xf>
    <xf numFmtId="0" fontId="50" fillId="27" borderId="0" xfId="0" applyFont="1" applyFill="1" applyAlignment="1" applyProtection="1">
      <alignment horizontal="center" vertical="center"/>
      <protection locked="0"/>
    </xf>
    <xf numFmtId="165" fontId="50" fillId="27" borderId="0" xfId="0" applyNumberFormat="1" applyFont="1" applyFill="1" applyAlignment="1" applyProtection="1">
      <alignment horizontal="center" vertical="center"/>
      <protection locked="0"/>
    </xf>
    <xf numFmtId="0" fontId="52" fillId="27" borderId="0" xfId="0" applyFont="1" applyFill="1" applyAlignment="1" applyProtection="1">
      <alignment horizontal="center"/>
      <protection locked="0"/>
    </xf>
    <xf numFmtId="0" fontId="54" fillId="27" borderId="0" xfId="0" applyFont="1" applyFill="1" applyAlignment="1" applyProtection="1">
      <alignment horizontal="center"/>
      <protection locked="0"/>
    </xf>
    <xf numFmtId="166" fontId="51" fillId="27" borderId="0" xfId="0" applyNumberFormat="1" applyFont="1" applyFill="1" applyAlignment="1" applyProtection="1">
      <alignment horizontal="center"/>
      <protection locked="0"/>
    </xf>
    <xf numFmtId="166" fontId="50" fillId="27" borderId="0" xfId="0" applyNumberFormat="1" applyFont="1" applyFill="1" applyAlignment="1" applyProtection="1">
      <alignment horizontal="center"/>
      <protection locked="0"/>
    </xf>
    <xf numFmtId="3" fontId="50" fillId="0" borderId="0" xfId="0" applyNumberFormat="1" applyFont="1" applyAlignment="1" applyProtection="1">
      <alignment horizontal="center"/>
      <protection locked="0"/>
    </xf>
    <xf numFmtId="0" fontId="68" fillId="23" borderId="0" xfId="0" applyFont="1" applyFill="1" applyProtection="1">
      <protection locked="0"/>
    </xf>
    <xf numFmtId="0" fontId="76" fillId="23" borderId="0" xfId="0" applyFont="1" applyFill="1" applyAlignment="1" applyProtection="1">
      <alignment horizontal="center" vertical="center"/>
      <protection locked="0"/>
    </xf>
    <xf numFmtId="166" fontId="56" fillId="23" borderId="0" xfId="0" applyNumberFormat="1" applyFont="1" applyFill="1" applyAlignment="1" applyProtection="1">
      <alignment horizontal="center"/>
      <protection locked="0"/>
    </xf>
    <xf numFmtId="165" fontId="49" fillId="23" borderId="0" xfId="0" applyNumberFormat="1" applyFont="1" applyFill="1" applyAlignment="1" applyProtection="1">
      <alignment horizontal="center" vertical="center"/>
      <protection locked="0"/>
    </xf>
    <xf numFmtId="166" fontId="52" fillId="23" borderId="0" xfId="0" applyNumberFormat="1" applyFont="1" applyFill="1" applyAlignment="1" applyProtection="1">
      <alignment horizontal="center"/>
      <protection locked="0"/>
    </xf>
    <xf numFmtId="0" fontId="61" fillId="24" borderId="0" xfId="0" applyFont="1" applyFill="1" applyAlignment="1" applyProtection="1">
      <alignment horizontal="center" vertical="center"/>
      <protection locked="0"/>
    </xf>
    <xf numFmtId="0" fontId="49" fillId="14" borderId="0" xfId="0" applyFont="1" applyFill="1" applyProtection="1">
      <protection locked="0"/>
    </xf>
    <xf numFmtId="0" fontId="50" fillId="26" borderId="0" xfId="0" applyFont="1" applyFill="1" applyAlignment="1" applyProtection="1">
      <alignment horizontal="center"/>
      <protection locked="0"/>
    </xf>
    <xf numFmtId="0" fontId="50" fillId="26" borderId="0" xfId="0" applyFont="1" applyFill="1" applyProtection="1">
      <protection locked="0"/>
    </xf>
    <xf numFmtId="0" fontId="49" fillId="26" borderId="0" xfId="0" applyFont="1" applyFill="1" applyProtection="1">
      <protection locked="0"/>
    </xf>
    <xf numFmtId="164" fontId="50" fillId="26" borderId="0" xfId="0" applyNumberFormat="1" applyFont="1" applyFill="1" applyAlignment="1" applyProtection="1">
      <alignment horizontal="center"/>
      <protection locked="0"/>
    </xf>
    <xf numFmtId="0" fontId="50" fillId="26" borderId="0" xfId="0" applyFont="1" applyFill="1" applyAlignment="1" applyProtection="1">
      <alignment horizontal="center" vertical="center"/>
      <protection locked="0"/>
    </xf>
    <xf numFmtId="165" fontId="50" fillId="26" borderId="0" xfId="0" applyNumberFormat="1" applyFont="1" applyFill="1" applyAlignment="1" applyProtection="1">
      <alignment horizontal="center" vertical="center"/>
      <protection locked="0"/>
    </xf>
    <xf numFmtId="166" fontId="82" fillId="0" borderId="0" xfId="0" applyNumberFormat="1" applyFont="1" applyAlignment="1" applyProtection="1">
      <alignment horizontal="center"/>
      <protection locked="0"/>
    </xf>
    <xf numFmtId="166" fontId="53" fillId="0" borderId="0" xfId="0" applyNumberFormat="1" applyFont="1" applyAlignment="1" applyProtection="1">
      <alignment horizontal="center"/>
      <protection locked="0"/>
    </xf>
    <xf numFmtId="0" fontId="53" fillId="0" borderId="0" xfId="0" applyFont="1" applyAlignment="1" applyProtection="1">
      <alignment horizontal="center" vertical="center"/>
      <protection locked="0"/>
    </xf>
    <xf numFmtId="0" fontId="53" fillId="14" borderId="0" xfId="0" applyFont="1" applyFill="1" applyAlignment="1" applyProtection="1">
      <alignment horizontal="center" vertical="center"/>
      <protection locked="0"/>
    </xf>
    <xf numFmtId="0" fontId="53" fillId="26" borderId="0" xfId="0" applyFont="1" applyFill="1" applyAlignment="1" applyProtection="1">
      <alignment horizontal="center" vertical="center"/>
      <protection locked="0"/>
    </xf>
    <xf numFmtId="165" fontId="58" fillId="0" borderId="0" xfId="0" applyNumberFormat="1" applyFont="1" applyAlignment="1" applyProtection="1">
      <alignment horizontal="center" vertical="center"/>
      <protection locked="0"/>
    </xf>
    <xf numFmtId="0" fontId="51" fillId="28" borderId="0" xfId="0" applyFont="1" applyFill="1" applyAlignment="1" applyProtection="1">
      <alignment horizontal="center"/>
      <protection locked="0"/>
    </xf>
    <xf numFmtId="0" fontId="66" fillId="0" borderId="0" xfId="0" applyFont="1" applyProtection="1">
      <protection locked="0"/>
    </xf>
    <xf numFmtId="0" fontId="91" fillId="0" borderId="0" xfId="0" applyFont="1" applyProtection="1">
      <protection locked="0"/>
    </xf>
    <xf numFmtId="0" fontId="52" fillId="26" borderId="0" xfId="0" applyFont="1" applyFill="1" applyAlignment="1" applyProtection="1">
      <alignment horizontal="center" vertical="center"/>
      <protection locked="0"/>
    </xf>
    <xf numFmtId="0" fontId="48" fillId="26" borderId="0" xfId="0" applyFont="1" applyFill="1" applyProtection="1">
      <protection locked="0"/>
    </xf>
    <xf numFmtId="166" fontId="52" fillId="26" borderId="0" xfId="0" applyNumberFormat="1" applyFont="1" applyFill="1" applyAlignment="1" applyProtection="1">
      <alignment horizontal="center"/>
      <protection locked="0"/>
    </xf>
    <xf numFmtId="14" fontId="50" fillId="0" borderId="0" xfId="0" applyNumberFormat="1" applyFont="1" applyAlignment="1" applyProtection="1">
      <alignment horizontal="center"/>
      <protection locked="0"/>
    </xf>
    <xf numFmtId="0" fontId="76" fillId="0" borderId="0" xfId="0" applyFont="1" applyAlignment="1" applyProtection="1">
      <alignment horizontal="center" vertical="center"/>
      <protection locked="0"/>
    </xf>
    <xf numFmtId="0" fontId="88" fillId="0" borderId="0" xfId="0" applyFont="1" applyAlignment="1" applyProtection="1">
      <alignment horizontal="center" vertical="center"/>
      <protection locked="0"/>
    </xf>
    <xf numFmtId="0" fontId="76" fillId="26" borderId="0" xfId="0" applyFont="1" applyFill="1" applyAlignment="1" applyProtection="1">
      <alignment horizontal="center" vertical="center"/>
      <protection locked="0"/>
    </xf>
    <xf numFmtId="0" fontId="58" fillId="13" borderId="0" xfId="0" applyFont="1" applyFill="1" applyAlignment="1" applyProtection="1">
      <alignment horizontal="center" vertical="center"/>
      <protection locked="0"/>
    </xf>
    <xf numFmtId="0" fontId="9" fillId="0" borderId="14" xfId="1" applyFont="1" applyBorder="1"/>
    <xf numFmtId="0" fontId="9" fillId="0" borderId="15" xfId="1" applyFont="1" applyBorder="1"/>
    <xf numFmtId="0" fontId="9" fillId="0" borderId="16" xfId="1" applyFont="1" applyBorder="1"/>
    <xf numFmtId="0" fontId="9" fillId="0" borderId="24" xfId="1" applyFont="1" applyBorder="1"/>
    <xf numFmtId="0" fontId="9" fillId="0" borderId="17" xfId="1" applyFont="1" applyBorder="1"/>
    <xf numFmtId="0" fontId="41" fillId="0" borderId="23" xfId="1" applyFont="1" applyBorder="1" applyAlignment="1">
      <alignment horizontal="left"/>
    </xf>
    <xf numFmtId="0" fontId="9" fillId="0" borderId="24" xfId="1" applyFont="1" applyBorder="1" applyAlignment="1">
      <alignment horizontal="left"/>
    </xf>
    <xf numFmtId="0" fontId="9" fillId="0" borderId="17" xfId="1" applyFont="1" applyBorder="1" applyAlignment="1">
      <alignment horizontal="left"/>
    </xf>
    <xf numFmtId="0" fontId="41" fillId="0" borderId="30" xfId="1" applyFont="1" applyBorder="1" applyAlignment="1">
      <alignment horizontal="left"/>
    </xf>
    <xf numFmtId="0" fontId="9" fillId="0" borderId="30" xfId="1" applyFont="1" applyBorder="1" applyAlignment="1">
      <alignment horizontal="left"/>
    </xf>
    <xf numFmtId="0" fontId="41" fillId="0" borderId="29" xfId="1" applyFont="1" applyBorder="1" applyAlignment="1">
      <alignment horizontal="left"/>
    </xf>
    <xf numFmtId="0" fontId="9" fillId="0" borderId="11" xfId="1" applyFont="1" applyBorder="1" applyAlignment="1">
      <alignment horizontal="left"/>
    </xf>
    <xf numFmtId="0" fontId="9" fillId="0" borderId="31" xfId="1" applyFont="1" applyBorder="1" applyAlignment="1">
      <alignment horizontal="left"/>
    </xf>
    <xf numFmtId="0" fontId="34" fillId="0" borderId="30" xfId="1" applyFont="1" applyBorder="1" applyAlignment="1">
      <alignment horizontal="left"/>
    </xf>
    <xf numFmtId="0" fontId="41" fillId="0" borderId="11" xfId="1" applyFont="1" applyBorder="1" applyAlignment="1">
      <alignment horizontal="left"/>
    </xf>
    <xf numFmtId="0" fontId="41" fillId="0" borderId="31" xfId="1" applyFont="1" applyBorder="1" applyAlignment="1">
      <alignment horizontal="left"/>
    </xf>
    <xf numFmtId="166" fontId="9" fillId="0" borderId="19" xfId="1" applyNumberFormat="1" applyFont="1" applyBorder="1" applyAlignment="1">
      <alignment horizontal="left"/>
    </xf>
    <xf numFmtId="166" fontId="9" fillId="0" borderId="20" xfId="1" applyNumberFormat="1" applyFont="1" applyBorder="1" applyAlignment="1">
      <alignment horizontal="left"/>
    </xf>
    <xf numFmtId="0" fontId="39" fillId="0" borderId="19" xfId="1" applyFont="1" applyBorder="1" applyAlignment="1">
      <alignment horizontal="left"/>
    </xf>
    <xf numFmtId="167" fontId="19" fillId="0" borderId="19" xfId="1" applyNumberFormat="1" applyFont="1" applyBorder="1" applyAlignment="1">
      <alignment horizontal="center"/>
    </xf>
    <xf numFmtId="167" fontId="34" fillId="0" borderId="19" xfId="1" applyNumberFormat="1" applyFont="1" applyBorder="1" applyAlignment="1">
      <alignment horizontal="center"/>
    </xf>
    <xf numFmtId="0" fontId="9" fillId="0" borderId="18" xfId="1" applyFont="1" applyBorder="1" applyAlignment="1">
      <alignment horizontal="center"/>
    </xf>
    <xf numFmtId="0" fontId="9" fillId="0" borderId="20" xfId="1" applyFont="1" applyBorder="1" applyAlignment="1">
      <alignment horizontal="center"/>
    </xf>
    <xf numFmtId="0" fontId="39" fillId="0" borderId="25" xfId="1" applyFont="1" applyBorder="1" applyAlignment="1">
      <alignment horizontal="left"/>
    </xf>
    <xf numFmtId="0" fontId="39" fillId="0" borderId="26" xfId="1" applyFont="1" applyBorder="1" applyAlignment="1">
      <alignment horizontal="left"/>
    </xf>
    <xf numFmtId="0" fontId="39" fillId="0" borderId="28" xfId="1" applyFont="1" applyBorder="1" applyAlignment="1">
      <alignment horizontal="left"/>
    </xf>
    <xf numFmtId="0" fontId="39" fillId="0" borderId="30" xfId="1" applyFont="1" applyBorder="1" applyAlignment="1">
      <alignment horizontal="left"/>
    </xf>
    <xf numFmtId="0" fontId="35" fillId="0" borderId="19" xfId="1" applyFont="1" applyBorder="1"/>
    <xf numFmtId="0" fontId="12" fillId="0" borderId="19" xfId="1" applyFont="1" applyBorder="1"/>
    <xf numFmtId="0" fontId="12" fillId="0" borderId="20" xfId="1" applyFont="1" applyBorder="1"/>
    <xf numFmtId="0" fontId="9" fillId="0" borderId="19" xfId="1" applyFont="1" applyBorder="1" applyAlignment="1">
      <alignment horizontal="center"/>
    </xf>
    <xf numFmtId="0" fontId="36" fillId="0" borderId="19" xfId="1" applyFont="1" applyBorder="1" applyAlignment="1">
      <alignment horizontal="center"/>
    </xf>
    <xf numFmtId="0" fontId="36" fillId="0" borderId="20" xfId="1" applyFont="1" applyBorder="1" applyAlignment="1">
      <alignment horizontal="center"/>
    </xf>
    <xf numFmtId="0" fontId="37" fillId="0" borderId="19" xfId="1" applyFont="1" applyBorder="1" applyAlignment="1">
      <alignment horizontal="center"/>
    </xf>
    <xf numFmtId="0" fontId="37" fillId="0" borderId="20" xfId="1" applyFont="1" applyBorder="1" applyAlignment="1">
      <alignment horizontal="center"/>
    </xf>
    <xf numFmtId="0" fontId="9" fillId="0" borderId="19" xfId="1" applyFont="1" applyBorder="1" applyAlignment="1">
      <alignment horizontal="left"/>
    </xf>
    <xf numFmtId="0" fontId="9" fillId="0" borderId="14" xfId="1" applyFont="1" applyBorder="1" applyAlignment="1">
      <alignment horizontal="left"/>
    </xf>
    <xf numFmtId="0" fontId="35" fillId="0" borderId="19" xfId="1" applyFont="1" applyBorder="1" applyAlignment="1">
      <alignment horizontal="left"/>
    </xf>
    <xf numFmtId="0" fontId="38" fillId="0" borderId="19" xfId="1" applyFont="1" applyBorder="1" applyAlignment="1">
      <alignment horizontal="left"/>
    </xf>
  </cellXfs>
  <cellStyles count="5">
    <cellStyle name="Bad" xfId="3" builtinId="27"/>
    <cellStyle name="Currency" xfId="4" builtinId="4"/>
    <cellStyle name="Hyperlink 2" xfId="2"/>
    <cellStyle name="Normal" xfId="0" builtinId="0"/>
    <cellStyle name="Normal 2" xfId="1"/>
  </cellStyles>
  <dxfs count="951">
    <dxf>
      <font>
        <strike/>
        <condense val="0"/>
        <extend val="0"/>
      </font>
      <fill>
        <patternFill>
          <bgColor indexed="11"/>
        </patternFill>
      </fill>
    </dxf>
    <dxf>
      <font>
        <strike/>
        <condense val="0"/>
        <extend val="0"/>
      </font>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s>
  <tableStyles count="0" defaultTableStyle="TableStyleMedium9" defaultPivotStyle="PivotStyleLight16"/>
  <colors>
    <mruColors>
      <color rgb="FFFFCCCC"/>
      <color rgb="FFCCFF99"/>
      <color rgb="FF66FF66"/>
      <color rgb="FFFF3300"/>
      <color rgb="FFFFFFFF"/>
      <color rgb="FFCC66FF"/>
      <color rgb="FFDDDDDD"/>
      <color rgb="FFC0C0C0"/>
      <color rgb="FFB2B2B2"/>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view3D>
      <c:rotX val="30"/>
      <c:perspective val="30"/>
    </c:view3D>
    <c:plotArea>
      <c:layout>
        <c:manualLayout>
          <c:layoutTarget val="inner"/>
          <c:xMode val="edge"/>
          <c:yMode val="edge"/>
          <c:x val="8.8815632134211744E-2"/>
          <c:y val="0.13122393242186794"/>
          <c:w val="0.82675470140121243"/>
          <c:h val="0.77286162942590064"/>
        </c:manualLayout>
      </c:layout>
      <c:pie3DChart>
        <c:varyColors val="1"/>
        <c:ser>
          <c:idx val="0"/>
          <c:order val="0"/>
          <c:dPt>
            <c:idx val="1"/>
            <c:spPr>
              <a:solidFill>
                <a:srgbClr val="92D050"/>
              </a:solidFill>
            </c:spPr>
            <c:extLst xmlns:c16r2="http://schemas.microsoft.com/office/drawing/2015/06/chart">
              <c:ext xmlns:c16="http://schemas.microsoft.com/office/drawing/2014/chart" uri="{C3380CC4-5D6E-409C-BE32-E72D297353CC}">
                <c16:uniqueId val="{00000000-A76F-4C41-89DE-C6B6B869F6EC}"/>
              </c:ext>
            </c:extLst>
          </c:dPt>
          <c:dPt>
            <c:idx val="2"/>
            <c:spPr>
              <a:solidFill>
                <a:srgbClr val="FFFF00"/>
              </a:solidFill>
            </c:spPr>
            <c:extLst xmlns:c16r2="http://schemas.microsoft.com/office/drawing/2015/06/chart">
              <c:ext xmlns:c16="http://schemas.microsoft.com/office/drawing/2014/chart" uri="{C3380CC4-5D6E-409C-BE32-E72D297353CC}">
                <c16:uniqueId val="{00000001-A76F-4C41-89DE-C6B6B869F6EC}"/>
              </c:ext>
            </c:extLst>
          </c:dPt>
          <c:dPt>
            <c:idx val="3"/>
            <c:spPr>
              <a:solidFill>
                <a:srgbClr val="FF0000"/>
              </a:solidFill>
            </c:spPr>
            <c:extLst xmlns:c16r2="http://schemas.microsoft.com/office/drawing/2015/06/chart">
              <c:ext xmlns:c16="http://schemas.microsoft.com/office/drawing/2014/chart" uri="{C3380CC4-5D6E-409C-BE32-E72D297353CC}">
                <c16:uniqueId val="{00000002-A76F-4C41-89DE-C6B6B869F6EC}"/>
              </c:ext>
            </c:extLst>
          </c:dPt>
          <c:dLbls>
            <c:spPr>
              <a:noFill/>
              <a:ln>
                <a:noFill/>
              </a:ln>
              <a:effectLst/>
            </c:spPr>
            <c:showCatName val="1"/>
            <c:showPercent val="1"/>
            <c:extLst xmlns:c16r2="http://schemas.microsoft.com/office/drawing/2015/06/chart">
              <c:ext xmlns:c15="http://schemas.microsoft.com/office/drawing/2012/chart" uri="{CE6537A1-D6FC-4f65-9D91-7224C49458BB}"/>
            </c:extLst>
          </c:dLbls>
          <c:val>
            <c:numRef>
              <c:f>Report!$D$5:$D$8</c:f>
              <c:numCache>
                <c:formatCode>General</c:formatCode>
                <c:ptCount val="4"/>
                <c:pt idx="0">
                  <c:v>101</c:v>
                </c:pt>
                <c:pt idx="1">
                  <c:v>38</c:v>
                </c:pt>
                <c:pt idx="2">
                  <c:v>42</c:v>
                </c:pt>
                <c:pt idx="3">
                  <c:v>94</c:v>
                </c:pt>
              </c:numCache>
            </c:numRef>
          </c:val>
          <c:extLst xmlns:c16r2="http://schemas.microsoft.com/office/drawing/2015/06/chart">
            <c:ext xmlns:c16="http://schemas.microsoft.com/office/drawing/2014/chart" uri="{C3380CC4-5D6E-409C-BE32-E72D297353CC}">
              <c16:uniqueId val="{00000003-A76F-4C41-89DE-C6B6B869F6EC}"/>
            </c:ext>
          </c:extLst>
        </c:ser>
        <c:dLbls>
          <c:showCatName val="1"/>
          <c:showPercent val="1"/>
        </c:dLbls>
      </c:pie3DChart>
    </c:plotArea>
    <c:plotVisOnly val="1"/>
    <c:dispBlanksAs val="zero"/>
  </c:chart>
  <c:printSettings>
    <c:headerFooter/>
    <c:pageMargins b="0.75000000000001465" l="0.70000000000000095" r="0.70000000000000095" t="0.75000000000001465" header="0.30000000000000032" footer="0.30000000000000032"/>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Monthly Report Chart </a:t>
            </a:r>
          </a:p>
        </c:rich>
      </c:tx>
    </c:title>
    <c:view3D>
      <c:rotX val="30"/>
      <c:perspective val="30"/>
    </c:view3D>
    <c:plotArea>
      <c:layout/>
      <c:pie3DChart>
        <c:varyColors val="1"/>
        <c:ser>
          <c:idx val="0"/>
          <c:order val="0"/>
          <c:dPt>
            <c:idx val="1"/>
            <c:spPr>
              <a:solidFill>
                <a:srgbClr val="92D050"/>
              </a:solidFill>
            </c:spPr>
            <c:extLst xmlns:c16r2="http://schemas.microsoft.com/office/drawing/2015/06/chart">
              <c:ext xmlns:c16="http://schemas.microsoft.com/office/drawing/2014/chart" uri="{C3380CC4-5D6E-409C-BE32-E72D297353CC}">
                <c16:uniqueId val="{00000000-CBA7-4DAF-B1A3-0E9FB2F87229}"/>
              </c:ext>
            </c:extLst>
          </c:dPt>
          <c:dPt>
            <c:idx val="2"/>
            <c:spPr>
              <a:solidFill>
                <a:srgbClr val="FFFF00"/>
              </a:solidFill>
            </c:spPr>
            <c:extLst xmlns:c16r2="http://schemas.microsoft.com/office/drawing/2015/06/chart">
              <c:ext xmlns:c16="http://schemas.microsoft.com/office/drawing/2014/chart" uri="{C3380CC4-5D6E-409C-BE32-E72D297353CC}">
                <c16:uniqueId val="{00000001-CBA7-4DAF-B1A3-0E9FB2F87229}"/>
              </c:ext>
            </c:extLst>
          </c:dPt>
          <c:dPt>
            <c:idx val="3"/>
            <c:spPr>
              <a:solidFill>
                <a:srgbClr val="FF0000"/>
              </a:solidFill>
            </c:spPr>
            <c:extLst xmlns:c16r2="http://schemas.microsoft.com/office/drawing/2015/06/chart">
              <c:ext xmlns:c16="http://schemas.microsoft.com/office/drawing/2014/chart" uri="{C3380CC4-5D6E-409C-BE32-E72D297353CC}">
                <c16:uniqueId val="{00000002-CBA7-4DAF-B1A3-0E9FB2F87229}"/>
              </c:ext>
            </c:extLst>
          </c:dPt>
          <c:dLbls>
            <c:spPr>
              <a:noFill/>
              <a:ln>
                <a:noFill/>
              </a:ln>
              <a:effectLst/>
            </c:spPr>
            <c:showCatName val="1"/>
            <c:showPercent val="1"/>
            <c:extLst xmlns:c16r2="http://schemas.microsoft.com/office/drawing/2015/06/chart">
              <c:ext xmlns:c15="http://schemas.microsoft.com/office/drawing/2012/chart" uri="{CE6537A1-D6FC-4f65-9D91-7224C49458BB}"/>
            </c:extLst>
          </c:dLbls>
          <c:val>
            <c:numRef>
              <c:f>'Report Old'!$D$5:$D$8</c:f>
              <c:numCache>
                <c:formatCode>General</c:formatCode>
                <c:ptCount val="4"/>
                <c:pt idx="0">
                  <c:v>53</c:v>
                </c:pt>
                <c:pt idx="1">
                  <c:v>23</c:v>
                </c:pt>
                <c:pt idx="2">
                  <c:v>23</c:v>
                </c:pt>
                <c:pt idx="3">
                  <c:v>63</c:v>
                </c:pt>
              </c:numCache>
            </c:numRef>
          </c:val>
          <c:extLst xmlns:c16r2="http://schemas.microsoft.com/office/drawing/2015/06/chart">
            <c:ext xmlns:c16="http://schemas.microsoft.com/office/drawing/2014/chart" uri="{C3380CC4-5D6E-409C-BE32-E72D297353CC}">
              <c16:uniqueId val="{00000003-CBA7-4DAF-B1A3-0E9FB2F87229}"/>
            </c:ext>
          </c:extLst>
        </c:ser>
        <c:dLbls>
          <c:showCatName val="1"/>
          <c:showPercent val="1"/>
        </c:dLbls>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file:///\\rtdnas2\oe\Parts%20Shipped.xlsm" TargetMode="External"/></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11</xdr:col>
      <xdr:colOff>5344</xdr:colOff>
      <xdr:row>1</xdr:row>
      <xdr:rowOff>118406</xdr:rowOff>
    </xdr:from>
    <xdr:to>
      <xdr:col>12</xdr:col>
      <xdr:colOff>607920</xdr:colOff>
      <xdr:row>1</xdr:row>
      <xdr:rowOff>575606</xdr:rowOff>
    </xdr:to>
    <xdr:sp macro="" textlink="">
      <xdr:nvSpPr>
        <xdr:cNvPr id="3" name="Rectangle 2">
          <a:hlinkClick xmlns:r="http://schemas.openxmlformats.org/officeDocument/2006/relationships" r:id="rId1"/>
          <a:extLst>
            <a:ext uri="{FF2B5EF4-FFF2-40B4-BE49-F238E27FC236}">
              <a16:creationId xmlns="" xmlns:a16="http://schemas.microsoft.com/office/drawing/2014/main" id="{00000000-0008-0000-0000-000003000000}"/>
            </a:ext>
          </a:extLst>
        </xdr:cNvPr>
        <xdr:cNvSpPr/>
      </xdr:nvSpPr>
      <xdr:spPr bwMode="auto">
        <a:xfrm>
          <a:off x="12428813" y="753406"/>
          <a:ext cx="2290297"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a:latin typeface="Arial Black" pitchFamily="34" charset="0"/>
            </a:rPr>
            <a:t>Link To Parts Shipped1 </a:t>
          </a:r>
        </a:p>
      </xdr:txBody>
    </xdr:sp>
    <xdr:clientData/>
  </xdr:twoCellAnchor>
  <xdr:twoCellAnchor editAs="absolute">
    <xdr:from>
      <xdr:col>12</xdr:col>
      <xdr:colOff>689808</xdr:colOff>
      <xdr:row>1</xdr:row>
      <xdr:rowOff>125392</xdr:rowOff>
    </xdr:from>
    <xdr:to>
      <xdr:col>15</xdr:col>
      <xdr:colOff>946996</xdr:colOff>
      <xdr:row>1</xdr:row>
      <xdr:rowOff>582592</xdr:rowOff>
    </xdr:to>
    <xdr:sp macro="[0]!stamp.Stamp" textlink="">
      <xdr:nvSpPr>
        <xdr:cNvPr id="4" name="Rectangle 3">
          <a:extLst>
            <a:ext uri="{FF2B5EF4-FFF2-40B4-BE49-F238E27FC236}">
              <a16:creationId xmlns="" xmlns:a16="http://schemas.microsoft.com/office/drawing/2014/main" id="{00000000-0008-0000-0000-000004000000}"/>
            </a:ext>
          </a:extLst>
        </xdr:cNvPr>
        <xdr:cNvSpPr/>
      </xdr:nvSpPr>
      <xdr:spPr bwMode="auto">
        <a:xfrm>
          <a:off x="14564811" y="762000"/>
          <a:ext cx="2266479"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a:t>
          </a:r>
          <a:endParaRPr lang="en-US" sz="1200">
            <a:latin typeface="Arial Black" pitchFamily="34" charset="0"/>
          </a:endParaRPr>
        </a:p>
      </xdr:txBody>
    </xdr:sp>
    <xdr:clientData/>
  </xdr:twoCellAnchor>
  <xdr:twoCellAnchor editAs="absolute">
    <xdr:from>
      <xdr:col>12</xdr:col>
      <xdr:colOff>680357</xdr:colOff>
      <xdr:row>0</xdr:row>
      <xdr:rowOff>217714</xdr:rowOff>
    </xdr:from>
    <xdr:to>
      <xdr:col>15</xdr:col>
      <xdr:colOff>937545</xdr:colOff>
      <xdr:row>1</xdr:row>
      <xdr:rowOff>35378</xdr:rowOff>
    </xdr:to>
    <xdr:sp macro="[0]!StampCGP.Stamp" textlink="">
      <xdr:nvSpPr>
        <xdr:cNvPr id="8" name="Rectangle 7">
          <a:extLst>
            <a:ext uri="{FF2B5EF4-FFF2-40B4-BE49-F238E27FC236}">
              <a16:creationId xmlns="" xmlns:a16="http://schemas.microsoft.com/office/drawing/2014/main" id="{E9CB2D18-DDC1-46E8-9512-962648DF9366}"/>
            </a:ext>
          </a:extLst>
        </xdr:cNvPr>
        <xdr:cNvSpPr/>
      </xdr:nvSpPr>
      <xdr:spPr bwMode="auto">
        <a:xfrm>
          <a:off x="14219464" y="217714"/>
          <a:ext cx="2230224"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 CGP</a:t>
          </a:r>
          <a:endParaRPr lang="en-US" sz="1200">
            <a:latin typeface="Arial Black"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66676</xdr:colOff>
      <xdr:row>4</xdr:row>
      <xdr:rowOff>38100</xdr:rowOff>
    </xdr:from>
    <xdr:to>
      <xdr:col>4</xdr:col>
      <xdr:colOff>5800724</xdr:colOff>
      <xdr:row>22</xdr:row>
      <xdr:rowOff>266701</xdr:rowOff>
    </xdr:to>
    <xdr:graphicFrame macro="">
      <xdr:nvGraphicFramePr>
        <xdr:cNvPr id="2" name="Chart 1">
          <a:extLst>
            <a:ext uri="{FF2B5EF4-FFF2-40B4-BE49-F238E27FC236}">
              <a16:creationId xmlns=""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9525</xdr:colOff>
      <xdr:row>2</xdr:row>
      <xdr:rowOff>9525</xdr:rowOff>
    </xdr:from>
    <xdr:to>
      <xdr:col>4</xdr:col>
      <xdr:colOff>12039600</xdr:colOff>
      <xdr:row>22</xdr:row>
      <xdr:rowOff>257174</xdr:rowOff>
    </xdr:to>
    <xdr:graphicFrame macro="">
      <xdr:nvGraphicFramePr>
        <xdr:cNvPr id="2" name="Chart 1">
          <a:extLst>
            <a:ext uri="{FF2B5EF4-FFF2-40B4-BE49-F238E27FC236}">
              <a16:creationId xmlns=""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247650</xdr:colOff>
      <xdr:row>47</xdr:row>
      <xdr:rowOff>9525</xdr:rowOff>
    </xdr:from>
    <xdr:to>
      <xdr:col>6</xdr:col>
      <xdr:colOff>152400</xdr:colOff>
      <xdr:row>47</xdr:row>
      <xdr:rowOff>209550</xdr:rowOff>
    </xdr:to>
    <xdr:pic>
      <xdr:nvPicPr>
        <xdr:cNvPr id="2" name="Picture 5" descr="M:\Steve S &amp; I\Signature.tif">
          <a:extLst>
            <a:ext uri="{FF2B5EF4-FFF2-40B4-BE49-F238E27FC236}">
              <a16:creationId xmlns=""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6750" y="11125200"/>
          <a:ext cx="1781175" cy="2000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vserver\oe\Order%20Entry%20Logm.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PARTS SHIPPED"/>
      <sheetName val="DELIVERY SCHEDULE"/>
      <sheetName val="Sheet4"/>
      <sheetName val="Input Form"/>
      <sheetName val="Report"/>
      <sheetName val="Report Old"/>
      <sheetName val="Customers"/>
      <sheetName val="Sheet1"/>
      <sheetName val="Sheet2"/>
      <sheetName val="Sheet3"/>
      <sheetName val="BUSHINGS"/>
      <sheetName val="PastDUE"/>
      <sheetName val="Kinectrics"/>
    </sheetNames>
    <sheetDataSet>
      <sheetData sheetId="0"/>
      <sheetData sheetId="1"/>
      <sheetData sheetId="2"/>
      <sheetData sheetId="3"/>
      <sheetData sheetId="4"/>
      <sheetData sheetId="5"/>
      <sheetData sheetId="6">
        <row r="1">
          <cell r="A1" t="str">
            <v>AB Sciex</v>
          </cell>
        </row>
        <row r="2">
          <cell r="A2" t="str">
            <v>Aecon Utilities</v>
          </cell>
        </row>
        <row r="3">
          <cell r="A3" t="str">
            <v>Ampson</v>
          </cell>
        </row>
        <row r="4">
          <cell r="A4" t="str">
            <v>Atlas Copco</v>
          </cell>
        </row>
        <row r="5">
          <cell r="A5" t="str">
            <v>ATS Energy</v>
          </cell>
        </row>
        <row r="6">
          <cell r="A6" t="str">
            <v>BC Hydro</v>
          </cell>
        </row>
        <row r="7">
          <cell r="A7" t="str">
            <v>Blenheim</v>
          </cell>
        </row>
        <row r="8">
          <cell r="A8" t="str">
            <v>Bombardier</v>
          </cell>
        </row>
        <row r="9">
          <cell r="A9" t="str">
            <v>Buffalo</v>
          </cell>
        </row>
        <row r="10">
          <cell r="A10" t="str">
            <v>BWXT(GE)</v>
          </cell>
        </row>
        <row r="11">
          <cell r="A11" t="str">
            <v>Candu</v>
          </cell>
        </row>
        <row r="12">
          <cell r="A12" t="str">
            <v>CH2M</v>
          </cell>
        </row>
        <row r="13">
          <cell r="A13" t="str">
            <v>Creation T.</v>
          </cell>
        </row>
        <row r="14">
          <cell r="A14" t="str">
            <v>DJ Ind.</v>
          </cell>
        </row>
        <row r="15">
          <cell r="A15" t="str">
            <v>DTE</v>
          </cell>
        </row>
        <row r="16">
          <cell r="A16" t="str">
            <v>DuBose</v>
          </cell>
        </row>
        <row r="17">
          <cell r="A17" t="str">
            <v>Eaton</v>
          </cell>
        </row>
        <row r="18">
          <cell r="A18" t="str">
            <v xml:space="preserve">Eclipse </v>
          </cell>
        </row>
        <row r="19">
          <cell r="A19" t="str">
            <v>EHV Power</v>
          </cell>
        </row>
        <row r="20">
          <cell r="A20" t="str">
            <v>E.P.M</v>
          </cell>
        </row>
        <row r="21">
          <cell r="A21" t="str">
            <v>Gosco</v>
          </cell>
        </row>
        <row r="22">
          <cell r="A22" t="str">
            <v>Gullco</v>
          </cell>
        </row>
        <row r="23">
          <cell r="A23" t="str">
            <v>Hercules SLR</v>
          </cell>
        </row>
        <row r="24">
          <cell r="A24" t="str">
            <v>Hess M/C</v>
          </cell>
        </row>
        <row r="25">
          <cell r="A25" t="str">
            <v>Hibar</v>
          </cell>
        </row>
        <row r="26">
          <cell r="A26" t="str">
            <v>Hot Runner</v>
          </cell>
        </row>
        <row r="27">
          <cell r="A27" t="str">
            <v>Husky</v>
          </cell>
        </row>
        <row r="28">
          <cell r="A28" t="str">
            <v>Husky-Mold</v>
          </cell>
        </row>
        <row r="29">
          <cell r="A29" t="str">
            <v>HV Grid</v>
          </cell>
        </row>
        <row r="30">
          <cell r="A30" t="str">
            <v>Hybrid</v>
          </cell>
        </row>
        <row r="31">
          <cell r="A31" t="str">
            <v>Hydac</v>
          </cell>
        </row>
        <row r="32">
          <cell r="A32" t="str">
            <v>Hydro One</v>
          </cell>
        </row>
        <row r="33">
          <cell r="A33" t="str">
            <v>J.E.C Ind,</v>
          </cell>
        </row>
        <row r="34">
          <cell r="A34" t="str">
            <v>Kinectrics</v>
          </cell>
        </row>
        <row r="35">
          <cell r="A35" t="str">
            <v>Kipling</v>
          </cell>
        </row>
        <row r="36">
          <cell r="A36" t="str">
            <v>Laker Energy</v>
          </cell>
        </row>
        <row r="37">
          <cell r="A37" t="str">
            <v>Lux</v>
          </cell>
        </row>
        <row r="38">
          <cell r="A38" t="str">
            <v>M.D.A</v>
          </cell>
        </row>
        <row r="39">
          <cell r="A39" t="str">
            <v>MacNeil  Wash</v>
          </cell>
        </row>
        <row r="40">
          <cell r="A40" t="str">
            <v>Mars</v>
          </cell>
        </row>
        <row r="41">
          <cell r="A41" t="str">
            <v>MHI-Canada</v>
          </cell>
        </row>
        <row r="42">
          <cell r="A42" t="str">
            <v>MHI-Nagoya</v>
          </cell>
        </row>
        <row r="43">
          <cell r="A43" t="str">
            <v>Pacific Smoke</v>
          </cell>
        </row>
        <row r="44">
          <cell r="A44" t="str">
            <v>Piramal</v>
          </cell>
        </row>
        <row r="45">
          <cell r="A45" t="str">
            <v>Polyson</v>
          </cell>
        </row>
        <row r="46">
          <cell r="A46" t="str">
            <v>PrecisionHawk</v>
          </cell>
        </row>
        <row r="47">
          <cell r="A47" t="str">
            <v>Prodomax</v>
          </cell>
        </row>
        <row r="48">
          <cell r="A48" t="str">
            <v>Promation</v>
          </cell>
        </row>
        <row r="49">
          <cell r="A49" t="str">
            <v>Protenergy</v>
          </cell>
        </row>
        <row r="50">
          <cell r="A50" t="str">
            <v>Qvella</v>
          </cell>
        </row>
        <row r="51">
          <cell r="A51" t="str">
            <v>Rexroth</v>
          </cell>
        </row>
        <row r="52">
          <cell r="A52" t="str">
            <v>Rolls-Royce</v>
          </cell>
        </row>
        <row r="53">
          <cell r="A53" t="str">
            <v>Safran</v>
          </cell>
        </row>
        <row r="54">
          <cell r="A54" t="str">
            <v>Safran (Messier)</v>
          </cell>
        </row>
        <row r="55">
          <cell r="A55" t="str">
            <v>Shanghai</v>
          </cell>
        </row>
        <row r="56">
          <cell r="A56" t="str">
            <v>SNC-Lavalin</v>
          </cell>
        </row>
        <row r="57">
          <cell r="A57" t="str">
            <v>Spin Master</v>
          </cell>
        </row>
        <row r="58">
          <cell r="A58" t="str">
            <v>Toshiba</v>
          </cell>
        </row>
        <row r="59">
          <cell r="A59" t="str">
            <v>Tremco</v>
          </cell>
        </row>
        <row r="60">
          <cell r="A60" t="str">
            <v>Truck Wash</v>
          </cell>
        </row>
        <row r="61">
          <cell r="A61" t="str">
            <v>TTC</v>
          </cell>
        </row>
        <row r="62">
          <cell r="A62" t="str">
            <v>Twin River</v>
          </cell>
        </row>
        <row r="63">
          <cell r="A63" t="str">
            <v>Van Rob</v>
          </cell>
        </row>
        <row r="64">
          <cell r="A64" t="str">
            <v>Vermont</v>
          </cell>
        </row>
        <row r="65">
          <cell r="A65" t="str">
            <v>Whitby</v>
          </cell>
        </row>
        <row r="66">
          <cell r="A66" t="str">
            <v>Woodbridge</v>
          </cell>
        </row>
      </sheetData>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8.xml"/><Relationship Id="rId3" Type="http://schemas.openxmlformats.org/officeDocument/2006/relationships/printerSettings" Target="../printerSettings/printerSettings3.bin"/><Relationship Id="rId7" Type="http://schemas.openxmlformats.org/officeDocument/2006/relationships/comments" Target="../comments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1" Type="http://schemas.openxmlformats.org/officeDocument/2006/relationships/printerSettings" Target="../printerSettings/printerSettings1.bin"/><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4.bin"/><Relationship Id="rId14" Type="http://schemas.openxmlformats.org/officeDocument/2006/relationships/ctrlProp" Target="../ctrlProps/ctrlProp1.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printerSettings" Target="../printerSettings/printerSettings7.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11" Type="http://schemas.openxmlformats.org/officeDocument/2006/relationships/ctrlProp" Target="../ctrlProps/ctrlProp16.xml"/><Relationship Id="rId5" Type="http://schemas.openxmlformats.org/officeDocument/2006/relationships/vmlDrawing" Target="../drawings/vmlDrawing2.vml"/><Relationship Id="rId10" Type="http://schemas.openxmlformats.org/officeDocument/2006/relationships/ctrlProp" Target="../ctrlProps/ctrlProp15.xml"/><Relationship Id="rId4" Type="http://schemas.openxmlformats.org/officeDocument/2006/relationships/printerSettings" Target="../printerSettings/printerSettings8.bin"/><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1.bin"/><Relationship Id="rId7" Type="http://schemas.openxmlformats.org/officeDocument/2006/relationships/ctrlProp" Target="../ctrlProps/ctrlProp19.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vmlDrawing" Target="../drawings/vmlDrawing3.vml"/><Relationship Id="rId5" Type="http://schemas.openxmlformats.org/officeDocument/2006/relationships/drawing" Target="../drawings/drawing2.xml"/><Relationship Id="rId4" Type="http://schemas.openxmlformats.org/officeDocument/2006/relationships/printerSettings" Target="../printerSettings/printerSettings12.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5.bin"/><Relationship Id="rId7" Type="http://schemas.openxmlformats.org/officeDocument/2006/relationships/ctrlProp" Target="../ctrlProps/ctrlProp20.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vmlDrawing" Target="../drawings/vmlDrawing4.vml"/><Relationship Id="rId5" Type="http://schemas.openxmlformats.org/officeDocument/2006/relationships/drawing" Target="../drawings/drawing3.xml"/><Relationship Id="rId4" Type="http://schemas.openxmlformats.org/officeDocument/2006/relationships/printerSettings" Target="../printerSettings/printerSettings16.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printerSettings" Target="../printerSettings/printerSettings2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5" Type="http://schemas.openxmlformats.org/officeDocument/2006/relationships/drawing" Target="../drawings/drawing4.xml"/><Relationship Id="rId4" Type="http://schemas.openxmlformats.org/officeDocument/2006/relationships/printerSettings" Target="../printerSettings/printerSettings2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printerSettings" Target="../printerSettings/printerSettings28.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4" Type="http://schemas.openxmlformats.org/officeDocument/2006/relationships/printerSettings" Target="../printerSettings/printerSettings32.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4" Type="http://schemas.openxmlformats.org/officeDocument/2006/relationships/printerSettings" Target="../printerSettings/printerSettings36.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comments" Target="../comments2.xml"/><Relationship Id="rId5" Type="http://schemas.openxmlformats.org/officeDocument/2006/relationships/vmlDrawing" Target="../drawings/vmlDrawing5.vml"/><Relationship Id="rId4" Type="http://schemas.openxmlformats.org/officeDocument/2006/relationships/printerSettings" Target="../printerSettings/printerSettings4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sheetPr codeName="Sheet1">
    <tabColor rgb="FF66FF33"/>
  </sheetPr>
  <dimension ref="A1:AX1114"/>
  <sheetViews>
    <sheetView tabSelected="1" topLeftCell="D1" zoomScale="72" zoomScaleNormal="72" zoomScaleSheetLayoutView="100" workbookViewId="0">
      <pane ySplit="3" topLeftCell="A434" activePane="bottomLeft" state="frozen"/>
      <selection pane="bottomLeft" activeCell="J442" sqref="J442"/>
    </sheetView>
  </sheetViews>
  <sheetFormatPr defaultColWidth="8.81640625" defaultRowHeight="18" customHeight="1"/>
  <cols>
    <col min="1" max="1" width="9.81640625" style="214" customWidth="1"/>
    <col min="2" max="2" width="10.1796875" style="215" customWidth="1"/>
    <col min="3" max="3" width="14.453125" style="176" customWidth="1"/>
    <col min="4" max="4" width="8.81640625" style="217" customWidth="1"/>
    <col min="5" max="5" width="31.54296875" style="176" customWidth="1"/>
    <col min="6" max="6" width="7.81640625" style="258" customWidth="1"/>
    <col min="7" max="7" width="18.1796875" style="176" customWidth="1"/>
    <col min="8" max="8" width="12.81640625" style="216" customWidth="1"/>
    <col min="9" max="9" width="7.54296875" style="217" customWidth="1"/>
    <col min="10" max="10" width="40.1796875" style="176" customWidth="1"/>
    <col min="11" max="11" width="17.453125" style="250" customWidth="1"/>
    <col min="12" max="12" width="24.1796875" style="217" customWidth="1"/>
    <col min="13" max="13" width="10.54296875" style="238" customWidth="1"/>
    <col min="14" max="14" width="7.1796875" style="214" customWidth="1"/>
    <col min="15" max="15" width="11.81640625" style="218" customWidth="1"/>
    <col min="16" max="16" width="23.81640625" style="263" customWidth="1"/>
    <col min="17" max="17" width="14.54296875" style="270" customWidth="1"/>
    <col min="18" max="18" width="11.1796875" style="214" customWidth="1"/>
    <col min="19" max="19" width="9.453125" style="220" customWidth="1"/>
    <col min="20" max="20" width="8.54296875" style="188" customWidth="1"/>
    <col min="21" max="21" width="9.54296875" style="188" hidden="1" customWidth="1"/>
    <col min="22" max="22" width="8.54296875" style="188" customWidth="1"/>
    <col min="23" max="23" width="10" style="188" customWidth="1"/>
    <col min="24" max="24" width="9.54296875" style="188" customWidth="1"/>
    <col min="25" max="25" width="9.453125" style="188" customWidth="1"/>
    <col min="26" max="26" width="8.54296875" style="188" customWidth="1"/>
    <col min="27" max="27" width="9.54296875" style="188" customWidth="1"/>
    <col min="28" max="28" width="10.54296875" style="188" customWidth="1"/>
    <col min="29" max="29" width="9.453125" style="188" customWidth="1"/>
    <col min="30" max="30" width="8.453125" style="188" customWidth="1"/>
    <col min="31" max="31" width="10" style="188" bestFit="1" customWidth="1"/>
    <col min="32" max="32" width="10.54296875" style="188" bestFit="1" customWidth="1"/>
    <col min="33" max="33" width="10.54296875" style="188" customWidth="1"/>
    <col min="34" max="34" width="9.453125" style="188"/>
    <col min="35" max="35" width="8.453125" style="188" customWidth="1"/>
    <col min="36" max="36" width="10" style="188" bestFit="1" customWidth="1"/>
    <col min="37" max="37" width="9.453125" style="188"/>
    <col min="38" max="38" width="10.54296875" style="188" customWidth="1"/>
    <col min="39" max="40" width="9.453125" style="188"/>
    <col min="41" max="41" width="11.453125" style="188" bestFit="1" customWidth="1"/>
    <col min="42" max="42" width="9.453125" style="188"/>
    <col min="43" max="43" width="10.54296875" style="188" customWidth="1"/>
    <col min="44" max="45" width="9.453125" style="188"/>
    <col min="46" max="46" width="11.453125" style="188" bestFit="1" customWidth="1"/>
    <col min="47" max="47" width="9.453125" style="188"/>
    <col min="48" max="48" width="11.453125" style="188" customWidth="1"/>
    <col min="49" max="16384" width="8.81640625" style="188"/>
  </cols>
  <sheetData>
    <row r="1" spans="1:50" s="187" customFormat="1" ht="50.25" customHeight="1">
      <c r="A1" s="178"/>
      <c r="B1" s="179" t="s">
        <v>17</v>
      </c>
      <c r="C1" s="180"/>
      <c r="D1" s="191"/>
      <c r="E1" s="173"/>
      <c r="F1" s="255"/>
      <c r="G1" s="173"/>
      <c r="H1" s="181"/>
      <c r="I1" s="182"/>
      <c r="J1" s="173"/>
      <c r="K1" s="183"/>
      <c r="L1" s="274"/>
      <c r="M1" s="251"/>
      <c r="N1" s="184"/>
      <c r="O1" s="185"/>
      <c r="P1" s="260"/>
      <c r="Q1" s="268"/>
      <c r="R1" s="186"/>
      <c r="U1" s="188"/>
    </row>
    <row r="2" spans="1:50" s="194" customFormat="1" ht="48" customHeight="1" thickBot="1">
      <c r="A2" s="189"/>
      <c r="B2" s="189"/>
      <c r="C2" s="174"/>
      <c r="D2" s="191"/>
      <c r="E2" s="174"/>
      <c r="F2" s="256"/>
      <c r="G2" s="174"/>
      <c r="H2" s="190"/>
      <c r="I2" s="191"/>
      <c r="J2" s="174"/>
      <c r="K2" s="248"/>
      <c r="L2" s="191"/>
      <c r="M2" s="251"/>
      <c r="N2" s="189"/>
      <c r="O2" s="185"/>
      <c r="P2" s="261"/>
      <c r="Q2" s="268"/>
      <c r="R2" s="189"/>
      <c r="S2" s="192"/>
      <c r="T2" s="193"/>
      <c r="V2" s="195"/>
      <c r="W2" s="196"/>
      <c r="X2" s="196"/>
      <c r="Y2" s="196"/>
      <c r="Z2" s="197"/>
      <c r="AA2" s="196"/>
      <c r="AB2" s="196"/>
      <c r="AC2" s="196"/>
      <c r="AD2" s="196"/>
      <c r="AE2" s="197"/>
      <c r="AF2" s="196"/>
      <c r="AG2" s="196"/>
      <c r="AH2" s="196"/>
      <c r="AI2" s="196"/>
      <c r="AJ2" s="197"/>
      <c r="AK2" s="196"/>
      <c r="AL2" s="196"/>
      <c r="AM2" s="196"/>
      <c r="AN2" s="196"/>
      <c r="AO2" s="198"/>
      <c r="AT2" s="198"/>
    </row>
    <row r="3" spans="1:50" s="213" customFormat="1" ht="22.5" customHeight="1">
      <c r="A3" s="199" t="s">
        <v>14</v>
      </c>
      <c r="B3" s="200" t="s">
        <v>8</v>
      </c>
      <c r="C3" s="175" t="s">
        <v>9</v>
      </c>
      <c r="D3" s="202" t="s">
        <v>10</v>
      </c>
      <c r="E3" s="175" t="s">
        <v>241</v>
      </c>
      <c r="F3" s="257" t="s">
        <v>70</v>
      </c>
      <c r="G3" s="175" t="s">
        <v>64</v>
      </c>
      <c r="H3" s="201" t="s">
        <v>18</v>
      </c>
      <c r="I3" s="202" t="s">
        <v>332</v>
      </c>
      <c r="J3" s="175" t="s">
        <v>12</v>
      </c>
      <c r="K3" s="249" t="s">
        <v>19</v>
      </c>
      <c r="L3" s="202" t="s">
        <v>20</v>
      </c>
      <c r="M3" s="282" t="s">
        <v>245</v>
      </c>
      <c r="N3" s="200" t="s">
        <v>10</v>
      </c>
      <c r="O3" s="203" t="s">
        <v>13</v>
      </c>
      <c r="P3" s="262" t="s">
        <v>21</v>
      </c>
      <c r="Q3" s="269" t="s">
        <v>22</v>
      </c>
      <c r="R3" s="204" t="s">
        <v>34</v>
      </c>
      <c r="S3" s="205"/>
      <c r="T3" s="206"/>
      <c r="U3" s="207"/>
      <c r="V3" s="208"/>
      <c r="W3" s="208"/>
      <c r="X3" s="208"/>
      <c r="Y3" s="208"/>
      <c r="Z3" s="209"/>
      <c r="AA3" s="210"/>
      <c r="AB3" s="210"/>
      <c r="AC3" s="210"/>
      <c r="AD3" s="210"/>
      <c r="AE3" s="209"/>
      <c r="AF3" s="210"/>
      <c r="AG3" s="210"/>
      <c r="AH3" s="210"/>
      <c r="AI3" s="210"/>
      <c r="AJ3" s="209"/>
      <c r="AK3" s="210"/>
      <c r="AL3" s="210"/>
      <c r="AM3" s="210"/>
      <c r="AN3" s="210"/>
      <c r="AO3" s="209"/>
      <c r="AP3" s="210"/>
      <c r="AQ3" s="210"/>
      <c r="AR3" s="210"/>
      <c r="AS3" s="210"/>
      <c r="AT3" s="211"/>
      <c r="AU3" s="212"/>
      <c r="AV3" s="212"/>
      <c r="AW3" s="212"/>
      <c r="AX3" s="212"/>
    </row>
    <row r="4" spans="1:50" ht="18" customHeight="1">
      <c r="A4" s="214">
        <v>37721</v>
      </c>
      <c r="B4" s="244" t="s">
        <v>727</v>
      </c>
      <c r="C4" s="176" t="s">
        <v>7</v>
      </c>
      <c r="D4" s="217">
        <v>40</v>
      </c>
      <c r="E4" s="176" t="s">
        <v>221</v>
      </c>
      <c r="G4" s="176" t="s">
        <v>187</v>
      </c>
      <c r="H4" s="216">
        <v>45022</v>
      </c>
      <c r="I4" s="217">
        <v>2</v>
      </c>
      <c r="J4" s="176" t="s">
        <v>222</v>
      </c>
      <c r="K4" s="250">
        <v>523.72</v>
      </c>
      <c r="L4" s="217">
        <v>51001</v>
      </c>
      <c r="P4" s="264">
        <v>45358</v>
      </c>
      <c r="R4" s="219" t="str">
        <f t="shared" ref="R4:R35" si="0">IF(SUM(Q4)&gt;0,SUM(Q4-P4),"")</f>
        <v/>
      </c>
      <c r="S4" s="188"/>
    </row>
    <row r="5" spans="1:50" ht="18" customHeight="1">
      <c r="A5" s="214">
        <v>37721</v>
      </c>
      <c r="B5" s="244">
        <v>69279</v>
      </c>
      <c r="C5" s="176" t="s">
        <v>7</v>
      </c>
      <c r="D5" s="217">
        <v>40</v>
      </c>
      <c r="E5" s="176" t="s">
        <v>223</v>
      </c>
      <c r="G5" s="176" t="s">
        <v>187</v>
      </c>
      <c r="H5" s="216">
        <v>45022</v>
      </c>
      <c r="I5" s="217">
        <v>4</v>
      </c>
      <c r="J5" s="176" t="s">
        <v>222</v>
      </c>
      <c r="K5" s="250">
        <v>523.72</v>
      </c>
      <c r="L5" s="217">
        <v>51001</v>
      </c>
      <c r="P5" s="264">
        <v>45358</v>
      </c>
      <c r="R5" s="219" t="str">
        <f t="shared" si="0"/>
        <v/>
      </c>
      <c r="S5" s="188"/>
    </row>
    <row r="6" spans="1:50" ht="18" customHeight="1">
      <c r="R6" s="219" t="str">
        <f t="shared" si="0"/>
        <v/>
      </c>
      <c r="S6" s="188"/>
    </row>
    <row r="7" spans="1:50" ht="18" customHeight="1">
      <c r="A7" s="214">
        <v>37832</v>
      </c>
      <c r="B7" s="241">
        <v>69605</v>
      </c>
      <c r="C7" s="176" t="s">
        <v>193</v>
      </c>
      <c r="D7" s="217">
        <v>2850</v>
      </c>
      <c r="E7" s="176" t="s">
        <v>219</v>
      </c>
      <c r="F7" s="259" t="s">
        <v>225</v>
      </c>
      <c r="G7" s="176" t="s">
        <v>220</v>
      </c>
      <c r="H7" s="216">
        <v>45089</v>
      </c>
      <c r="I7" s="217">
        <v>1</v>
      </c>
      <c r="J7" s="176" t="s">
        <v>226</v>
      </c>
      <c r="K7" s="250">
        <v>20.260000000000002</v>
      </c>
      <c r="L7" s="217" t="s">
        <v>227</v>
      </c>
      <c r="P7" s="263">
        <v>45135</v>
      </c>
      <c r="R7" s="219" t="str">
        <f t="shared" si="0"/>
        <v/>
      </c>
      <c r="S7" s="188"/>
    </row>
    <row r="8" spans="1:50" ht="18" customHeight="1">
      <c r="A8" s="214">
        <v>37832</v>
      </c>
      <c r="B8" s="241">
        <v>69605</v>
      </c>
      <c r="C8" s="176" t="s">
        <v>193</v>
      </c>
      <c r="D8" s="217">
        <v>2850</v>
      </c>
      <c r="E8" s="176" t="s">
        <v>219</v>
      </c>
      <c r="F8" s="259" t="s">
        <v>225</v>
      </c>
      <c r="G8" s="176" t="s">
        <v>220</v>
      </c>
      <c r="H8" s="216">
        <v>45089</v>
      </c>
      <c r="I8" s="217">
        <v>2</v>
      </c>
      <c r="J8" s="176" t="s">
        <v>226</v>
      </c>
      <c r="K8" s="250">
        <v>20.260000000000002</v>
      </c>
      <c r="L8" s="217" t="s">
        <v>227</v>
      </c>
      <c r="P8" s="263">
        <v>37498</v>
      </c>
      <c r="R8" s="219" t="str">
        <f t="shared" si="0"/>
        <v/>
      </c>
      <c r="S8" s="188"/>
    </row>
    <row r="9" spans="1:50" ht="18" customHeight="1">
      <c r="A9" s="214">
        <v>37832</v>
      </c>
      <c r="B9" s="241">
        <v>69605</v>
      </c>
      <c r="C9" s="176" t="s">
        <v>193</v>
      </c>
      <c r="D9" s="217">
        <v>2850</v>
      </c>
      <c r="E9" s="176" t="s">
        <v>219</v>
      </c>
      <c r="F9" s="259" t="s">
        <v>225</v>
      </c>
      <c r="G9" s="176" t="s">
        <v>220</v>
      </c>
      <c r="H9" s="216">
        <v>45089</v>
      </c>
      <c r="I9" s="217">
        <v>3</v>
      </c>
      <c r="J9" s="176" t="s">
        <v>226</v>
      </c>
      <c r="K9" s="250">
        <v>20.260000000000002</v>
      </c>
      <c r="L9" s="217" t="s">
        <v>227</v>
      </c>
      <c r="P9" s="263">
        <v>45198</v>
      </c>
      <c r="R9" s="219" t="str">
        <f t="shared" si="0"/>
        <v/>
      </c>
      <c r="S9" s="188"/>
    </row>
    <row r="10" spans="1:50" ht="18" customHeight="1">
      <c r="A10" s="214">
        <v>37832</v>
      </c>
      <c r="B10" s="241">
        <v>69605</v>
      </c>
      <c r="C10" s="176" t="s">
        <v>193</v>
      </c>
      <c r="D10" s="217">
        <v>2850</v>
      </c>
      <c r="E10" s="176" t="s">
        <v>219</v>
      </c>
      <c r="F10" s="259" t="s">
        <v>225</v>
      </c>
      <c r="G10" s="176" t="s">
        <v>220</v>
      </c>
      <c r="H10" s="216">
        <v>45089</v>
      </c>
      <c r="I10" s="217">
        <v>4</v>
      </c>
      <c r="J10" s="176" t="s">
        <v>226</v>
      </c>
      <c r="K10" s="250">
        <v>20.260000000000002</v>
      </c>
      <c r="L10" s="217" t="s">
        <v>227</v>
      </c>
      <c r="P10" s="263">
        <v>45229</v>
      </c>
      <c r="R10" s="219" t="str">
        <f t="shared" si="0"/>
        <v/>
      </c>
      <c r="S10" s="188"/>
    </row>
    <row r="11" spans="1:50" ht="18" customHeight="1">
      <c r="A11" s="214">
        <v>37832</v>
      </c>
      <c r="B11" s="241">
        <v>69605</v>
      </c>
      <c r="C11" s="176" t="s">
        <v>193</v>
      </c>
      <c r="D11" s="217">
        <v>2850</v>
      </c>
      <c r="E11" s="176" t="s">
        <v>219</v>
      </c>
      <c r="F11" s="259" t="s">
        <v>225</v>
      </c>
      <c r="G11" s="176" t="s">
        <v>220</v>
      </c>
      <c r="H11" s="216">
        <v>45089</v>
      </c>
      <c r="I11" s="217">
        <v>5</v>
      </c>
      <c r="J11" s="176" t="s">
        <v>226</v>
      </c>
      <c r="K11" s="250">
        <v>20.260000000000002</v>
      </c>
      <c r="L11" s="217" t="s">
        <v>227</v>
      </c>
      <c r="P11" s="263">
        <v>45260</v>
      </c>
      <c r="R11" s="219" t="str">
        <f t="shared" si="0"/>
        <v/>
      </c>
      <c r="S11" s="188"/>
    </row>
    <row r="12" spans="1:50" ht="18" customHeight="1">
      <c r="A12" s="214">
        <v>37832</v>
      </c>
      <c r="B12" s="241">
        <v>69605</v>
      </c>
      <c r="C12" s="176" t="s">
        <v>193</v>
      </c>
      <c r="D12" s="217">
        <v>2850</v>
      </c>
      <c r="E12" s="176" t="s">
        <v>219</v>
      </c>
      <c r="F12" s="259" t="s">
        <v>225</v>
      </c>
      <c r="G12" s="176" t="s">
        <v>220</v>
      </c>
      <c r="H12" s="216">
        <v>45089</v>
      </c>
      <c r="I12" s="217">
        <v>6</v>
      </c>
      <c r="J12" s="176" t="s">
        <v>226</v>
      </c>
      <c r="K12" s="250">
        <v>20.260000000000002</v>
      </c>
      <c r="L12" s="217" t="s">
        <v>227</v>
      </c>
      <c r="P12" s="263">
        <v>45282</v>
      </c>
      <c r="R12" s="219" t="str">
        <f t="shared" si="0"/>
        <v/>
      </c>
      <c r="S12" s="188"/>
    </row>
    <row r="13" spans="1:50" ht="18" customHeight="1">
      <c r="R13" s="219" t="str">
        <f t="shared" si="0"/>
        <v/>
      </c>
      <c r="S13" s="188"/>
    </row>
    <row r="14" spans="1:50" ht="18" customHeight="1">
      <c r="A14" s="214">
        <v>37979</v>
      </c>
      <c r="B14" s="215">
        <v>70131</v>
      </c>
      <c r="C14" s="176" t="s">
        <v>37</v>
      </c>
      <c r="D14" s="217">
        <v>1</v>
      </c>
      <c r="E14" s="176" t="s">
        <v>229</v>
      </c>
      <c r="F14" s="258" t="s">
        <v>230</v>
      </c>
      <c r="G14" s="176" t="s">
        <v>231</v>
      </c>
      <c r="H14" s="216">
        <v>45183</v>
      </c>
      <c r="I14" s="217">
        <v>1</v>
      </c>
      <c r="J14" s="176" t="s">
        <v>232</v>
      </c>
      <c r="K14" s="250">
        <v>2125</v>
      </c>
      <c r="L14" s="217" t="s">
        <v>233</v>
      </c>
      <c r="P14" s="263">
        <v>45204</v>
      </c>
      <c r="R14" s="219" t="str">
        <f t="shared" si="0"/>
        <v/>
      </c>
      <c r="S14" s="188"/>
    </row>
    <row r="15" spans="1:50" ht="18" customHeight="1">
      <c r="R15" s="219" t="str">
        <f t="shared" si="0"/>
        <v/>
      </c>
      <c r="S15" s="188"/>
    </row>
    <row r="16" spans="1:50" ht="18" customHeight="1">
      <c r="A16" s="214">
        <v>38123</v>
      </c>
      <c r="B16" s="243">
        <v>70586</v>
      </c>
      <c r="C16" s="176" t="s">
        <v>104</v>
      </c>
      <c r="D16" s="217">
        <v>1</v>
      </c>
      <c r="E16" s="176" t="s">
        <v>238</v>
      </c>
      <c r="F16" s="258">
        <v>1</v>
      </c>
      <c r="G16" s="176" t="s">
        <v>237</v>
      </c>
      <c r="H16" s="216">
        <v>45300</v>
      </c>
      <c r="I16" s="217">
        <v>21</v>
      </c>
      <c r="J16" s="176" t="s">
        <v>239</v>
      </c>
      <c r="K16" s="250">
        <v>1188</v>
      </c>
      <c r="L16" s="367" t="s">
        <v>689</v>
      </c>
      <c r="M16" s="242"/>
      <c r="P16" s="265">
        <v>45322</v>
      </c>
      <c r="R16" s="219" t="str">
        <f t="shared" si="0"/>
        <v/>
      </c>
      <c r="S16" s="188"/>
    </row>
    <row r="17" spans="1:19" ht="18" customHeight="1">
      <c r="R17" s="219" t="str">
        <f t="shared" si="0"/>
        <v/>
      </c>
      <c r="S17" s="188"/>
    </row>
    <row r="18" spans="1:19" ht="18" customHeight="1">
      <c r="A18" s="245">
        <v>38502</v>
      </c>
      <c r="B18" s="246">
        <v>71374</v>
      </c>
      <c r="C18" s="188" t="s">
        <v>33</v>
      </c>
      <c r="D18" s="245">
        <v>3</v>
      </c>
      <c r="E18" s="247" t="s">
        <v>242</v>
      </c>
      <c r="F18" s="245"/>
      <c r="G18" s="287" t="s">
        <v>188</v>
      </c>
      <c r="H18" s="267">
        <v>45568</v>
      </c>
      <c r="I18" s="217">
        <v>1</v>
      </c>
      <c r="J18" s="188" t="s">
        <v>247</v>
      </c>
      <c r="K18" s="250">
        <v>675</v>
      </c>
      <c r="L18" s="217">
        <v>20030822</v>
      </c>
      <c r="M18" s="252"/>
      <c r="N18" s="217"/>
      <c r="O18" s="254"/>
      <c r="P18" s="266">
        <v>45590</v>
      </c>
      <c r="Q18" s="271"/>
      <c r="R18" s="219" t="str">
        <f t="shared" si="0"/>
        <v/>
      </c>
      <c r="S18" s="188"/>
    </row>
    <row r="19" spans="1:19" ht="18" customHeight="1">
      <c r="A19" s="245">
        <v>38502</v>
      </c>
      <c r="B19" s="246">
        <v>71375</v>
      </c>
      <c r="C19" s="188" t="s">
        <v>33</v>
      </c>
      <c r="D19" s="245">
        <v>3</v>
      </c>
      <c r="E19" s="247" t="s">
        <v>248</v>
      </c>
      <c r="F19" s="245" t="s">
        <v>249</v>
      </c>
      <c r="G19" s="287" t="s">
        <v>188</v>
      </c>
      <c r="H19" s="267">
        <v>45568</v>
      </c>
      <c r="I19" s="217">
        <v>2</v>
      </c>
      <c r="J19" s="188" t="s">
        <v>250</v>
      </c>
      <c r="K19" s="250">
        <v>1250</v>
      </c>
      <c r="L19" s="217">
        <v>20030822</v>
      </c>
      <c r="M19" s="252"/>
      <c r="N19" s="217"/>
      <c r="O19" s="254"/>
      <c r="P19" s="266">
        <v>45590</v>
      </c>
      <c r="Q19" s="271"/>
      <c r="R19" s="219" t="str">
        <f t="shared" si="0"/>
        <v/>
      </c>
      <c r="S19" s="188"/>
    </row>
    <row r="20" spans="1:19" ht="18" customHeight="1">
      <c r="A20" s="245"/>
      <c r="B20" s="246"/>
      <c r="C20" s="188"/>
      <c r="D20" s="245"/>
      <c r="E20" s="247"/>
      <c r="F20" s="245"/>
      <c r="G20" s="188"/>
      <c r="H20" s="267"/>
      <c r="J20" s="188"/>
      <c r="M20" s="252"/>
      <c r="N20" s="217"/>
      <c r="O20" s="254"/>
      <c r="P20" s="266"/>
      <c r="Q20" s="271"/>
      <c r="R20" s="219" t="str">
        <f t="shared" si="0"/>
        <v/>
      </c>
      <c r="S20" s="188"/>
    </row>
    <row r="21" spans="1:19" ht="18" customHeight="1">
      <c r="A21" s="245">
        <v>38539</v>
      </c>
      <c r="B21" s="246">
        <v>71480</v>
      </c>
      <c r="C21" s="188" t="s">
        <v>104</v>
      </c>
      <c r="D21" s="245">
        <v>5</v>
      </c>
      <c r="E21" s="253" t="s">
        <v>256</v>
      </c>
      <c r="F21" s="245">
        <v>0</v>
      </c>
      <c r="G21" s="188" t="s">
        <v>254</v>
      </c>
      <c r="H21" s="267">
        <v>45593</v>
      </c>
      <c r="I21" s="217">
        <v>1</v>
      </c>
      <c r="J21" s="188" t="s">
        <v>255</v>
      </c>
      <c r="K21" s="250">
        <v>700</v>
      </c>
      <c r="L21" s="283" t="s">
        <v>640</v>
      </c>
      <c r="M21" s="252"/>
      <c r="N21" s="217"/>
      <c r="O21" s="254"/>
      <c r="P21" s="266">
        <v>45607</v>
      </c>
      <c r="Q21" s="271"/>
      <c r="R21" s="219" t="str">
        <f t="shared" si="0"/>
        <v/>
      </c>
      <c r="S21" s="188"/>
    </row>
    <row r="22" spans="1:19" ht="18" customHeight="1">
      <c r="A22" s="245"/>
      <c r="B22" s="246"/>
      <c r="C22" s="188"/>
      <c r="D22" s="245"/>
      <c r="E22" s="247"/>
      <c r="F22" s="245"/>
      <c r="G22" s="188"/>
      <c r="H22" s="267"/>
      <c r="J22" s="188"/>
      <c r="M22" s="252"/>
      <c r="N22" s="217"/>
      <c r="O22" s="254"/>
      <c r="P22" s="266"/>
      <c r="Q22" s="271"/>
      <c r="R22" s="219" t="str">
        <f t="shared" si="0"/>
        <v/>
      </c>
      <c r="S22" s="188"/>
    </row>
    <row r="23" spans="1:19" ht="18" customHeight="1">
      <c r="A23" s="245">
        <v>38559</v>
      </c>
      <c r="B23" s="246">
        <v>71512</v>
      </c>
      <c r="C23" s="188" t="s">
        <v>0</v>
      </c>
      <c r="D23" s="245">
        <v>2</v>
      </c>
      <c r="E23" s="247" t="s">
        <v>253</v>
      </c>
      <c r="F23" s="245"/>
      <c r="G23" s="188" t="s">
        <v>243</v>
      </c>
      <c r="H23" s="267">
        <v>45597</v>
      </c>
      <c r="I23" s="217">
        <v>1</v>
      </c>
      <c r="J23" s="188" t="s">
        <v>257</v>
      </c>
      <c r="M23" s="252"/>
      <c r="N23" s="217"/>
      <c r="O23" s="254"/>
      <c r="P23" s="266">
        <v>45604</v>
      </c>
      <c r="Q23" s="271"/>
      <c r="R23" s="219" t="str">
        <f t="shared" si="0"/>
        <v/>
      </c>
      <c r="S23" s="188"/>
    </row>
    <row r="24" spans="1:19" ht="18" customHeight="1">
      <c r="A24" s="245"/>
      <c r="B24" s="246"/>
      <c r="C24" s="188"/>
      <c r="D24" s="245"/>
      <c r="E24" s="247"/>
      <c r="F24" s="245"/>
      <c r="G24" s="188"/>
      <c r="H24" s="267"/>
      <c r="J24" s="188"/>
      <c r="M24" s="252"/>
      <c r="N24" s="217"/>
      <c r="O24" s="254"/>
      <c r="P24" s="266"/>
      <c r="Q24" s="271"/>
      <c r="R24" s="219" t="str">
        <f t="shared" si="0"/>
        <v/>
      </c>
      <c r="S24" s="188"/>
    </row>
    <row r="25" spans="1:19" ht="18" customHeight="1">
      <c r="A25" s="245">
        <v>38608</v>
      </c>
      <c r="B25" s="246">
        <v>71609</v>
      </c>
      <c r="C25" s="188" t="s">
        <v>41</v>
      </c>
      <c r="D25" s="245">
        <v>46</v>
      </c>
      <c r="E25" s="247" t="s">
        <v>259</v>
      </c>
      <c r="F25" s="245">
        <v>5</v>
      </c>
      <c r="G25" s="188" t="s">
        <v>260</v>
      </c>
      <c r="H25" s="267">
        <v>45622</v>
      </c>
      <c r="I25" s="217">
        <v>1</v>
      </c>
      <c r="J25" s="188" t="s">
        <v>267</v>
      </c>
      <c r="K25" s="250">
        <v>269</v>
      </c>
      <c r="L25" s="217" t="s">
        <v>261</v>
      </c>
      <c r="M25" s="252"/>
      <c r="N25" s="217"/>
      <c r="O25" s="254"/>
      <c r="P25" s="266">
        <v>45761</v>
      </c>
      <c r="Q25" s="271"/>
      <c r="R25" s="219" t="str">
        <f t="shared" si="0"/>
        <v/>
      </c>
      <c r="S25" s="188"/>
    </row>
    <row r="26" spans="1:19" ht="18" customHeight="1">
      <c r="A26" s="245">
        <v>38608</v>
      </c>
      <c r="B26" s="246">
        <v>71610</v>
      </c>
      <c r="C26" s="188" t="s">
        <v>41</v>
      </c>
      <c r="D26" s="245">
        <v>65</v>
      </c>
      <c r="E26" s="247" t="s">
        <v>262</v>
      </c>
      <c r="F26" s="245">
        <v>3</v>
      </c>
      <c r="G26" s="188" t="s">
        <v>260</v>
      </c>
      <c r="H26" s="267">
        <v>45622</v>
      </c>
      <c r="I26" s="217">
        <v>2</v>
      </c>
      <c r="J26" s="188" t="s">
        <v>266</v>
      </c>
      <c r="K26" s="250">
        <v>265</v>
      </c>
      <c r="L26" s="217" t="s">
        <v>261</v>
      </c>
      <c r="M26" s="252"/>
      <c r="N26" s="217"/>
      <c r="O26" s="254"/>
      <c r="P26" s="266">
        <v>45761</v>
      </c>
      <c r="Q26" s="271"/>
      <c r="R26" s="219" t="str">
        <f t="shared" si="0"/>
        <v/>
      </c>
      <c r="S26" s="188"/>
    </row>
    <row r="27" spans="1:19" ht="18" customHeight="1">
      <c r="A27" s="245">
        <v>38608</v>
      </c>
      <c r="B27" s="246">
        <v>71611</v>
      </c>
      <c r="C27" s="188" t="s">
        <v>41</v>
      </c>
      <c r="D27" s="245">
        <v>1100</v>
      </c>
      <c r="E27" s="247" t="s">
        <v>265</v>
      </c>
      <c r="F27" s="245">
        <v>0</v>
      </c>
      <c r="G27" s="188" t="s">
        <v>260</v>
      </c>
      <c r="H27" s="267">
        <v>45622</v>
      </c>
      <c r="I27" s="217">
        <v>4</v>
      </c>
      <c r="J27" s="188" t="s">
        <v>268</v>
      </c>
      <c r="K27" s="250">
        <v>13.95</v>
      </c>
      <c r="L27" s="217" t="s">
        <v>261</v>
      </c>
      <c r="M27" s="252"/>
      <c r="N27" s="217"/>
      <c r="O27" s="254"/>
      <c r="P27" s="266">
        <v>45761</v>
      </c>
      <c r="Q27" s="271"/>
      <c r="R27" s="219" t="str">
        <f t="shared" si="0"/>
        <v/>
      </c>
      <c r="S27" s="188"/>
    </row>
    <row r="28" spans="1:19" ht="18" customHeight="1">
      <c r="A28" s="245">
        <v>38608</v>
      </c>
      <c r="B28" s="246">
        <v>71612</v>
      </c>
      <c r="C28" s="188" t="s">
        <v>41</v>
      </c>
      <c r="D28" s="245">
        <v>1600</v>
      </c>
      <c r="E28" s="247" t="s">
        <v>263</v>
      </c>
      <c r="F28" s="245">
        <v>0</v>
      </c>
      <c r="G28" s="188" t="s">
        <v>260</v>
      </c>
      <c r="H28" s="267">
        <v>45622</v>
      </c>
      <c r="I28" s="217">
        <v>5</v>
      </c>
      <c r="J28" s="188" t="s">
        <v>269</v>
      </c>
      <c r="K28" s="250">
        <v>14.49</v>
      </c>
      <c r="L28" s="217" t="s">
        <v>261</v>
      </c>
      <c r="M28" s="252"/>
      <c r="N28" s="217"/>
      <c r="O28" s="254"/>
      <c r="P28" s="266">
        <v>45761</v>
      </c>
      <c r="Q28" s="271"/>
      <c r="R28" s="219" t="str">
        <f t="shared" si="0"/>
        <v/>
      </c>
      <c r="S28" s="188"/>
    </row>
    <row r="29" spans="1:19" ht="18" customHeight="1">
      <c r="A29" s="245">
        <v>38608</v>
      </c>
      <c r="B29" s="246">
        <v>71613</v>
      </c>
      <c r="C29" s="188" t="s">
        <v>41</v>
      </c>
      <c r="D29" s="245">
        <v>3500</v>
      </c>
      <c r="E29" s="247" t="s">
        <v>264</v>
      </c>
      <c r="F29" s="245">
        <v>2</v>
      </c>
      <c r="G29" s="188" t="s">
        <v>260</v>
      </c>
      <c r="H29" s="267">
        <v>45622</v>
      </c>
      <c r="I29" s="217">
        <v>6</v>
      </c>
      <c r="J29" s="188" t="s">
        <v>270</v>
      </c>
      <c r="K29" s="250">
        <v>3.08</v>
      </c>
      <c r="L29" s="217" t="s">
        <v>261</v>
      </c>
      <c r="M29" s="252"/>
      <c r="N29" s="217"/>
      <c r="O29" s="254"/>
      <c r="P29" s="266">
        <v>45761</v>
      </c>
      <c r="Q29" s="271"/>
      <c r="R29" s="219" t="str">
        <f t="shared" si="0"/>
        <v/>
      </c>
      <c r="S29" s="188"/>
    </row>
    <row r="30" spans="1:19" ht="18" customHeight="1">
      <c r="A30" s="245"/>
      <c r="B30" s="246"/>
      <c r="C30" s="188"/>
      <c r="D30" s="245"/>
      <c r="E30" s="247"/>
      <c r="F30" s="245"/>
      <c r="G30" s="188"/>
      <c r="H30" s="267"/>
      <c r="J30" s="188"/>
      <c r="M30" s="252"/>
      <c r="N30" s="217"/>
      <c r="O30" s="254"/>
      <c r="P30" s="266"/>
      <c r="Q30" s="271"/>
      <c r="R30" s="219" t="str">
        <f t="shared" si="0"/>
        <v/>
      </c>
      <c r="S30" s="188"/>
    </row>
    <row r="31" spans="1:19" ht="18" customHeight="1">
      <c r="A31" s="296">
        <v>38619</v>
      </c>
      <c r="B31" s="297">
        <v>71669</v>
      </c>
      <c r="C31" s="298" t="s">
        <v>41</v>
      </c>
      <c r="D31" s="296">
        <v>5</v>
      </c>
      <c r="E31" s="299" t="s">
        <v>273</v>
      </c>
      <c r="F31" s="296">
        <v>0</v>
      </c>
      <c r="G31" s="298" t="s">
        <v>228</v>
      </c>
      <c r="H31" s="300">
        <v>45629</v>
      </c>
      <c r="I31" s="301">
        <v>1</v>
      </c>
      <c r="J31" s="298" t="s">
        <v>274</v>
      </c>
      <c r="K31" s="302">
        <v>35171</v>
      </c>
      <c r="L31" s="362" t="s">
        <v>619</v>
      </c>
      <c r="M31" s="316">
        <v>44964</v>
      </c>
      <c r="N31" s="301">
        <v>5</v>
      </c>
      <c r="O31" s="317">
        <v>53211</v>
      </c>
      <c r="P31" s="318">
        <v>45737</v>
      </c>
      <c r="Q31" s="271">
        <v>46065</v>
      </c>
      <c r="R31" s="219">
        <f t="shared" si="0"/>
        <v>328</v>
      </c>
      <c r="S31" s="188"/>
    </row>
    <row r="32" spans="1:19" ht="18" customHeight="1">
      <c r="A32" s="245"/>
      <c r="B32" s="246"/>
      <c r="C32" s="188"/>
      <c r="D32" s="245"/>
      <c r="E32" s="247"/>
      <c r="F32" s="245"/>
      <c r="G32" s="188"/>
      <c r="H32" s="267"/>
      <c r="J32" s="188"/>
      <c r="M32" s="252"/>
      <c r="N32" s="217"/>
      <c r="O32" s="254"/>
      <c r="P32" s="266"/>
      <c r="Q32" s="271"/>
      <c r="R32" s="219" t="str">
        <f t="shared" si="0"/>
        <v/>
      </c>
      <c r="S32" s="188"/>
    </row>
    <row r="33" spans="1:19" ht="18" customHeight="1">
      <c r="A33" s="245">
        <v>38636</v>
      </c>
      <c r="B33" s="246">
        <v>71718</v>
      </c>
      <c r="C33" s="188" t="s">
        <v>33</v>
      </c>
      <c r="D33" s="245">
        <v>43500</v>
      </c>
      <c r="E33" s="247" t="s">
        <v>45</v>
      </c>
      <c r="F33" s="245"/>
      <c r="G33" s="188" t="s">
        <v>258</v>
      </c>
      <c r="H33" s="267">
        <v>45636</v>
      </c>
      <c r="I33" s="217">
        <v>2</v>
      </c>
      <c r="J33" s="188" t="s">
        <v>278</v>
      </c>
      <c r="K33" s="250">
        <v>3.44</v>
      </c>
      <c r="L33" s="217" t="s">
        <v>277</v>
      </c>
      <c r="M33" s="252"/>
      <c r="N33" s="217"/>
      <c r="O33" s="254"/>
      <c r="P33" s="266">
        <v>45992</v>
      </c>
      <c r="Q33" s="271"/>
      <c r="R33" s="219" t="str">
        <f t="shared" si="0"/>
        <v/>
      </c>
      <c r="S33" s="188"/>
    </row>
    <row r="34" spans="1:19" ht="18" customHeight="1">
      <c r="A34" s="245"/>
      <c r="B34" s="246"/>
      <c r="C34" s="188"/>
      <c r="D34" s="245"/>
      <c r="E34" s="247"/>
      <c r="F34" s="245"/>
      <c r="G34" s="188"/>
      <c r="H34" s="267"/>
      <c r="J34" s="188"/>
      <c r="M34" s="252"/>
      <c r="N34" s="217"/>
      <c r="O34" s="254"/>
      <c r="P34" s="266"/>
      <c r="Q34" s="271"/>
      <c r="R34" s="219" t="str">
        <f t="shared" si="0"/>
        <v/>
      </c>
      <c r="S34" s="188"/>
    </row>
    <row r="35" spans="1:19" ht="18" customHeight="1">
      <c r="A35" s="296">
        <v>38647</v>
      </c>
      <c r="B35" s="297">
        <v>71742</v>
      </c>
      <c r="C35" s="298" t="s">
        <v>41</v>
      </c>
      <c r="D35" s="296">
        <v>5</v>
      </c>
      <c r="E35" s="299" t="s">
        <v>273</v>
      </c>
      <c r="F35" s="296">
        <v>0</v>
      </c>
      <c r="G35" s="298" t="s">
        <v>228</v>
      </c>
      <c r="H35" s="300">
        <v>45629</v>
      </c>
      <c r="I35" s="301">
        <v>1</v>
      </c>
      <c r="J35" s="298" t="s">
        <v>274</v>
      </c>
      <c r="K35" s="302">
        <v>35171</v>
      </c>
      <c r="L35" s="366" t="s">
        <v>676</v>
      </c>
      <c r="M35" s="316"/>
      <c r="N35" s="301"/>
      <c r="O35" s="317"/>
      <c r="P35" s="318">
        <v>45737</v>
      </c>
      <c r="Q35" s="271"/>
      <c r="R35" s="219" t="str">
        <f t="shared" si="0"/>
        <v/>
      </c>
      <c r="S35" s="188"/>
    </row>
    <row r="36" spans="1:19" ht="18" customHeight="1">
      <c r="A36" s="245"/>
      <c r="B36" s="246"/>
      <c r="C36" s="188"/>
      <c r="D36" s="245"/>
      <c r="E36" s="247"/>
      <c r="F36" s="245"/>
      <c r="G36" s="188"/>
      <c r="H36" s="267"/>
      <c r="J36" s="188"/>
      <c r="M36" s="252"/>
      <c r="N36" s="217"/>
      <c r="O36" s="254"/>
      <c r="P36" s="266"/>
      <c r="Q36" s="271"/>
      <c r="R36" s="219" t="str">
        <f t="shared" ref="R36:R67" si="1">IF(SUM(Q36)&gt;0,SUM(Q36-P36),"")</f>
        <v/>
      </c>
      <c r="S36" s="188"/>
    </row>
    <row r="37" spans="1:19" ht="18" customHeight="1">
      <c r="A37" s="289">
        <v>38669</v>
      </c>
      <c r="B37" s="290">
        <v>71829</v>
      </c>
      <c r="C37" s="291" t="s">
        <v>41</v>
      </c>
      <c r="D37" s="289">
        <v>9</v>
      </c>
      <c r="E37" s="292" t="s">
        <v>465</v>
      </c>
      <c r="F37" s="289">
        <v>1</v>
      </c>
      <c r="G37" s="291" t="s">
        <v>228</v>
      </c>
      <c r="H37" s="293">
        <v>45649</v>
      </c>
      <c r="I37" s="294">
        <v>1</v>
      </c>
      <c r="J37" s="291" t="s">
        <v>272</v>
      </c>
      <c r="K37" s="295">
        <v>16293</v>
      </c>
      <c r="L37" s="294" t="s">
        <v>280</v>
      </c>
      <c r="M37" s="310"/>
      <c r="N37" s="294"/>
      <c r="O37" s="311"/>
      <c r="P37" s="312">
        <v>45779</v>
      </c>
      <c r="Q37" s="271"/>
      <c r="R37" s="219" t="str">
        <f t="shared" si="1"/>
        <v/>
      </c>
      <c r="S37" s="188"/>
    </row>
    <row r="38" spans="1:19" ht="18" customHeight="1">
      <c r="A38" s="245"/>
      <c r="B38" s="246"/>
      <c r="C38" s="188"/>
      <c r="D38" s="245"/>
      <c r="E38" s="247"/>
      <c r="F38" s="245"/>
      <c r="G38" s="188"/>
      <c r="H38" s="267"/>
      <c r="J38" s="188"/>
      <c r="M38" s="252"/>
      <c r="N38" s="217"/>
      <c r="O38" s="254"/>
      <c r="P38" s="266"/>
      <c r="Q38" s="271"/>
      <c r="R38" s="219" t="str">
        <f t="shared" si="1"/>
        <v/>
      </c>
      <c r="S38" s="188"/>
    </row>
    <row r="39" spans="1:19" ht="18" customHeight="1">
      <c r="A39" s="320">
        <v>38672</v>
      </c>
      <c r="B39" s="321">
        <v>71851</v>
      </c>
      <c r="C39" s="322" t="s">
        <v>41</v>
      </c>
      <c r="D39" s="320">
        <v>2</v>
      </c>
      <c r="E39" s="323" t="s">
        <v>283</v>
      </c>
      <c r="F39" s="320">
        <v>0</v>
      </c>
      <c r="G39" s="322" t="s">
        <v>246</v>
      </c>
      <c r="H39" s="324">
        <v>45656</v>
      </c>
      <c r="I39" s="325">
        <v>1</v>
      </c>
      <c r="J39" s="322" t="s">
        <v>284</v>
      </c>
      <c r="K39" s="326">
        <v>141549.74</v>
      </c>
      <c r="L39" s="325" t="s">
        <v>333</v>
      </c>
      <c r="M39" s="327"/>
      <c r="N39" s="325"/>
      <c r="O39" s="328"/>
      <c r="P39" s="329">
        <v>45842</v>
      </c>
      <c r="Q39" s="330"/>
      <c r="R39" s="219" t="str">
        <f t="shared" si="1"/>
        <v/>
      </c>
      <c r="S39" s="188"/>
    </row>
    <row r="40" spans="1:19" ht="18" customHeight="1">
      <c r="A40" s="320">
        <v>38672</v>
      </c>
      <c r="B40" s="321">
        <v>71873</v>
      </c>
      <c r="C40" s="322" t="s">
        <v>41</v>
      </c>
      <c r="D40" s="320" t="s">
        <v>290</v>
      </c>
      <c r="E40" s="323" t="s">
        <v>291</v>
      </c>
      <c r="F40" s="320"/>
      <c r="G40" s="322" t="s">
        <v>292</v>
      </c>
      <c r="H40" s="324" t="s">
        <v>293</v>
      </c>
      <c r="I40" s="325">
        <v>2</v>
      </c>
      <c r="J40" s="322" t="s">
        <v>294</v>
      </c>
      <c r="K40" s="326" t="s">
        <v>295</v>
      </c>
      <c r="L40" s="325" t="s">
        <v>333</v>
      </c>
      <c r="M40" s="327"/>
      <c r="N40" s="325"/>
      <c r="O40" s="328"/>
      <c r="P40" s="329">
        <v>45842</v>
      </c>
      <c r="Q40" s="330"/>
      <c r="R40" s="219" t="str">
        <f t="shared" si="1"/>
        <v/>
      </c>
      <c r="S40" s="188"/>
    </row>
    <row r="41" spans="1:19" ht="18" customHeight="1">
      <c r="A41" s="303">
        <v>38672</v>
      </c>
      <c r="B41" s="348">
        <v>72330</v>
      </c>
      <c r="C41" s="322" t="s">
        <v>41</v>
      </c>
      <c r="D41" s="352" t="s">
        <v>348</v>
      </c>
      <c r="E41" s="323" t="s">
        <v>346</v>
      </c>
      <c r="F41" s="320"/>
      <c r="G41" s="350" t="s">
        <v>292</v>
      </c>
      <c r="H41" s="324">
        <v>45771</v>
      </c>
      <c r="I41" s="325">
        <v>5</v>
      </c>
      <c r="J41" s="322" t="s">
        <v>345</v>
      </c>
      <c r="K41" s="326">
        <v>1950</v>
      </c>
      <c r="L41" s="351" t="s">
        <v>370</v>
      </c>
      <c r="M41" s="313"/>
      <c r="N41" s="308"/>
      <c r="O41" s="314"/>
      <c r="P41" s="329">
        <v>45859</v>
      </c>
      <c r="Q41" s="330"/>
      <c r="R41" s="219" t="str">
        <f t="shared" si="1"/>
        <v/>
      </c>
      <c r="S41" s="188"/>
    </row>
    <row r="42" spans="1:19" ht="18" customHeight="1">
      <c r="A42" s="245"/>
      <c r="B42" s="246"/>
      <c r="C42" s="188"/>
      <c r="D42" s="245"/>
      <c r="E42" s="247"/>
      <c r="F42" s="245"/>
      <c r="G42" s="188"/>
      <c r="H42" s="267"/>
      <c r="J42" s="188"/>
      <c r="M42" s="252"/>
      <c r="N42" s="217"/>
      <c r="O42" s="254"/>
      <c r="P42" s="266"/>
      <c r="Q42" s="271"/>
      <c r="R42" s="219" t="str">
        <f t="shared" si="1"/>
        <v/>
      </c>
      <c r="S42" s="188"/>
    </row>
    <row r="43" spans="1:19" ht="18" customHeight="1">
      <c r="A43" s="245">
        <v>38673</v>
      </c>
      <c r="B43" s="246">
        <v>71852</v>
      </c>
      <c r="C43" s="188" t="s">
        <v>41</v>
      </c>
      <c r="D43" s="245">
        <v>3</v>
      </c>
      <c r="E43" s="247" t="s">
        <v>285</v>
      </c>
      <c r="F43" s="245">
        <v>6</v>
      </c>
      <c r="G43" s="188" t="s">
        <v>286</v>
      </c>
      <c r="H43" s="267">
        <v>45656</v>
      </c>
      <c r="I43" s="217">
        <v>1</v>
      </c>
      <c r="J43" s="188" t="s">
        <v>287</v>
      </c>
      <c r="K43" s="250">
        <v>26451</v>
      </c>
      <c r="L43" s="368" t="s">
        <v>963</v>
      </c>
      <c r="M43" s="252"/>
      <c r="N43" s="217"/>
      <c r="O43" s="254"/>
      <c r="P43" s="266">
        <v>45869</v>
      </c>
      <c r="Q43" s="271"/>
      <c r="R43" s="219" t="str">
        <f t="shared" si="1"/>
        <v/>
      </c>
      <c r="S43" s="188"/>
    </row>
    <row r="44" spans="1:19" ht="18" customHeight="1">
      <c r="A44" s="245">
        <v>38673</v>
      </c>
      <c r="B44" s="246">
        <v>71853</v>
      </c>
      <c r="C44" s="188" t="s">
        <v>41</v>
      </c>
      <c r="D44" s="245">
        <v>2</v>
      </c>
      <c r="E44" s="288" t="s">
        <v>288</v>
      </c>
      <c r="F44" s="245">
        <v>3</v>
      </c>
      <c r="G44" s="188" t="s">
        <v>286</v>
      </c>
      <c r="H44" s="267">
        <v>45656</v>
      </c>
      <c r="I44" s="217">
        <v>2</v>
      </c>
      <c r="J44" s="188" t="s">
        <v>289</v>
      </c>
      <c r="K44" s="250">
        <v>26795</v>
      </c>
      <c r="L44" s="368" t="s">
        <v>963</v>
      </c>
      <c r="M44" s="252"/>
      <c r="N44" s="217"/>
      <c r="O44" s="254"/>
      <c r="P44" s="266">
        <v>45869</v>
      </c>
      <c r="Q44" s="271"/>
      <c r="R44" s="219" t="str">
        <f t="shared" si="1"/>
        <v/>
      </c>
      <c r="S44" s="188"/>
    </row>
    <row r="45" spans="1:19" ht="18" customHeight="1">
      <c r="A45" s="245"/>
      <c r="B45" s="246"/>
      <c r="C45" s="188"/>
      <c r="D45" s="245"/>
      <c r="E45" s="247"/>
      <c r="F45" s="245"/>
      <c r="G45" s="188"/>
      <c r="H45" s="267"/>
      <c r="J45" s="188"/>
      <c r="M45" s="252"/>
      <c r="N45" s="217"/>
      <c r="O45" s="254"/>
      <c r="P45" s="266"/>
      <c r="Q45" s="271"/>
      <c r="R45" s="219" t="str">
        <f t="shared" si="1"/>
        <v/>
      </c>
      <c r="S45" s="188"/>
    </row>
    <row r="46" spans="1:19" ht="18" customHeight="1">
      <c r="A46" s="320">
        <v>38740</v>
      </c>
      <c r="B46" s="321">
        <v>72023</v>
      </c>
      <c r="C46" s="322" t="s">
        <v>41</v>
      </c>
      <c r="D46" s="320">
        <v>2</v>
      </c>
      <c r="E46" s="323" t="s">
        <v>283</v>
      </c>
      <c r="F46" s="320">
        <v>0</v>
      </c>
      <c r="G46" s="331" t="s">
        <v>297</v>
      </c>
      <c r="H46" s="324">
        <v>45699</v>
      </c>
      <c r="I46" s="325">
        <v>1</v>
      </c>
      <c r="J46" s="322" t="s">
        <v>284</v>
      </c>
      <c r="K46" s="326">
        <v>141549.74</v>
      </c>
      <c r="L46" s="411" t="s">
        <v>964</v>
      </c>
      <c r="M46" s="327"/>
      <c r="N46" s="325"/>
      <c r="O46" s="328"/>
      <c r="P46" s="357">
        <v>45919</v>
      </c>
      <c r="Q46" s="271"/>
      <c r="R46" s="219" t="str">
        <f t="shared" si="1"/>
        <v/>
      </c>
      <c r="S46" s="188"/>
    </row>
    <row r="47" spans="1:19" ht="18" customHeight="1">
      <c r="A47" s="320">
        <v>38740</v>
      </c>
      <c r="B47" s="321">
        <v>72024</v>
      </c>
      <c r="C47" s="322" t="s">
        <v>41</v>
      </c>
      <c r="D47" s="320" t="s">
        <v>290</v>
      </c>
      <c r="E47" s="323" t="s">
        <v>291</v>
      </c>
      <c r="F47" s="320"/>
      <c r="G47" s="331" t="s">
        <v>297</v>
      </c>
      <c r="H47" s="324" t="s">
        <v>298</v>
      </c>
      <c r="I47" s="325">
        <v>2</v>
      </c>
      <c r="J47" s="322" t="s">
        <v>294</v>
      </c>
      <c r="K47" s="326" t="s">
        <v>295</v>
      </c>
      <c r="L47" s="411" t="s">
        <v>964</v>
      </c>
      <c r="M47" s="327"/>
      <c r="N47" s="325"/>
      <c r="O47" s="328"/>
      <c r="P47" s="357">
        <v>45919</v>
      </c>
      <c r="Q47" s="271"/>
      <c r="R47" s="219" t="str">
        <f t="shared" si="1"/>
        <v/>
      </c>
      <c r="S47" s="188"/>
    </row>
    <row r="48" spans="1:19" ht="18" customHeight="1">
      <c r="A48" s="320">
        <v>38740</v>
      </c>
      <c r="B48" s="348">
        <v>72331</v>
      </c>
      <c r="C48" s="322" t="s">
        <v>41</v>
      </c>
      <c r="D48" s="352" t="s">
        <v>380</v>
      </c>
      <c r="E48" s="323" t="s">
        <v>346</v>
      </c>
      <c r="F48" s="320"/>
      <c r="G48" s="350" t="s">
        <v>292</v>
      </c>
      <c r="H48" s="324">
        <v>45771</v>
      </c>
      <c r="I48" s="325">
        <v>5</v>
      </c>
      <c r="J48" s="322" t="s">
        <v>347</v>
      </c>
      <c r="K48" s="326">
        <v>1950</v>
      </c>
      <c r="L48" s="411" t="s">
        <v>964</v>
      </c>
      <c r="M48" s="313"/>
      <c r="N48" s="308"/>
      <c r="O48" s="314"/>
      <c r="P48" s="357">
        <v>45919</v>
      </c>
      <c r="Q48" s="271"/>
      <c r="R48" s="219" t="str">
        <f t="shared" si="1"/>
        <v/>
      </c>
      <c r="S48" s="188"/>
    </row>
    <row r="49" spans="1:19" ht="18" customHeight="1">
      <c r="A49" s="245"/>
      <c r="B49" s="246"/>
      <c r="C49" s="188"/>
      <c r="D49" s="245"/>
      <c r="E49" s="247"/>
      <c r="F49" s="245"/>
      <c r="G49" s="188"/>
      <c r="H49" s="267"/>
      <c r="J49" s="188"/>
      <c r="M49" s="252"/>
      <c r="N49" s="217"/>
      <c r="O49" s="254"/>
      <c r="P49" s="266"/>
      <c r="Q49" s="271"/>
      <c r="R49" s="219" t="str">
        <f t="shared" si="1"/>
        <v/>
      </c>
      <c r="S49" s="188"/>
    </row>
    <row r="50" spans="1:19" ht="18" customHeight="1">
      <c r="A50" s="245">
        <v>38744</v>
      </c>
      <c r="B50" s="246">
        <v>72028</v>
      </c>
      <c r="C50" s="188" t="s">
        <v>0</v>
      </c>
      <c r="D50" s="245">
        <v>1</v>
      </c>
      <c r="E50" s="247" t="s">
        <v>296</v>
      </c>
      <c r="F50" s="245"/>
      <c r="G50" s="188" t="s">
        <v>299</v>
      </c>
      <c r="H50" s="267">
        <v>45703</v>
      </c>
      <c r="I50" s="217">
        <v>1</v>
      </c>
      <c r="J50" s="188" t="s">
        <v>300</v>
      </c>
      <c r="L50" s="217" t="s">
        <v>301</v>
      </c>
      <c r="M50" s="252"/>
      <c r="N50" s="217"/>
      <c r="O50" s="254"/>
      <c r="P50" s="266">
        <v>45709</v>
      </c>
      <c r="Q50" s="271"/>
      <c r="R50" s="219" t="str">
        <f t="shared" si="1"/>
        <v/>
      </c>
      <c r="S50" s="188"/>
    </row>
    <row r="51" spans="1:19" ht="18" customHeight="1">
      <c r="A51" s="245"/>
      <c r="B51" s="246"/>
      <c r="C51" s="188"/>
      <c r="D51" s="245"/>
      <c r="E51" s="247"/>
      <c r="F51" s="245"/>
      <c r="G51" s="188"/>
      <c r="H51" s="267"/>
      <c r="J51" s="188"/>
      <c r="M51" s="252"/>
      <c r="N51" s="217"/>
      <c r="O51" s="254"/>
      <c r="P51" s="266"/>
      <c r="Q51" s="271"/>
      <c r="R51" s="219" t="str">
        <f t="shared" si="1"/>
        <v/>
      </c>
      <c r="S51" s="188"/>
    </row>
    <row r="52" spans="1:19" ht="18" customHeight="1">
      <c r="A52" s="303">
        <v>38758</v>
      </c>
      <c r="B52" s="304">
        <v>72083</v>
      </c>
      <c r="C52" s="305" t="s">
        <v>41</v>
      </c>
      <c r="D52" s="303">
        <v>3</v>
      </c>
      <c r="E52" s="306" t="s">
        <v>302</v>
      </c>
      <c r="F52" s="303">
        <v>2</v>
      </c>
      <c r="G52" s="332" t="s">
        <v>303</v>
      </c>
      <c r="H52" s="307">
        <v>45709</v>
      </c>
      <c r="I52" s="308">
        <v>1</v>
      </c>
      <c r="J52" s="305" t="s">
        <v>304</v>
      </c>
      <c r="K52" s="309">
        <v>52899.78</v>
      </c>
      <c r="L52" s="351" t="s">
        <v>730</v>
      </c>
      <c r="M52" s="313"/>
      <c r="N52" s="308"/>
      <c r="O52" s="314"/>
      <c r="P52" s="315">
        <v>45859</v>
      </c>
      <c r="Q52" s="271"/>
      <c r="R52" s="219" t="str">
        <f t="shared" si="1"/>
        <v/>
      </c>
      <c r="S52" s="188"/>
    </row>
    <row r="53" spans="1:19" ht="18" customHeight="1">
      <c r="A53" s="303">
        <v>38758</v>
      </c>
      <c r="B53" s="304">
        <v>72084</v>
      </c>
      <c r="C53" s="305" t="s">
        <v>41</v>
      </c>
      <c r="D53" s="303">
        <v>4</v>
      </c>
      <c r="E53" s="306" t="s">
        <v>305</v>
      </c>
      <c r="F53" s="303">
        <v>1</v>
      </c>
      <c r="G53" s="332" t="s">
        <v>303</v>
      </c>
      <c r="H53" s="307">
        <v>45709</v>
      </c>
      <c r="I53" s="308">
        <v>2</v>
      </c>
      <c r="J53" s="305" t="s">
        <v>306</v>
      </c>
      <c r="K53" s="385" t="s">
        <v>719</v>
      </c>
      <c r="L53" s="351" t="s">
        <v>730</v>
      </c>
      <c r="M53" s="313"/>
      <c r="N53" s="308"/>
      <c r="O53" s="314"/>
      <c r="P53" s="386">
        <v>46042</v>
      </c>
      <c r="Q53" s="271"/>
      <c r="R53" s="219" t="str">
        <f t="shared" si="1"/>
        <v/>
      </c>
      <c r="S53" s="188"/>
    </row>
    <row r="54" spans="1:19" ht="18" customHeight="1">
      <c r="A54" s="303">
        <v>38758</v>
      </c>
      <c r="B54" s="348">
        <v>72278</v>
      </c>
      <c r="C54" s="305" t="s">
        <v>41</v>
      </c>
      <c r="D54" s="303">
        <v>2</v>
      </c>
      <c r="E54" s="306" t="s">
        <v>334</v>
      </c>
      <c r="F54" s="303"/>
      <c r="G54" s="332" t="s">
        <v>228</v>
      </c>
      <c r="H54" s="307">
        <v>45747</v>
      </c>
      <c r="I54" s="308">
        <v>4</v>
      </c>
      <c r="J54" s="305" t="s">
        <v>335</v>
      </c>
      <c r="K54" s="309">
        <v>5218</v>
      </c>
      <c r="L54" s="351" t="s">
        <v>730</v>
      </c>
      <c r="M54" s="313"/>
      <c r="N54" s="308"/>
      <c r="O54" s="314"/>
      <c r="P54" s="315">
        <v>45859</v>
      </c>
      <c r="Q54" s="271"/>
      <c r="R54" s="219" t="str">
        <f t="shared" si="1"/>
        <v/>
      </c>
      <c r="S54" s="188"/>
    </row>
    <row r="55" spans="1:19" ht="18" customHeight="1">
      <c r="A55" s="245"/>
      <c r="B55" s="246"/>
      <c r="C55" s="188"/>
      <c r="D55" s="245"/>
      <c r="E55" s="247"/>
      <c r="F55" s="245"/>
      <c r="G55" s="285"/>
      <c r="H55" s="267"/>
      <c r="J55" s="188"/>
      <c r="M55" s="252"/>
      <c r="N55" s="217"/>
      <c r="O55" s="254"/>
      <c r="P55" s="266"/>
      <c r="Q55" s="271"/>
      <c r="R55" s="219" t="str">
        <f t="shared" si="1"/>
        <v/>
      </c>
      <c r="S55" s="188"/>
    </row>
    <row r="56" spans="1:19" ht="18" customHeight="1">
      <c r="A56" s="303">
        <v>38759</v>
      </c>
      <c r="B56" s="304">
        <v>72085</v>
      </c>
      <c r="C56" s="305" t="s">
        <v>41</v>
      </c>
      <c r="D56" s="303">
        <v>3</v>
      </c>
      <c r="E56" s="306" t="s">
        <v>302</v>
      </c>
      <c r="F56" s="303">
        <v>2</v>
      </c>
      <c r="G56" s="332" t="s">
        <v>303</v>
      </c>
      <c r="H56" s="307">
        <v>45709</v>
      </c>
      <c r="I56" s="308">
        <v>1</v>
      </c>
      <c r="J56" s="305" t="s">
        <v>304</v>
      </c>
      <c r="K56" s="309">
        <v>52899.78</v>
      </c>
      <c r="L56" s="356" t="s">
        <v>965</v>
      </c>
      <c r="M56" s="313"/>
      <c r="N56" s="308"/>
      <c r="O56" s="314"/>
      <c r="P56" s="315">
        <v>45859</v>
      </c>
      <c r="Q56" s="271"/>
      <c r="R56" s="219" t="str">
        <f t="shared" si="1"/>
        <v/>
      </c>
      <c r="S56" s="188"/>
    </row>
    <row r="57" spans="1:19" ht="18" customHeight="1">
      <c r="A57" s="303">
        <v>38759</v>
      </c>
      <c r="B57" s="304">
        <v>72086</v>
      </c>
      <c r="C57" s="305" t="s">
        <v>41</v>
      </c>
      <c r="D57" s="303">
        <v>6</v>
      </c>
      <c r="E57" s="306" t="s">
        <v>305</v>
      </c>
      <c r="F57" s="303">
        <v>1</v>
      </c>
      <c r="G57" s="332" t="s">
        <v>303</v>
      </c>
      <c r="H57" s="307">
        <v>45709</v>
      </c>
      <c r="I57" s="308">
        <v>2</v>
      </c>
      <c r="J57" s="305" t="s">
        <v>306</v>
      </c>
      <c r="K57" s="385" t="s">
        <v>720</v>
      </c>
      <c r="L57" s="356" t="s">
        <v>965</v>
      </c>
      <c r="M57" s="313"/>
      <c r="N57" s="308"/>
      <c r="O57" s="314"/>
      <c r="P57" s="315">
        <v>45859</v>
      </c>
      <c r="Q57" s="271"/>
      <c r="R57" s="219" t="str">
        <f t="shared" si="1"/>
        <v/>
      </c>
      <c r="S57" s="188"/>
    </row>
    <row r="58" spans="1:19" ht="18" customHeight="1">
      <c r="A58" s="303">
        <v>38759</v>
      </c>
      <c r="B58" s="297">
        <v>72279</v>
      </c>
      <c r="C58" s="305" t="s">
        <v>41</v>
      </c>
      <c r="D58" s="303">
        <v>2</v>
      </c>
      <c r="E58" s="306" t="s">
        <v>334</v>
      </c>
      <c r="F58" s="303"/>
      <c r="G58" s="332" t="s">
        <v>228</v>
      </c>
      <c r="H58" s="307">
        <v>45747</v>
      </c>
      <c r="I58" s="308">
        <v>4</v>
      </c>
      <c r="J58" s="305" t="s">
        <v>335</v>
      </c>
      <c r="K58" s="309">
        <v>5218</v>
      </c>
      <c r="L58" s="356" t="s">
        <v>965</v>
      </c>
      <c r="M58" s="313"/>
      <c r="N58" s="308"/>
      <c r="O58" s="314"/>
      <c r="P58" s="315">
        <v>45859</v>
      </c>
      <c r="Q58" s="271"/>
      <c r="R58" s="219" t="str">
        <f t="shared" si="1"/>
        <v/>
      </c>
      <c r="S58" s="188"/>
    </row>
    <row r="59" spans="1:19" ht="18" customHeight="1">
      <c r="A59" s="303">
        <v>38759</v>
      </c>
      <c r="B59" s="354">
        <v>72459</v>
      </c>
      <c r="C59" s="305" t="s">
        <v>41</v>
      </c>
      <c r="D59" s="303">
        <v>2</v>
      </c>
      <c r="E59" s="355" t="s">
        <v>382</v>
      </c>
      <c r="F59" s="303"/>
      <c r="G59" s="332" t="s">
        <v>228</v>
      </c>
      <c r="H59" s="307">
        <v>45819</v>
      </c>
      <c r="I59" s="308">
        <v>5</v>
      </c>
      <c r="J59" s="305" t="s">
        <v>384</v>
      </c>
      <c r="K59" s="309">
        <v>8656</v>
      </c>
      <c r="L59" s="356" t="s">
        <v>386</v>
      </c>
      <c r="M59" s="313"/>
      <c r="N59" s="308"/>
      <c r="O59" s="314"/>
      <c r="P59" s="315">
        <v>45896</v>
      </c>
      <c r="Q59" s="271"/>
      <c r="R59" s="219" t="str">
        <f t="shared" si="1"/>
        <v/>
      </c>
      <c r="S59" s="188"/>
    </row>
    <row r="60" spans="1:19" ht="18" customHeight="1">
      <c r="A60" s="303">
        <v>38759</v>
      </c>
      <c r="B60" s="354">
        <v>72460</v>
      </c>
      <c r="C60" s="305" t="s">
        <v>41</v>
      </c>
      <c r="D60" s="303">
        <v>2</v>
      </c>
      <c r="E60" s="355" t="s">
        <v>383</v>
      </c>
      <c r="F60" s="303"/>
      <c r="G60" s="332" t="s">
        <v>228</v>
      </c>
      <c r="H60" s="307">
        <v>45819</v>
      </c>
      <c r="I60" s="308">
        <v>6</v>
      </c>
      <c r="J60" s="305" t="s">
        <v>385</v>
      </c>
      <c r="K60" s="309">
        <v>9903</v>
      </c>
      <c r="L60" s="356" t="s">
        <v>386</v>
      </c>
      <c r="M60" s="313"/>
      <c r="N60" s="308"/>
      <c r="O60" s="314"/>
      <c r="P60" s="315">
        <v>45896</v>
      </c>
      <c r="Q60" s="271"/>
      <c r="R60" s="219" t="str">
        <f t="shared" si="1"/>
        <v/>
      </c>
      <c r="S60" s="188"/>
    </row>
    <row r="61" spans="1:19" ht="18" customHeight="1">
      <c r="A61" s="245"/>
      <c r="B61" s="246"/>
      <c r="C61" s="188"/>
      <c r="D61" s="245"/>
      <c r="E61" s="247"/>
      <c r="F61" s="245"/>
      <c r="G61" s="188"/>
      <c r="H61" s="267"/>
      <c r="J61" s="188"/>
      <c r="M61" s="252"/>
      <c r="N61" s="217"/>
      <c r="O61" s="254"/>
      <c r="P61" s="266"/>
      <c r="Q61" s="271"/>
      <c r="R61" s="219" t="str">
        <f t="shared" si="1"/>
        <v/>
      </c>
      <c r="S61" s="188"/>
    </row>
    <row r="62" spans="1:19" ht="18" customHeight="1">
      <c r="A62" s="333" t="s">
        <v>307</v>
      </c>
      <c r="B62" s="246">
        <v>72113</v>
      </c>
      <c r="C62" s="188" t="s">
        <v>308</v>
      </c>
      <c r="D62" s="245">
        <v>1</v>
      </c>
      <c r="E62" s="247" t="s">
        <v>309</v>
      </c>
      <c r="F62" s="245"/>
      <c r="G62" s="188" t="s">
        <v>310</v>
      </c>
      <c r="H62" s="267">
        <v>45712</v>
      </c>
      <c r="I62" s="217">
        <v>1</v>
      </c>
      <c r="J62" s="188" t="s">
        <v>311</v>
      </c>
      <c r="L62" s="217" t="s">
        <v>312</v>
      </c>
      <c r="M62" s="252"/>
      <c r="N62" s="217"/>
      <c r="O62" s="254"/>
      <c r="P62" s="266">
        <v>45713</v>
      </c>
      <c r="Q62" s="271"/>
      <c r="R62" s="219" t="str">
        <f t="shared" si="1"/>
        <v/>
      </c>
      <c r="S62" s="188"/>
    </row>
    <row r="63" spans="1:19" ht="18" customHeight="1">
      <c r="A63" s="333" t="s">
        <v>307</v>
      </c>
      <c r="B63" s="246">
        <v>72113</v>
      </c>
      <c r="C63" s="188" t="s">
        <v>308</v>
      </c>
      <c r="D63" s="245">
        <v>1</v>
      </c>
      <c r="E63" s="247" t="s">
        <v>309</v>
      </c>
      <c r="F63" s="245"/>
      <c r="G63" s="188" t="s">
        <v>310</v>
      </c>
      <c r="H63" s="267">
        <v>45779</v>
      </c>
      <c r="I63" s="217">
        <v>2</v>
      </c>
      <c r="J63" s="188" t="s">
        <v>355</v>
      </c>
      <c r="L63" s="217" t="s">
        <v>312</v>
      </c>
      <c r="M63" s="252"/>
      <c r="N63" s="217"/>
      <c r="O63" s="254"/>
      <c r="P63" s="266">
        <v>45786</v>
      </c>
      <c r="Q63" s="271"/>
      <c r="R63" s="219" t="str">
        <f t="shared" si="1"/>
        <v/>
      </c>
      <c r="S63" s="188"/>
    </row>
    <row r="64" spans="1:19" ht="18" customHeight="1">
      <c r="A64" s="333" t="s">
        <v>307</v>
      </c>
      <c r="B64" s="246">
        <v>72113</v>
      </c>
      <c r="C64" s="188" t="s">
        <v>308</v>
      </c>
      <c r="D64" s="245">
        <v>1</v>
      </c>
      <c r="E64" s="247" t="s">
        <v>309</v>
      </c>
      <c r="F64" s="245"/>
      <c r="G64" s="188" t="s">
        <v>310</v>
      </c>
      <c r="H64" s="267">
        <v>45780</v>
      </c>
      <c r="I64" s="217">
        <v>3</v>
      </c>
      <c r="J64" s="188" t="s">
        <v>356</v>
      </c>
      <c r="L64" s="217" t="s">
        <v>312</v>
      </c>
      <c r="M64" s="252"/>
      <c r="N64" s="217"/>
      <c r="O64" s="254"/>
      <c r="P64" s="266">
        <v>45786</v>
      </c>
      <c r="Q64" s="271"/>
      <c r="R64" s="219" t="str">
        <f t="shared" si="1"/>
        <v/>
      </c>
      <c r="S64" s="188"/>
    </row>
    <row r="65" spans="1:19" ht="18" customHeight="1">
      <c r="A65" s="333" t="s">
        <v>307</v>
      </c>
      <c r="B65" s="246">
        <v>72113</v>
      </c>
      <c r="C65" s="188" t="s">
        <v>308</v>
      </c>
      <c r="D65" s="245">
        <v>1</v>
      </c>
      <c r="E65" s="247" t="s">
        <v>309</v>
      </c>
      <c r="F65" s="245"/>
      <c r="G65" s="188" t="s">
        <v>310</v>
      </c>
      <c r="H65" s="267">
        <v>45781</v>
      </c>
      <c r="I65" s="217">
        <v>4</v>
      </c>
      <c r="J65" s="188" t="s">
        <v>357</v>
      </c>
      <c r="L65" s="217" t="s">
        <v>312</v>
      </c>
      <c r="M65" s="252"/>
      <c r="N65" s="217"/>
      <c r="O65" s="254"/>
      <c r="P65" s="266">
        <v>45786</v>
      </c>
      <c r="Q65" s="271"/>
      <c r="R65" s="219" t="str">
        <f t="shared" si="1"/>
        <v/>
      </c>
      <c r="S65" s="188"/>
    </row>
    <row r="66" spans="1:19" ht="18" customHeight="1">
      <c r="A66" s="333" t="s">
        <v>307</v>
      </c>
      <c r="B66" s="246">
        <v>72113</v>
      </c>
      <c r="C66" s="188" t="s">
        <v>308</v>
      </c>
      <c r="D66" s="245">
        <v>1</v>
      </c>
      <c r="E66" s="247" t="s">
        <v>309</v>
      </c>
      <c r="F66" s="245"/>
      <c r="G66" s="188" t="s">
        <v>310</v>
      </c>
      <c r="H66" s="267">
        <v>45782</v>
      </c>
      <c r="I66" s="217">
        <v>5</v>
      </c>
      <c r="J66" s="188" t="s">
        <v>358</v>
      </c>
      <c r="L66" s="217" t="s">
        <v>312</v>
      </c>
      <c r="M66" s="252"/>
      <c r="N66" s="217"/>
      <c r="O66" s="254"/>
      <c r="P66" s="266">
        <v>45786</v>
      </c>
      <c r="Q66" s="271"/>
      <c r="R66" s="219" t="str">
        <f t="shared" si="1"/>
        <v/>
      </c>
      <c r="S66" s="188"/>
    </row>
    <row r="67" spans="1:19" ht="18" customHeight="1">
      <c r="A67" s="333" t="s">
        <v>307</v>
      </c>
      <c r="B67" s="246">
        <v>72113</v>
      </c>
      <c r="C67" s="188" t="s">
        <v>308</v>
      </c>
      <c r="D67" s="245">
        <v>1</v>
      </c>
      <c r="E67" s="247" t="s">
        <v>359</v>
      </c>
      <c r="F67" s="245"/>
      <c r="G67" s="188" t="s">
        <v>310</v>
      </c>
      <c r="H67" s="267">
        <v>45783</v>
      </c>
      <c r="I67" s="217">
        <v>6</v>
      </c>
      <c r="J67" s="188" t="s">
        <v>360</v>
      </c>
      <c r="L67" s="217" t="s">
        <v>312</v>
      </c>
      <c r="M67" s="252"/>
      <c r="N67" s="217"/>
      <c r="O67" s="254"/>
      <c r="P67" s="266">
        <v>45786</v>
      </c>
      <c r="Q67" s="271"/>
      <c r="R67" s="219" t="str">
        <f t="shared" si="1"/>
        <v/>
      </c>
      <c r="S67" s="188"/>
    </row>
    <row r="68" spans="1:19" ht="18" customHeight="1">
      <c r="A68" s="245"/>
      <c r="B68" s="246"/>
      <c r="C68" s="188"/>
      <c r="D68" s="245"/>
      <c r="E68" s="247"/>
      <c r="F68" s="245"/>
      <c r="G68" s="188"/>
      <c r="H68" s="267"/>
      <c r="J68" s="188"/>
      <c r="M68" s="252"/>
      <c r="N68" s="217"/>
      <c r="O68" s="254"/>
      <c r="P68" s="266"/>
      <c r="Q68" s="271"/>
      <c r="R68" s="219" t="str">
        <f t="shared" ref="R68:R99" si="2">IF(SUM(Q68)&gt;0,SUM(Q68-P68),"")</f>
        <v/>
      </c>
      <c r="S68" s="188"/>
    </row>
    <row r="69" spans="1:19" ht="18" customHeight="1">
      <c r="A69" s="334">
        <v>38785</v>
      </c>
      <c r="B69" s="335">
        <v>72139</v>
      </c>
      <c r="C69" s="336" t="s">
        <v>41</v>
      </c>
      <c r="D69" s="334">
        <v>1</v>
      </c>
      <c r="E69" s="337" t="s">
        <v>313</v>
      </c>
      <c r="F69" s="334"/>
      <c r="G69" s="347" t="s">
        <v>303</v>
      </c>
      <c r="H69" s="338">
        <v>45720</v>
      </c>
      <c r="I69" s="339">
        <v>1</v>
      </c>
      <c r="J69" s="336" t="s">
        <v>322</v>
      </c>
      <c r="K69" s="340">
        <v>39444.42</v>
      </c>
      <c r="L69" s="387" t="s">
        <v>732</v>
      </c>
      <c r="M69" s="342"/>
      <c r="N69" s="339"/>
      <c r="O69" s="343"/>
      <c r="P69" s="344">
        <v>45985</v>
      </c>
      <c r="Q69" s="345"/>
      <c r="R69" s="219" t="str">
        <f t="shared" si="2"/>
        <v/>
      </c>
      <c r="S69" s="188"/>
    </row>
    <row r="70" spans="1:19" ht="18" customHeight="1">
      <c r="A70" s="334">
        <v>38785</v>
      </c>
      <c r="B70" s="335">
        <v>72140</v>
      </c>
      <c r="C70" s="336" t="s">
        <v>41</v>
      </c>
      <c r="D70" s="334">
        <v>1</v>
      </c>
      <c r="E70" s="337" t="s">
        <v>314</v>
      </c>
      <c r="F70" s="334"/>
      <c r="G70" s="347" t="s">
        <v>303</v>
      </c>
      <c r="H70" s="338">
        <v>45720</v>
      </c>
      <c r="I70" s="339">
        <v>2</v>
      </c>
      <c r="J70" s="336" t="s">
        <v>323</v>
      </c>
      <c r="K70" s="340">
        <v>38305.699999999997</v>
      </c>
      <c r="L70" s="387" t="s">
        <v>732</v>
      </c>
      <c r="M70" s="342"/>
      <c r="N70" s="339"/>
      <c r="O70" s="343"/>
      <c r="P70" s="344">
        <v>45985</v>
      </c>
      <c r="Q70" s="345"/>
      <c r="R70" s="219" t="str">
        <f t="shared" si="2"/>
        <v/>
      </c>
      <c r="S70" s="188"/>
    </row>
    <row r="71" spans="1:19" ht="18" customHeight="1">
      <c r="A71" s="334">
        <v>38785</v>
      </c>
      <c r="B71" s="335">
        <v>72141</v>
      </c>
      <c r="C71" s="336" t="s">
        <v>41</v>
      </c>
      <c r="D71" s="334">
        <v>1</v>
      </c>
      <c r="E71" s="337" t="s">
        <v>315</v>
      </c>
      <c r="F71" s="334"/>
      <c r="G71" s="347" t="s">
        <v>303</v>
      </c>
      <c r="H71" s="338">
        <v>45720</v>
      </c>
      <c r="I71" s="339">
        <v>3</v>
      </c>
      <c r="J71" s="336" t="s">
        <v>324</v>
      </c>
      <c r="K71" s="340">
        <v>39684.129999999997</v>
      </c>
      <c r="L71" s="387" t="s">
        <v>732</v>
      </c>
      <c r="M71" s="342"/>
      <c r="N71" s="339"/>
      <c r="O71" s="343"/>
      <c r="P71" s="344">
        <v>45985</v>
      </c>
      <c r="Q71" s="345"/>
      <c r="R71" s="219" t="str">
        <f t="shared" si="2"/>
        <v/>
      </c>
      <c r="S71" s="188"/>
    </row>
    <row r="72" spans="1:19" ht="18" customHeight="1">
      <c r="A72" s="334">
        <v>38785</v>
      </c>
      <c r="B72" s="335">
        <v>72142</v>
      </c>
      <c r="C72" s="336" t="s">
        <v>41</v>
      </c>
      <c r="D72" s="334">
        <v>1</v>
      </c>
      <c r="E72" s="337" t="s">
        <v>316</v>
      </c>
      <c r="F72" s="334"/>
      <c r="G72" s="347" t="s">
        <v>303</v>
      </c>
      <c r="H72" s="338">
        <v>45720</v>
      </c>
      <c r="I72" s="339">
        <v>4</v>
      </c>
      <c r="J72" s="336" t="s">
        <v>325</v>
      </c>
      <c r="K72" s="340">
        <v>39684.129999999997</v>
      </c>
      <c r="L72" s="387" t="s">
        <v>732</v>
      </c>
      <c r="M72" s="342"/>
      <c r="N72" s="339"/>
      <c r="O72" s="343"/>
      <c r="P72" s="344">
        <v>45985</v>
      </c>
      <c r="Q72" s="345"/>
      <c r="R72" s="219" t="str">
        <f t="shared" si="2"/>
        <v/>
      </c>
      <c r="S72" s="188"/>
    </row>
    <row r="73" spans="1:19" ht="18" customHeight="1">
      <c r="A73" s="334">
        <v>38785</v>
      </c>
      <c r="B73" s="335">
        <v>72143</v>
      </c>
      <c r="C73" s="336" t="s">
        <v>41</v>
      </c>
      <c r="D73" s="334">
        <v>1</v>
      </c>
      <c r="E73" s="337" t="s">
        <v>317</v>
      </c>
      <c r="F73" s="334"/>
      <c r="G73" s="347" t="s">
        <v>303</v>
      </c>
      <c r="H73" s="338">
        <v>45720</v>
      </c>
      <c r="I73" s="339">
        <v>5</v>
      </c>
      <c r="J73" s="336" t="s">
        <v>326</v>
      </c>
      <c r="K73" s="340">
        <v>16803.5</v>
      </c>
      <c r="L73" s="387" t="s">
        <v>732</v>
      </c>
      <c r="M73" s="342"/>
      <c r="N73" s="339"/>
      <c r="O73" s="343"/>
      <c r="P73" s="344">
        <v>45985</v>
      </c>
      <c r="Q73" s="345"/>
      <c r="R73" s="219" t="str">
        <f t="shared" si="2"/>
        <v/>
      </c>
      <c r="S73" s="188"/>
    </row>
    <row r="74" spans="1:19" ht="18" customHeight="1">
      <c r="A74" s="334">
        <v>38785</v>
      </c>
      <c r="B74" s="335">
        <v>72144</v>
      </c>
      <c r="C74" s="336" t="s">
        <v>41</v>
      </c>
      <c r="D74" s="334">
        <v>1</v>
      </c>
      <c r="E74" s="337" t="s">
        <v>318</v>
      </c>
      <c r="F74" s="334"/>
      <c r="G74" s="347" t="s">
        <v>303</v>
      </c>
      <c r="H74" s="338">
        <v>45720</v>
      </c>
      <c r="I74" s="339">
        <v>6</v>
      </c>
      <c r="J74" s="336" t="s">
        <v>327</v>
      </c>
      <c r="K74" s="340">
        <v>17217.82</v>
      </c>
      <c r="L74" s="387" t="s">
        <v>732</v>
      </c>
      <c r="M74" s="342"/>
      <c r="N74" s="339"/>
      <c r="O74" s="343"/>
      <c r="P74" s="344">
        <v>45985</v>
      </c>
      <c r="Q74" s="345"/>
      <c r="R74" s="219" t="str">
        <f t="shared" si="2"/>
        <v/>
      </c>
      <c r="S74" s="188"/>
    </row>
    <row r="75" spans="1:19" ht="18" customHeight="1">
      <c r="A75" s="334">
        <v>38785</v>
      </c>
      <c r="B75" s="335">
        <v>72145</v>
      </c>
      <c r="C75" s="336" t="s">
        <v>41</v>
      </c>
      <c r="D75" s="334">
        <v>1</v>
      </c>
      <c r="E75" s="337" t="s">
        <v>319</v>
      </c>
      <c r="F75" s="334"/>
      <c r="G75" s="347" t="s">
        <v>303</v>
      </c>
      <c r="H75" s="338">
        <v>45720</v>
      </c>
      <c r="I75" s="339">
        <v>7</v>
      </c>
      <c r="J75" s="336" t="s">
        <v>328</v>
      </c>
      <c r="K75" s="340">
        <v>17288.48</v>
      </c>
      <c r="L75" s="387" t="s">
        <v>732</v>
      </c>
      <c r="M75" s="342"/>
      <c r="N75" s="339"/>
      <c r="O75" s="343"/>
      <c r="P75" s="344">
        <v>45985</v>
      </c>
      <c r="Q75" s="345"/>
      <c r="R75" s="219" t="str">
        <f t="shared" si="2"/>
        <v/>
      </c>
      <c r="S75" s="188"/>
    </row>
    <row r="76" spans="1:19" ht="18" customHeight="1">
      <c r="A76" s="334">
        <v>38785</v>
      </c>
      <c r="B76" s="335">
        <v>72146</v>
      </c>
      <c r="C76" s="336" t="s">
        <v>41</v>
      </c>
      <c r="D76" s="334">
        <v>1</v>
      </c>
      <c r="E76" s="337" t="s">
        <v>320</v>
      </c>
      <c r="F76" s="334"/>
      <c r="G76" s="347" t="s">
        <v>303</v>
      </c>
      <c r="H76" s="338">
        <v>45720</v>
      </c>
      <c r="I76" s="339">
        <v>8</v>
      </c>
      <c r="J76" s="336" t="s">
        <v>329</v>
      </c>
      <c r="K76" s="340">
        <v>15059.18</v>
      </c>
      <c r="L76" s="387" t="s">
        <v>732</v>
      </c>
      <c r="M76" s="342"/>
      <c r="N76" s="339"/>
      <c r="O76" s="343"/>
      <c r="P76" s="344">
        <v>45985</v>
      </c>
      <c r="Q76" s="345"/>
      <c r="R76" s="219" t="str">
        <f t="shared" si="2"/>
        <v/>
      </c>
      <c r="S76" s="188"/>
    </row>
    <row r="77" spans="1:19" ht="18" customHeight="1">
      <c r="A77" s="334">
        <v>38785</v>
      </c>
      <c r="B77" s="335">
        <v>72147</v>
      </c>
      <c r="C77" s="336" t="s">
        <v>41</v>
      </c>
      <c r="D77" s="334">
        <v>2</v>
      </c>
      <c r="E77" s="337" t="s">
        <v>321</v>
      </c>
      <c r="F77" s="334"/>
      <c r="G77" s="347" t="s">
        <v>303</v>
      </c>
      <c r="H77" s="338">
        <v>45720</v>
      </c>
      <c r="I77" s="339">
        <v>9</v>
      </c>
      <c r="J77" s="336" t="s">
        <v>330</v>
      </c>
      <c r="K77" s="340">
        <v>84206.32</v>
      </c>
      <c r="L77" s="387" t="s">
        <v>732</v>
      </c>
      <c r="M77" s="342"/>
      <c r="N77" s="339"/>
      <c r="O77" s="343"/>
      <c r="P77" s="344">
        <v>45985</v>
      </c>
      <c r="Q77" s="345"/>
      <c r="R77" s="219" t="str">
        <f t="shared" si="2"/>
        <v/>
      </c>
      <c r="S77" s="188"/>
    </row>
    <row r="78" spans="1:19" ht="18" customHeight="1">
      <c r="A78" s="245"/>
      <c r="B78" s="246"/>
      <c r="C78" s="188"/>
      <c r="D78" s="245"/>
      <c r="E78" s="247"/>
      <c r="F78" s="245"/>
      <c r="G78" s="188"/>
      <c r="H78" s="267"/>
      <c r="J78" s="188"/>
      <c r="M78" s="252"/>
      <c r="N78" s="217"/>
      <c r="O78" s="254"/>
      <c r="P78" s="266"/>
      <c r="Q78" s="271"/>
      <c r="R78" s="219" t="str">
        <f t="shared" si="2"/>
        <v/>
      </c>
      <c r="S78" s="188"/>
    </row>
    <row r="79" spans="1:19" ht="18" customHeight="1">
      <c r="A79" s="334">
        <v>38804</v>
      </c>
      <c r="B79" s="335">
        <v>72234</v>
      </c>
      <c r="C79" s="336" t="s">
        <v>41</v>
      </c>
      <c r="D79" s="334">
        <v>1</v>
      </c>
      <c r="E79" s="337" t="s">
        <v>313</v>
      </c>
      <c r="F79" s="334"/>
      <c r="G79" s="347" t="s">
        <v>303</v>
      </c>
      <c r="H79" s="338">
        <v>45736</v>
      </c>
      <c r="I79" s="339">
        <v>1</v>
      </c>
      <c r="J79" s="336" t="s">
        <v>322</v>
      </c>
      <c r="K79" s="340">
        <v>39444.42</v>
      </c>
      <c r="L79" s="341" t="s">
        <v>331</v>
      </c>
      <c r="M79" s="342"/>
      <c r="N79" s="339"/>
      <c r="O79" s="343"/>
      <c r="P79" s="346">
        <v>45985</v>
      </c>
      <c r="Q79" s="345"/>
      <c r="R79" s="219" t="str">
        <f t="shared" si="2"/>
        <v/>
      </c>
      <c r="S79" s="188"/>
    </row>
    <row r="80" spans="1:19" ht="18" customHeight="1">
      <c r="A80" s="334">
        <v>38804</v>
      </c>
      <c r="B80" s="335">
        <v>72235</v>
      </c>
      <c r="C80" s="336" t="s">
        <v>41</v>
      </c>
      <c r="D80" s="334">
        <v>1</v>
      </c>
      <c r="E80" s="337" t="s">
        <v>314</v>
      </c>
      <c r="F80" s="334"/>
      <c r="G80" s="347" t="s">
        <v>303</v>
      </c>
      <c r="H80" s="338">
        <v>45736</v>
      </c>
      <c r="I80" s="339">
        <v>2</v>
      </c>
      <c r="J80" s="336" t="s">
        <v>323</v>
      </c>
      <c r="K80" s="340">
        <v>38305.699999999997</v>
      </c>
      <c r="L80" s="341" t="s">
        <v>331</v>
      </c>
      <c r="M80" s="342"/>
      <c r="N80" s="339"/>
      <c r="O80" s="343"/>
      <c r="P80" s="346">
        <v>45985</v>
      </c>
      <c r="Q80" s="345"/>
      <c r="R80" s="219" t="str">
        <f t="shared" si="2"/>
        <v/>
      </c>
      <c r="S80" s="188"/>
    </row>
    <row r="81" spans="1:19" ht="18" customHeight="1">
      <c r="A81" s="334">
        <v>38804</v>
      </c>
      <c r="B81" s="335">
        <v>72236</v>
      </c>
      <c r="C81" s="336" t="s">
        <v>41</v>
      </c>
      <c r="D81" s="334">
        <v>1</v>
      </c>
      <c r="E81" s="337" t="s">
        <v>315</v>
      </c>
      <c r="F81" s="334"/>
      <c r="G81" s="347" t="s">
        <v>303</v>
      </c>
      <c r="H81" s="338">
        <v>45736</v>
      </c>
      <c r="I81" s="339">
        <v>3</v>
      </c>
      <c r="J81" s="336" t="s">
        <v>324</v>
      </c>
      <c r="K81" s="340">
        <v>39684.129999999997</v>
      </c>
      <c r="L81" s="341" t="s">
        <v>331</v>
      </c>
      <c r="M81" s="342"/>
      <c r="N81" s="339"/>
      <c r="O81" s="343"/>
      <c r="P81" s="346">
        <v>45985</v>
      </c>
      <c r="Q81" s="345"/>
      <c r="R81" s="219" t="str">
        <f t="shared" si="2"/>
        <v/>
      </c>
      <c r="S81" s="188"/>
    </row>
    <row r="82" spans="1:19" ht="18" customHeight="1">
      <c r="A82" s="334">
        <v>38804</v>
      </c>
      <c r="B82" s="335">
        <v>72237</v>
      </c>
      <c r="C82" s="336" t="s">
        <v>41</v>
      </c>
      <c r="D82" s="334">
        <v>1</v>
      </c>
      <c r="E82" s="337" t="s">
        <v>316</v>
      </c>
      <c r="F82" s="334"/>
      <c r="G82" s="347" t="s">
        <v>303</v>
      </c>
      <c r="H82" s="338">
        <v>45736</v>
      </c>
      <c r="I82" s="339">
        <v>4</v>
      </c>
      <c r="J82" s="336" t="s">
        <v>325</v>
      </c>
      <c r="K82" s="340">
        <v>39684.129999999997</v>
      </c>
      <c r="L82" s="341" t="s">
        <v>331</v>
      </c>
      <c r="M82" s="342"/>
      <c r="N82" s="339"/>
      <c r="O82" s="343"/>
      <c r="P82" s="346">
        <v>45985</v>
      </c>
      <c r="Q82" s="345"/>
      <c r="R82" s="219" t="str">
        <f t="shared" si="2"/>
        <v/>
      </c>
      <c r="S82" s="188"/>
    </row>
    <row r="83" spans="1:19" ht="18" customHeight="1">
      <c r="A83" s="334">
        <v>38804</v>
      </c>
      <c r="B83" s="335">
        <v>72238</v>
      </c>
      <c r="C83" s="336" t="s">
        <v>41</v>
      </c>
      <c r="D83" s="334">
        <v>1</v>
      </c>
      <c r="E83" s="337" t="s">
        <v>317</v>
      </c>
      <c r="F83" s="334"/>
      <c r="G83" s="347" t="s">
        <v>303</v>
      </c>
      <c r="H83" s="338">
        <v>45736</v>
      </c>
      <c r="I83" s="339">
        <v>5</v>
      </c>
      <c r="J83" s="336" t="s">
        <v>326</v>
      </c>
      <c r="K83" s="340">
        <v>16803.5</v>
      </c>
      <c r="L83" s="341" t="s">
        <v>331</v>
      </c>
      <c r="M83" s="342"/>
      <c r="N83" s="339"/>
      <c r="O83" s="343"/>
      <c r="P83" s="346">
        <v>45985</v>
      </c>
      <c r="Q83" s="345"/>
      <c r="R83" s="219" t="str">
        <f t="shared" si="2"/>
        <v/>
      </c>
      <c r="S83" s="188"/>
    </row>
    <row r="84" spans="1:19" ht="18" customHeight="1">
      <c r="A84" s="334">
        <v>38804</v>
      </c>
      <c r="B84" s="335">
        <v>72239</v>
      </c>
      <c r="C84" s="336" t="s">
        <v>41</v>
      </c>
      <c r="D84" s="334">
        <v>1</v>
      </c>
      <c r="E84" s="337" t="s">
        <v>318</v>
      </c>
      <c r="F84" s="334"/>
      <c r="G84" s="347" t="s">
        <v>303</v>
      </c>
      <c r="H84" s="338">
        <v>45736</v>
      </c>
      <c r="I84" s="339">
        <v>6</v>
      </c>
      <c r="J84" s="336" t="s">
        <v>327</v>
      </c>
      <c r="K84" s="340">
        <v>17217.82</v>
      </c>
      <c r="L84" s="341" t="s">
        <v>331</v>
      </c>
      <c r="M84" s="342"/>
      <c r="N84" s="339"/>
      <c r="O84" s="343"/>
      <c r="P84" s="346">
        <v>45985</v>
      </c>
      <c r="Q84" s="345"/>
      <c r="R84" s="219" t="str">
        <f t="shared" si="2"/>
        <v/>
      </c>
      <c r="S84" s="188"/>
    </row>
    <row r="85" spans="1:19" ht="18" customHeight="1">
      <c r="A85" s="334">
        <v>38804</v>
      </c>
      <c r="B85" s="335">
        <v>72240</v>
      </c>
      <c r="C85" s="336" t="s">
        <v>41</v>
      </c>
      <c r="D85" s="334">
        <v>1</v>
      </c>
      <c r="E85" s="337" t="s">
        <v>319</v>
      </c>
      <c r="F85" s="334"/>
      <c r="G85" s="347" t="s">
        <v>303</v>
      </c>
      <c r="H85" s="338">
        <v>45736</v>
      </c>
      <c r="I85" s="339">
        <v>7</v>
      </c>
      <c r="J85" s="336" t="s">
        <v>328</v>
      </c>
      <c r="K85" s="340">
        <v>17288.48</v>
      </c>
      <c r="L85" s="341" t="s">
        <v>331</v>
      </c>
      <c r="M85" s="342"/>
      <c r="N85" s="339"/>
      <c r="O85" s="343"/>
      <c r="P85" s="346">
        <v>45985</v>
      </c>
      <c r="Q85" s="345"/>
      <c r="R85" s="219" t="str">
        <f t="shared" si="2"/>
        <v/>
      </c>
      <c r="S85" s="188"/>
    </row>
    <row r="86" spans="1:19" ht="18" customHeight="1">
      <c r="A86" s="334">
        <v>38804</v>
      </c>
      <c r="B86" s="335">
        <v>72241</v>
      </c>
      <c r="C86" s="336" t="s">
        <v>41</v>
      </c>
      <c r="D86" s="334">
        <v>1</v>
      </c>
      <c r="E86" s="337" t="s">
        <v>320</v>
      </c>
      <c r="F86" s="334"/>
      <c r="G86" s="347" t="s">
        <v>303</v>
      </c>
      <c r="H86" s="338">
        <v>45736</v>
      </c>
      <c r="I86" s="339">
        <v>8</v>
      </c>
      <c r="J86" s="336" t="s">
        <v>329</v>
      </c>
      <c r="K86" s="340">
        <v>15059.18</v>
      </c>
      <c r="L86" s="341" t="s">
        <v>331</v>
      </c>
      <c r="M86" s="342"/>
      <c r="N86" s="339"/>
      <c r="O86" s="343"/>
      <c r="P86" s="346">
        <v>45985</v>
      </c>
      <c r="Q86" s="345"/>
      <c r="R86" s="219" t="str">
        <f t="shared" si="2"/>
        <v/>
      </c>
      <c r="S86" s="188"/>
    </row>
    <row r="87" spans="1:19" ht="16.5" customHeight="1">
      <c r="A87" s="334">
        <v>38804</v>
      </c>
      <c r="B87" s="335">
        <v>72242</v>
      </c>
      <c r="C87" s="336" t="s">
        <v>41</v>
      </c>
      <c r="D87" s="334">
        <v>2</v>
      </c>
      <c r="E87" s="337" t="s">
        <v>321</v>
      </c>
      <c r="F87" s="334"/>
      <c r="G87" s="347" t="s">
        <v>303</v>
      </c>
      <c r="H87" s="338">
        <v>45736</v>
      </c>
      <c r="I87" s="339">
        <v>9</v>
      </c>
      <c r="J87" s="336" t="s">
        <v>330</v>
      </c>
      <c r="K87" s="340">
        <v>84206.32</v>
      </c>
      <c r="L87" s="341" t="s">
        <v>331</v>
      </c>
      <c r="M87" s="342"/>
      <c r="N87" s="339"/>
      <c r="O87" s="343"/>
      <c r="P87" s="346">
        <v>45985</v>
      </c>
      <c r="Q87" s="345"/>
      <c r="R87" s="219" t="str">
        <f t="shared" si="2"/>
        <v/>
      </c>
      <c r="S87" s="188"/>
    </row>
    <row r="88" spans="1:19" ht="15" customHeight="1">
      <c r="A88" s="245"/>
      <c r="B88" s="246"/>
      <c r="C88" s="188"/>
      <c r="D88" s="245"/>
      <c r="E88" s="247"/>
      <c r="F88" s="245"/>
      <c r="G88" s="284"/>
      <c r="H88" s="267"/>
      <c r="J88" s="188"/>
      <c r="M88" s="252"/>
      <c r="N88" s="217"/>
      <c r="O88" s="254"/>
      <c r="P88" s="266"/>
      <c r="Q88" s="271"/>
      <c r="R88" s="219" t="str">
        <f t="shared" si="2"/>
        <v/>
      </c>
      <c r="S88" s="188"/>
    </row>
    <row r="89" spans="1:19" ht="18" customHeight="1">
      <c r="A89" s="245">
        <v>38825</v>
      </c>
      <c r="B89" s="246">
        <v>72280</v>
      </c>
      <c r="C89" s="188" t="s">
        <v>41</v>
      </c>
      <c r="D89" s="245">
        <v>1</v>
      </c>
      <c r="E89" s="247" t="s">
        <v>336</v>
      </c>
      <c r="F89" s="245">
        <v>0</v>
      </c>
      <c r="G89" s="284" t="s">
        <v>246</v>
      </c>
      <c r="H89" s="267">
        <v>45748</v>
      </c>
      <c r="I89" s="217">
        <v>1</v>
      </c>
      <c r="J89" s="188" t="s">
        <v>337</v>
      </c>
      <c r="K89" s="250">
        <v>122666</v>
      </c>
      <c r="L89" s="217" t="s">
        <v>338</v>
      </c>
      <c r="M89" s="252"/>
      <c r="N89" s="217"/>
      <c r="O89" s="254"/>
      <c r="P89" s="266">
        <v>45884</v>
      </c>
      <c r="Q89" s="271"/>
      <c r="R89" s="219" t="str">
        <f t="shared" si="2"/>
        <v/>
      </c>
      <c r="S89" s="188"/>
    </row>
    <row r="90" spans="1:19" ht="18" customHeight="1">
      <c r="A90" s="303">
        <v>38825</v>
      </c>
      <c r="B90" s="304">
        <v>72948</v>
      </c>
      <c r="C90" s="305" t="s">
        <v>41</v>
      </c>
      <c r="D90" s="303">
        <v>1</v>
      </c>
      <c r="E90" s="306" t="s">
        <v>336</v>
      </c>
      <c r="F90" s="303">
        <v>0</v>
      </c>
      <c r="G90" s="382" t="s">
        <v>275</v>
      </c>
      <c r="H90" s="307">
        <v>45979</v>
      </c>
      <c r="I90" s="308">
        <v>2</v>
      </c>
      <c r="J90" s="305" t="s">
        <v>717</v>
      </c>
      <c r="K90" s="309">
        <v>45623</v>
      </c>
      <c r="L90" s="383" t="s">
        <v>718</v>
      </c>
      <c r="M90" s="313"/>
      <c r="N90" s="308"/>
      <c r="O90" s="314"/>
      <c r="P90" s="384">
        <v>46094</v>
      </c>
      <c r="Q90" s="271"/>
      <c r="R90" s="219" t="str">
        <f t="shared" si="2"/>
        <v/>
      </c>
      <c r="S90" s="188"/>
    </row>
    <row r="91" spans="1:19" ht="18" customHeight="1">
      <c r="A91" s="245"/>
      <c r="B91" s="246"/>
      <c r="C91" s="188"/>
      <c r="D91" s="245"/>
      <c r="E91" s="247"/>
      <c r="F91" s="245"/>
      <c r="G91" s="188"/>
      <c r="H91" s="267"/>
      <c r="J91" s="188"/>
      <c r="M91" s="252"/>
      <c r="N91" s="217"/>
      <c r="O91" s="254"/>
      <c r="P91" s="266"/>
      <c r="Q91" s="271"/>
      <c r="R91" s="219" t="str">
        <f t="shared" si="2"/>
        <v/>
      </c>
      <c r="S91" s="188"/>
    </row>
    <row r="92" spans="1:19" ht="18" customHeight="1">
      <c r="A92" s="245">
        <v>38835</v>
      </c>
      <c r="B92" s="246">
        <v>72297</v>
      </c>
      <c r="C92" s="188" t="s">
        <v>32</v>
      </c>
      <c r="D92" s="245">
        <v>15</v>
      </c>
      <c r="E92" s="247" t="s">
        <v>339</v>
      </c>
      <c r="F92" s="245"/>
      <c r="G92" s="188" t="s">
        <v>340</v>
      </c>
      <c r="H92" s="267">
        <v>45755</v>
      </c>
      <c r="I92" s="217">
        <v>1</v>
      </c>
      <c r="J92" s="188" t="s">
        <v>341</v>
      </c>
      <c r="M92" s="252"/>
      <c r="N92" s="217"/>
      <c r="O92" s="254"/>
      <c r="P92" s="266">
        <v>45775</v>
      </c>
      <c r="Q92" s="271"/>
      <c r="R92" s="219" t="str">
        <f t="shared" si="2"/>
        <v/>
      </c>
      <c r="S92" s="188"/>
    </row>
    <row r="93" spans="1:19" ht="18" customHeight="1">
      <c r="A93" s="245"/>
      <c r="B93" s="246"/>
      <c r="C93" s="188"/>
      <c r="D93" s="245"/>
      <c r="E93" s="247"/>
      <c r="F93" s="245"/>
      <c r="G93" s="188"/>
      <c r="H93" s="267"/>
      <c r="J93" s="188"/>
      <c r="M93" s="252"/>
      <c r="N93" s="217"/>
      <c r="O93" s="254"/>
      <c r="P93" s="266"/>
      <c r="Q93" s="271"/>
      <c r="R93" s="219" t="str">
        <f t="shared" si="2"/>
        <v/>
      </c>
      <c r="S93" s="188"/>
    </row>
    <row r="94" spans="1:19" ht="18" customHeight="1">
      <c r="A94" s="245">
        <v>38848</v>
      </c>
      <c r="B94" s="246">
        <v>72326</v>
      </c>
      <c r="C94" s="188" t="s">
        <v>0</v>
      </c>
      <c r="D94" s="245">
        <v>1</v>
      </c>
      <c r="E94" s="247" t="s">
        <v>253</v>
      </c>
      <c r="F94" s="245"/>
      <c r="G94" s="188" t="s">
        <v>243</v>
      </c>
      <c r="H94" s="267">
        <v>45770</v>
      </c>
      <c r="I94" s="217">
        <v>1</v>
      </c>
      <c r="J94" s="188" t="s">
        <v>342</v>
      </c>
      <c r="M94" s="252"/>
      <c r="N94" s="217"/>
      <c r="O94" s="254"/>
      <c r="P94" s="266">
        <v>45779</v>
      </c>
      <c r="Q94" s="271"/>
      <c r="R94" s="219" t="str">
        <f t="shared" si="2"/>
        <v/>
      </c>
      <c r="S94" s="188"/>
    </row>
    <row r="95" spans="1:19" ht="18" customHeight="1">
      <c r="A95" s="245">
        <v>38848</v>
      </c>
      <c r="B95" s="246">
        <v>72327</v>
      </c>
      <c r="C95" s="188" t="s">
        <v>0</v>
      </c>
      <c r="D95" s="245">
        <v>1</v>
      </c>
      <c r="E95" s="247" t="s">
        <v>253</v>
      </c>
      <c r="F95" s="245"/>
      <c r="G95" s="188" t="s">
        <v>243</v>
      </c>
      <c r="H95" s="267">
        <v>45770</v>
      </c>
      <c r="I95" s="217">
        <v>2</v>
      </c>
      <c r="J95" s="188" t="s">
        <v>343</v>
      </c>
      <c r="M95" s="252"/>
      <c r="N95" s="217"/>
      <c r="O95" s="254"/>
      <c r="P95" s="266">
        <v>45779</v>
      </c>
      <c r="Q95" s="271"/>
      <c r="R95" s="219" t="str">
        <f t="shared" si="2"/>
        <v/>
      </c>
      <c r="S95" s="188"/>
    </row>
    <row r="96" spans="1:19" ht="18" customHeight="1">
      <c r="A96" s="245">
        <v>38848</v>
      </c>
      <c r="B96" s="246">
        <v>72328</v>
      </c>
      <c r="C96" s="188" t="s">
        <v>0</v>
      </c>
      <c r="D96" s="245">
        <v>1</v>
      </c>
      <c r="E96" s="247" t="s">
        <v>253</v>
      </c>
      <c r="F96" s="245"/>
      <c r="G96" s="188" t="s">
        <v>243</v>
      </c>
      <c r="H96" s="267">
        <v>45770</v>
      </c>
      <c r="I96" s="217">
        <v>3</v>
      </c>
      <c r="J96" s="188" t="s">
        <v>344</v>
      </c>
      <c r="M96" s="252"/>
      <c r="N96" s="217"/>
      <c r="O96" s="254"/>
      <c r="P96" s="266">
        <v>45779</v>
      </c>
      <c r="Q96" s="271"/>
      <c r="R96" s="219" t="str">
        <f t="shared" si="2"/>
        <v/>
      </c>
      <c r="S96" s="188"/>
    </row>
    <row r="97" spans="1:19" ht="18" customHeight="1">
      <c r="A97" s="245"/>
      <c r="B97" s="246"/>
      <c r="C97" s="188"/>
      <c r="D97" s="245"/>
      <c r="E97" s="247"/>
      <c r="F97" s="245"/>
      <c r="G97" s="188"/>
      <c r="H97" s="267"/>
      <c r="J97" s="188"/>
      <c r="M97" s="252"/>
      <c r="N97" s="217"/>
      <c r="O97" s="254"/>
      <c r="P97" s="266"/>
      <c r="Q97" s="271"/>
      <c r="R97" s="219" t="str">
        <f t="shared" si="2"/>
        <v/>
      </c>
      <c r="S97" s="188"/>
    </row>
    <row r="98" spans="1:19" ht="18.649999999999999" customHeight="1">
      <c r="A98" s="245">
        <v>38865</v>
      </c>
      <c r="B98" s="246">
        <v>72367</v>
      </c>
      <c r="C98" s="188" t="s">
        <v>41</v>
      </c>
      <c r="D98" s="245">
        <v>4</v>
      </c>
      <c r="E98" s="247" t="s">
        <v>349</v>
      </c>
      <c r="F98" s="245">
        <v>5</v>
      </c>
      <c r="G98" s="188" t="s">
        <v>350</v>
      </c>
      <c r="H98" s="267">
        <v>45779</v>
      </c>
      <c r="I98" s="217">
        <v>1</v>
      </c>
      <c r="J98" s="188" t="s">
        <v>351</v>
      </c>
      <c r="K98" s="250">
        <v>161870</v>
      </c>
      <c r="L98" s="217" t="s">
        <v>354</v>
      </c>
      <c r="M98" s="252"/>
      <c r="N98" s="217"/>
      <c r="O98" s="254"/>
      <c r="P98" s="266">
        <v>46232</v>
      </c>
      <c r="Q98" s="271"/>
      <c r="R98" s="219" t="str">
        <f t="shared" si="2"/>
        <v/>
      </c>
      <c r="S98" s="188"/>
    </row>
    <row r="99" spans="1:19" ht="18.649999999999999" customHeight="1">
      <c r="A99" s="245">
        <v>38865</v>
      </c>
      <c r="B99" s="246">
        <v>72368</v>
      </c>
      <c r="C99" s="188" t="s">
        <v>41</v>
      </c>
      <c r="D99" s="245">
        <v>4</v>
      </c>
      <c r="E99" s="247" t="s">
        <v>352</v>
      </c>
      <c r="F99" s="245">
        <v>3</v>
      </c>
      <c r="G99" s="188" t="s">
        <v>350</v>
      </c>
      <c r="H99" s="267">
        <v>45779</v>
      </c>
      <c r="I99" s="217">
        <v>2</v>
      </c>
      <c r="J99" s="188" t="s">
        <v>353</v>
      </c>
      <c r="K99" s="250">
        <v>181755</v>
      </c>
      <c r="L99" s="217" t="s">
        <v>354</v>
      </c>
      <c r="M99" s="252"/>
      <c r="N99" s="217"/>
      <c r="O99" s="254"/>
      <c r="P99" s="266">
        <v>46232</v>
      </c>
      <c r="Q99" s="271"/>
      <c r="R99" s="219" t="str">
        <f t="shared" si="2"/>
        <v/>
      </c>
      <c r="S99" s="188"/>
    </row>
    <row r="100" spans="1:19" ht="18.649999999999999" customHeight="1">
      <c r="A100" s="245"/>
      <c r="B100" s="246"/>
      <c r="C100" s="188"/>
      <c r="D100" s="245"/>
      <c r="E100" s="247"/>
      <c r="F100" s="245"/>
      <c r="G100" s="188"/>
      <c r="H100" s="267"/>
      <c r="J100" s="188"/>
      <c r="M100" s="252"/>
      <c r="N100" s="217"/>
      <c r="O100" s="254"/>
      <c r="P100" s="266"/>
      <c r="Q100" s="271"/>
      <c r="R100" s="219" t="str">
        <f t="shared" ref="R100:R131" si="3">IF(SUM(Q100)&gt;0,SUM(Q100-P100),"")</f>
        <v/>
      </c>
      <c r="S100" s="188"/>
    </row>
    <row r="101" spans="1:19" ht="18.649999999999999" customHeight="1">
      <c r="A101" s="245">
        <v>38867</v>
      </c>
      <c r="B101" s="246">
        <v>72373</v>
      </c>
      <c r="C101" s="188" t="s">
        <v>41</v>
      </c>
      <c r="D101" s="245">
        <v>3</v>
      </c>
      <c r="E101" s="247" t="s">
        <v>361</v>
      </c>
      <c r="F101" s="245">
        <v>4</v>
      </c>
      <c r="G101" s="281" t="s">
        <v>282</v>
      </c>
      <c r="H101" s="267">
        <v>45782</v>
      </c>
      <c r="I101" s="217">
        <v>1</v>
      </c>
      <c r="J101" s="188" t="s">
        <v>362</v>
      </c>
      <c r="K101" s="250">
        <v>785648</v>
      </c>
      <c r="L101" s="409" t="s">
        <v>962</v>
      </c>
      <c r="M101" s="252"/>
      <c r="N101" s="217"/>
      <c r="O101" s="254"/>
      <c r="P101" s="266">
        <v>46304</v>
      </c>
      <c r="Q101" s="271"/>
      <c r="R101" s="219" t="str">
        <f t="shared" si="3"/>
        <v/>
      </c>
      <c r="S101" s="188"/>
    </row>
    <row r="102" spans="1:19" ht="18.649999999999999" customHeight="1">
      <c r="A102" s="245"/>
      <c r="B102" s="246"/>
      <c r="C102" s="188"/>
      <c r="D102" s="245"/>
      <c r="E102" s="247"/>
      <c r="F102" s="245"/>
      <c r="G102" s="188"/>
      <c r="H102" s="267"/>
      <c r="J102" s="188"/>
      <c r="M102" s="252"/>
      <c r="N102" s="217"/>
      <c r="O102" s="254"/>
      <c r="P102" s="266"/>
      <c r="Q102" s="271"/>
      <c r="R102" s="219" t="str">
        <f t="shared" si="3"/>
        <v/>
      </c>
      <c r="S102" s="188"/>
    </row>
    <row r="103" spans="1:19" ht="18" customHeight="1">
      <c r="A103" s="245">
        <v>38885</v>
      </c>
      <c r="B103" s="246">
        <v>72395</v>
      </c>
      <c r="C103" s="188" t="s">
        <v>41</v>
      </c>
      <c r="D103" s="245">
        <v>1</v>
      </c>
      <c r="E103" s="247" t="s">
        <v>363</v>
      </c>
      <c r="F103" s="245">
        <v>2</v>
      </c>
      <c r="G103" s="287" t="s">
        <v>364</v>
      </c>
      <c r="H103" s="267">
        <v>45797</v>
      </c>
      <c r="I103" s="217">
        <v>1</v>
      </c>
      <c r="J103" s="188" t="s">
        <v>365</v>
      </c>
      <c r="K103" s="250">
        <v>146936</v>
      </c>
      <c r="L103" s="408" t="s">
        <v>961</v>
      </c>
      <c r="M103" s="252"/>
      <c r="N103" s="217"/>
      <c r="O103" s="254"/>
      <c r="P103" s="266">
        <v>45896</v>
      </c>
      <c r="Q103" s="271"/>
      <c r="R103" s="219" t="str">
        <f t="shared" si="3"/>
        <v/>
      </c>
      <c r="S103" s="188"/>
    </row>
    <row r="104" spans="1:19" ht="18" customHeight="1">
      <c r="A104" s="245"/>
      <c r="B104" s="246"/>
      <c r="C104" s="188"/>
      <c r="D104" s="245"/>
      <c r="E104" s="247"/>
      <c r="F104" s="245"/>
      <c r="G104" s="188"/>
      <c r="H104" s="267"/>
      <c r="J104" s="188"/>
      <c r="M104" s="252"/>
      <c r="N104" s="217"/>
      <c r="O104" s="254"/>
      <c r="P104" s="266"/>
      <c r="Q104" s="271"/>
      <c r="R104" s="219" t="str">
        <f t="shared" si="3"/>
        <v/>
      </c>
      <c r="S104" s="188"/>
    </row>
    <row r="105" spans="1:19" ht="18" customHeight="1">
      <c r="A105" s="245">
        <v>38898</v>
      </c>
      <c r="B105" s="246">
        <v>72422</v>
      </c>
      <c r="C105" s="188" t="s">
        <v>41</v>
      </c>
      <c r="D105" s="245">
        <v>1</v>
      </c>
      <c r="E105" s="247" t="s">
        <v>684</v>
      </c>
      <c r="F105" s="245">
        <v>0</v>
      </c>
      <c r="G105" s="281" t="s">
        <v>282</v>
      </c>
      <c r="H105" s="267">
        <v>45803</v>
      </c>
      <c r="I105" s="217">
        <v>1</v>
      </c>
      <c r="J105" s="188" t="s">
        <v>366</v>
      </c>
      <c r="K105" s="250">
        <v>272363</v>
      </c>
      <c r="L105" s="217" t="s">
        <v>768</v>
      </c>
      <c r="M105" s="252"/>
      <c r="N105" s="217"/>
      <c r="O105" s="254"/>
      <c r="P105" s="272">
        <v>45991</v>
      </c>
      <c r="Q105" s="271"/>
      <c r="R105" s="219" t="str">
        <f t="shared" si="3"/>
        <v/>
      </c>
      <c r="S105" s="188"/>
    </row>
    <row r="106" spans="1:19" ht="18" customHeight="1">
      <c r="A106" s="245"/>
      <c r="B106" s="246"/>
      <c r="C106" s="188"/>
      <c r="D106" s="245"/>
      <c r="E106" s="247"/>
      <c r="F106" s="245"/>
      <c r="G106" s="188"/>
      <c r="H106" s="267"/>
      <c r="J106" s="188"/>
      <c r="M106" s="252"/>
      <c r="N106" s="217"/>
      <c r="O106" s="254"/>
      <c r="P106" s="266"/>
      <c r="Q106" s="271"/>
      <c r="R106" s="219" t="str">
        <f t="shared" si="3"/>
        <v/>
      </c>
      <c r="S106" s="188"/>
    </row>
    <row r="107" spans="1:19" ht="18" customHeight="1">
      <c r="A107" s="245">
        <v>38899</v>
      </c>
      <c r="B107" s="246">
        <v>72425</v>
      </c>
      <c r="C107" s="188" t="s">
        <v>168</v>
      </c>
      <c r="D107" s="245">
        <v>1</v>
      </c>
      <c r="E107" s="247" t="s">
        <v>367</v>
      </c>
      <c r="F107" s="245"/>
      <c r="G107" s="188" t="s">
        <v>369</v>
      </c>
      <c r="H107" s="267">
        <v>45804</v>
      </c>
      <c r="I107" s="217">
        <v>50</v>
      </c>
      <c r="J107" s="188" t="s">
        <v>368</v>
      </c>
      <c r="K107" s="250">
        <v>345</v>
      </c>
      <c r="L107" s="217">
        <v>4590038355</v>
      </c>
      <c r="M107" s="252">
        <v>44570</v>
      </c>
      <c r="N107" s="217">
        <v>1</v>
      </c>
      <c r="O107" s="254">
        <v>52834</v>
      </c>
      <c r="P107" s="266">
        <v>45832</v>
      </c>
      <c r="Q107" s="271"/>
      <c r="R107" s="219" t="str">
        <f t="shared" si="3"/>
        <v/>
      </c>
      <c r="S107" s="188"/>
    </row>
    <row r="108" spans="1:19" ht="18" customHeight="1">
      <c r="A108" s="245"/>
      <c r="B108" s="246"/>
      <c r="C108" s="188"/>
      <c r="D108" s="245"/>
      <c r="E108" s="247"/>
      <c r="F108" s="245"/>
      <c r="G108" s="188"/>
      <c r="H108" s="267"/>
      <c r="J108" s="188"/>
      <c r="M108" s="252"/>
      <c r="N108" s="217"/>
      <c r="O108" s="254"/>
      <c r="P108" s="266"/>
      <c r="Q108" s="271"/>
      <c r="R108" s="219" t="str">
        <f t="shared" si="3"/>
        <v/>
      </c>
      <c r="S108" s="188"/>
    </row>
    <row r="109" spans="1:19" ht="18" customHeight="1">
      <c r="A109" s="245">
        <v>38906</v>
      </c>
      <c r="B109" s="246">
        <v>72438</v>
      </c>
      <c r="C109" s="188" t="s">
        <v>41</v>
      </c>
      <c r="D109" s="245">
        <v>3</v>
      </c>
      <c r="E109" s="247" t="s">
        <v>685</v>
      </c>
      <c r="F109" s="245"/>
      <c r="G109" s="281" t="s">
        <v>282</v>
      </c>
      <c r="H109" s="267">
        <v>45810</v>
      </c>
      <c r="I109" s="217">
        <v>1</v>
      </c>
      <c r="J109" s="188" t="s">
        <v>371</v>
      </c>
      <c r="K109" s="250">
        <v>243730</v>
      </c>
      <c r="L109" s="217" t="s">
        <v>379</v>
      </c>
      <c r="M109" s="252"/>
      <c r="N109" s="217"/>
      <c r="O109" s="254"/>
      <c r="P109" s="266">
        <v>46311</v>
      </c>
      <c r="Q109" s="271"/>
      <c r="R109" s="219" t="str">
        <f t="shared" si="3"/>
        <v/>
      </c>
      <c r="S109" s="188"/>
    </row>
    <row r="110" spans="1:19" ht="18" customHeight="1">
      <c r="A110" s="245">
        <v>38906</v>
      </c>
      <c r="B110" s="246">
        <v>72439</v>
      </c>
      <c r="C110" s="188" t="s">
        <v>41</v>
      </c>
      <c r="D110" s="245">
        <v>3</v>
      </c>
      <c r="E110" s="247" t="s">
        <v>372</v>
      </c>
      <c r="F110" s="245"/>
      <c r="G110" s="281" t="s">
        <v>282</v>
      </c>
      <c r="H110" s="267">
        <v>45810</v>
      </c>
      <c r="I110" s="217">
        <v>2</v>
      </c>
      <c r="J110" s="188" t="s">
        <v>373</v>
      </c>
      <c r="K110" s="250">
        <v>62656</v>
      </c>
      <c r="L110" s="217" t="s">
        <v>379</v>
      </c>
      <c r="M110" s="252"/>
      <c r="N110" s="217"/>
      <c r="O110" s="254"/>
      <c r="P110" s="266">
        <v>46311</v>
      </c>
      <c r="Q110" s="271"/>
      <c r="R110" s="219" t="str">
        <f t="shared" si="3"/>
        <v/>
      </c>
      <c r="S110" s="188"/>
    </row>
    <row r="111" spans="1:19" ht="18" customHeight="1">
      <c r="A111" s="245">
        <v>38906</v>
      </c>
      <c r="B111" s="246">
        <v>72440</v>
      </c>
      <c r="C111" s="188" t="s">
        <v>41</v>
      </c>
      <c r="D111" s="245">
        <v>4</v>
      </c>
      <c r="E111" s="247" t="s">
        <v>374</v>
      </c>
      <c r="F111" s="245"/>
      <c r="G111" s="281" t="s">
        <v>282</v>
      </c>
      <c r="H111" s="267">
        <v>45810</v>
      </c>
      <c r="I111" s="217">
        <v>3</v>
      </c>
      <c r="J111" s="188" t="s">
        <v>375</v>
      </c>
      <c r="K111" s="250">
        <v>31479</v>
      </c>
      <c r="L111" s="217" t="s">
        <v>379</v>
      </c>
      <c r="M111" s="252"/>
      <c r="N111" s="217"/>
      <c r="O111" s="254"/>
      <c r="P111" s="266">
        <v>46311</v>
      </c>
      <c r="Q111" s="271"/>
      <c r="R111" s="219" t="str">
        <f t="shared" si="3"/>
        <v/>
      </c>
      <c r="S111" s="188"/>
    </row>
    <row r="112" spans="1:19" ht="18" customHeight="1">
      <c r="A112" s="245">
        <v>38906</v>
      </c>
      <c r="B112" s="246">
        <v>72441</v>
      </c>
      <c r="C112" s="188" t="s">
        <v>41</v>
      </c>
      <c r="D112" s="245">
        <v>6</v>
      </c>
      <c r="E112" s="247" t="s">
        <v>376</v>
      </c>
      <c r="F112" s="245"/>
      <c r="G112" s="281" t="s">
        <v>282</v>
      </c>
      <c r="H112" s="267" t="s">
        <v>377</v>
      </c>
      <c r="I112" s="217">
        <v>4</v>
      </c>
      <c r="J112" s="188" t="s">
        <v>378</v>
      </c>
      <c r="K112" s="250">
        <v>582</v>
      </c>
      <c r="L112" s="217" t="s">
        <v>379</v>
      </c>
      <c r="M112" s="252"/>
      <c r="N112" s="217"/>
      <c r="O112" s="254"/>
      <c r="P112" s="266">
        <v>46311</v>
      </c>
      <c r="Q112" s="271"/>
      <c r="R112" s="219" t="str">
        <f t="shared" si="3"/>
        <v/>
      </c>
      <c r="S112" s="188"/>
    </row>
    <row r="113" spans="1:19" ht="18" customHeight="1">
      <c r="A113" s="245"/>
      <c r="B113" s="246"/>
      <c r="C113" s="188"/>
      <c r="D113" s="245"/>
      <c r="E113" s="247"/>
      <c r="F113" s="245"/>
      <c r="G113" s="188"/>
      <c r="H113" s="267"/>
      <c r="J113" s="188"/>
      <c r="M113" s="252"/>
      <c r="N113" s="217"/>
      <c r="O113" s="254"/>
      <c r="P113" s="266"/>
      <c r="Q113" s="271"/>
      <c r="R113" s="219" t="str">
        <f t="shared" si="3"/>
        <v/>
      </c>
      <c r="S113" s="188"/>
    </row>
    <row r="114" spans="1:19" ht="18" customHeight="1">
      <c r="A114" s="245">
        <v>38932</v>
      </c>
      <c r="B114" s="246">
        <v>72502</v>
      </c>
      <c r="C114" s="188" t="s">
        <v>171</v>
      </c>
      <c r="D114" s="245">
        <v>118</v>
      </c>
      <c r="E114" s="247" t="s">
        <v>389</v>
      </c>
      <c r="F114" s="245"/>
      <c r="G114" s="188" t="s">
        <v>387</v>
      </c>
      <c r="H114" s="267">
        <v>45834</v>
      </c>
      <c r="I114" s="217">
        <v>6</v>
      </c>
      <c r="J114" s="188" t="s">
        <v>390</v>
      </c>
      <c r="K114" s="250">
        <v>46.1</v>
      </c>
      <c r="L114" s="217" t="s">
        <v>469</v>
      </c>
      <c r="M114" s="252"/>
      <c r="N114" s="217"/>
      <c r="O114" s="254"/>
      <c r="P114" s="266">
        <v>45951</v>
      </c>
      <c r="Q114" s="271"/>
      <c r="R114" s="219" t="str">
        <f t="shared" si="3"/>
        <v/>
      </c>
      <c r="S114" s="188"/>
    </row>
    <row r="115" spans="1:19" ht="18" customHeight="1">
      <c r="A115" s="245"/>
      <c r="B115" s="246"/>
      <c r="C115" s="188"/>
      <c r="D115" s="245"/>
      <c r="E115" s="247"/>
      <c r="F115" s="245"/>
      <c r="G115" s="188"/>
      <c r="H115" s="267"/>
      <c r="J115" s="188"/>
      <c r="M115" s="252"/>
      <c r="N115" s="217"/>
      <c r="O115" s="254"/>
      <c r="P115" s="266"/>
      <c r="Q115" s="271"/>
      <c r="R115" s="219" t="str">
        <f t="shared" si="3"/>
        <v/>
      </c>
      <c r="S115" s="188"/>
    </row>
    <row r="116" spans="1:19" ht="18" customHeight="1">
      <c r="A116" s="245">
        <v>38935</v>
      </c>
      <c r="B116" s="246">
        <v>72517</v>
      </c>
      <c r="C116" s="188" t="s">
        <v>41</v>
      </c>
      <c r="D116" s="245">
        <v>3</v>
      </c>
      <c r="E116" s="247" t="s">
        <v>391</v>
      </c>
      <c r="F116" s="245"/>
      <c r="G116" s="281" t="s">
        <v>282</v>
      </c>
      <c r="H116" s="267">
        <v>45835</v>
      </c>
      <c r="I116" s="217">
        <v>1</v>
      </c>
      <c r="J116" s="188" t="s">
        <v>392</v>
      </c>
      <c r="K116" s="250">
        <v>253143</v>
      </c>
      <c r="L116" s="408" t="s">
        <v>960</v>
      </c>
      <c r="M116" s="252"/>
      <c r="N116" s="217"/>
      <c r="O116" s="254"/>
      <c r="P116" s="266">
        <v>45978</v>
      </c>
      <c r="Q116" s="271"/>
      <c r="R116" s="219" t="str">
        <f t="shared" si="3"/>
        <v/>
      </c>
      <c r="S116" s="188"/>
    </row>
    <row r="117" spans="1:19" ht="18" customHeight="1">
      <c r="A117" s="245">
        <v>38935</v>
      </c>
      <c r="B117" s="246">
        <v>72906</v>
      </c>
      <c r="C117" s="188" t="s">
        <v>41</v>
      </c>
      <c r="D117" s="245">
        <v>3</v>
      </c>
      <c r="E117" s="247" t="s">
        <v>682</v>
      </c>
      <c r="F117" s="245">
        <v>0</v>
      </c>
      <c r="G117" s="188" t="s">
        <v>275</v>
      </c>
      <c r="H117" s="267">
        <v>45960</v>
      </c>
      <c r="I117" s="217">
        <v>2</v>
      </c>
      <c r="J117" s="188" t="s">
        <v>683</v>
      </c>
      <c r="K117" s="250">
        <v>29698</v>
      </c>
      <c r="L117" s="408" t="s">
        <v>960</v>
      </c>
      <c r="M117" s="252"/>
      <c r="N117" s="217"/>
      <c r="O117" s="254"/>
      <c r="P117" s="266">
        <v>46027</v>
      </c>
      <c r="Q117" s="271"/>
      <c r="R117" s="219" t="str">
        <f t="shared" si="3"/>
        <v/>
      </c>
      <c r="S117" s="188"/>
    </row>
    <row r="118" spans="1:19" ht="18" customHeight="1">
      <c r="A118" s="245"/>
      <c r="B118" s="246"/>
      <c r="C118" s="188"/>
      <c r="D118" s="245"/>
      <c r="E118" s="247"/>
      <c r="F118" s="245"/>
      <c r="G118" s="188"/>
      <c r="H118" s="267"/>
      <c r="J118" s="188"/>
      <c r="M118" s="252"/>
      <c r="N118" s="217"/>
      <c r="O118" s="254"/>
      <c r="P118" s="266"/>
      <c r="Q118" s="271"/>
      <c r="R118" s="219" t="str">
        <f t="shared" si="3"/>
        <v/>
      </c>
      <c r="S118" s="188"/>
    </row>
    <row r="119" spans="1:19" ht="18" customHeight="1">
      <c r="A119" s="245">
        <v>38963</v>
      </c>
      <c r="B119" s="246">
        <v>72573</v>
      </c>
      <c r="C119" s="188" t="s">
        <v>71</v>
      </c>
      <c r="D119" s="245" t="s">
        <v>396</v>
      </c>
      <c r="E119" s="247" t="s">
        <v>397</v>
      </c>
      <c r="F119" s="245">
        <v>2</v>
      </c>
      <c r="G119" s="188" t="s">
        <v>395</v>
      </c>
      <c r="H119" s="267">
        <v>45859</v>
      </c>
      <c r="I119" s="217" t="s">
        <v>398</v>
      </c>
      <c r="J119" s="188" t="s">
        <v>399</v>
      </c>
      <c r="K119" s="250">
        <v>4557</v>
      </c>
      <c r="L119" s="217">
        <v>169536</v>
      </c>
      <c r="M119" s="252"/>
      <c r="N119" s="217"/>
      <c r="O119" s="254"/>
      <c r="P119" s="272">
        <v>45982</v>
      </c>
      <c r="Q119" s="271"/>
      <c r="R119" s="219" t="str">
        <f t="shared" si="3"/>
        <v/>
      </c>
      <c r="S119" s="188"/>
    </row>
    <row r="120" spans="1:19" ht="18" customHeight="1">
      <c r="A120" s="245"/>
      <c r="B120" s="246"/>
      <c r="C120" s="188"/>
      <c r="D120" s="245"/>
      <c r="E120" s="247"/>
      <c r="F120" s="245"/>
      <c r="G120" s="188"/>
      <c r="H120" s="267"/>
      <c r="J120" s="188"/>
      <c r="M120" s="252"/>
      <c r="N120" s="217"/>
      <c r="O120" s="254"/>
      <c r="P120" s="266"/>
      <c r="Q120" s="271"/>
      <c r="R120" s="219" t="str">
        <f t="shared" si="3"/>
        <v/>
      </c>
      <c r="S120" s="188"/>
    </row>
    <row r="121" spans="1:19" ht="18" customHeight="1">
      <c r="A121" s="245">
        <v>38966</v>
      </c>
      <c r="B121" s="246">
        <v>72580</v>
      </c>
      <c r="C121" s="188" t="s">
        <v>41</v>
      </c>
      <c r="D121" s="245">
        <v>1</v>
      </c>
      <c r="E121" s="247" t="s">
        <v>400</v>
      </c>
      <c r="F121" s="245"/>
      <c r="G121" s="358" t="s">
        <v>401</v>
      </c>
      <c r="H121" s="267">
        <v>45860</v>
      </c>
      <c r="I121" s="217">
        <v>1</v>
      </c>
      <c r="J121" s="188" t="s">
        <v>402</v>
      </c>
      <c r="K121" s="250">
        <v>6252</v>
      </c>
      <c r="L121" s="217" t="s">
        <v>409</v>
      </c>
      <c r="M121" s="252"/>
      <c r="N121" s="217"/>
      <c r="O121" s="254"/>
      <c r="P121" s="266">
        <v>45929</v>
      </c>
      <c r="Q121" s="271"/>
      <c r="R121" s="219" t="str">
        <f t="shared" si="3"/>
        <v/>
      </c>
      <c r="S121" s="188"/>
    </row>
    <row r="122" spans="1:19" ht="18" customHeight="1">
      <c r="A122" s="245">
        <v>38966</v>
      </c>
      <c r="B122" s="246">
        <v>72581</v>
      </c>
      <c r="C122" s="188" t="s">
        <v>41</v>
      </c>
      <c r="D122" s="245">
        <v>1</v>
      </c>
      <c r="E122" s="247" t="s">
        <v>403</v>
      </c>
      <c r="F122" s="245"/>
      <c r="G122" s="358" t="s">
        <v>401</v>
      </c>
      <c r="H122" s="267">
        <v>45860</v>
      </c>
      <c r="I122" s="217">
        <v>2</v>
      </c>
      <c r="J122" s="188" t="s">
        <v>404</v>
      </c>
      <c r="K122" s="250">
        <v>17740</v>
      </c>
      <c r="L122" s="217" t="s">
        <v>409</v>
      </c>
      <c r="M122" s="252"/>
      <c r="N122" s="217"/>
      <c r="O122" s="254"/>
      <c r="P122" s="266">
        <v>45929</v>
      </c>
      <c r="Q122" s="271"/>
      <c r="R122" s="219" t="str">
        <f t="shared" si="3"/>
        <v/>
      </c>
      <c r="S122" s="188"/>
    </row>
    <row r="123" spans="1:19" ht="18" customHeight="1">
      <c r="A123" s="245">
        <v>38966</v>
      </c>
      <c r="B123" s="246">
        <v>72582</v>
      </c>
      <c r="C123" s="188" t="s">
        <v>41</v>
      </c>
      <c r="D123" s="245">
        <v>1</v>
      </c>
      <c r="E123" s="247" t="s">
        <v>405</v>
      </c>
      <c r="F123" s="245"/>
      <c r="G123" s="358" t="s">
        <v>401</v>
      </c>
      <c r="H123" s="267">
        <v>45860</v>
      </c>
      <c r="I123" s="217">
        <v>3</v>
      </c>
      <c r="J123" s="188" t="s">
        <v>406</v>
      </c>
      <c r="K123" s="250">
        <v>1545</v>
      </c>
      <c r="L123" s="217" t="s">
        <v>409</v>
      </c>
      <c r="M123" s="252"/>
      <c r="N123" s="217"/>
      <c r="O123" s="254"/>
      <c r="P123" s="266">
        <v>45929</v>
      </c>
      <c r="Q123" s="271"/>
      <c r="R123" s="219" t="str">
        <f t="shared" si="3"/>
        <v/>
      </c>
      <c r="S123" s="188"/>
    </row>
    <row r="124" spans="1:19" ht="18" customHeight="1">
      <c r="A124" s="245">
        <v>38966</v>
      </c>
      <c r="B124" s="246">
        <v>72583</v>
      </c>
      <c r="C124" s="188" t="s">
        <v>41</v>
      </c>
      <c r="D124" s="245">
        <v>2</v>
      </c>
      <c r="E124" s="247" t="s">
        <v>407</v>
      </c>
      <c r="F124" s="245"/>
      <c r="G124" s="358" t="s">
        <v>401</v>
      </c>
      <c r="H124" s="267">
        <v>45860</v>
      </c>
      <c r="I124" s="217">
        <v>4</v>
      </c>
      <c r="J124" s="188" t="s">
        <v>408</v>
      </c>
      <c r="K124" s="250">
        <v>512</v>
      </c>
      <c r="L124" s="217" t="s">
        <v>409</v>
      </c>
      <c r="M124" s="252"/>
      <c r="N124" s="217"/>
      <c r="O124" s="254"/>
      <c r="P124" s="266">
        <v>45929</v>
      </c>
      <c r="Q124" s="271"/>
      <c r="R124" s="219" t="str">
        <f t="shared" si="3"/>
        <v/>
      </c>
      <c r="S124" s="188"/>
    </row>
    <row r="125" spans="1:19" ht="18" customHeight="1">
      <c r="A125" s="245"/>
      <c r="B125" s="246"/>
      <c r="C125" s="188"/>
      <c r="D125" s="245"/>
      <c r="E125" s="247"/>
      <c r="F125" s="245"/>
      <c r="G125" s="188"/>
      <c r="H125" s="267"/>
      <c r="J125" s="188"/>
      <c r="M125" s="252"/>
      <c r="N125" s="217"/>
      <c r="O125" s="254"/>
      <c r="P125" s="266"/>
      <c r="Q125" s="271"/>
      <c r="R125" s="219" t="str">
        <f t="shared" si="3"/>
        <v/>
      </c>
      <c r="S125" s="188"/>
    </row>
    <row r="126" spans="1:19" ht="18" customHeight="1">
      <c r="A126" s="389">
        <v>38970</v>
      </c>
      <c r="B126" s="354">
        <v>73000</v>
      </c>
      <c r="C126" s="390" t="s">
        <v>41</v>
      </c>
      <c r="D126" s="389">
        <v>3</v>
      </c>
      <c r="E126" s="355" t="s">
        <v>411</v>
      </c>
      <c r="F126" s="389"/>
      <c r="G126" s="391" t="s">
        <v>559</v>
      </c>
      <c r="H126" s="392">
        <v>46010</v>
      </c>
      <c r="I126" s="399" t="s">
        <v>756</v>
      </c>
      <c r="J126" s="390" t="s">
        <v>412</v>
      </c>
      <c r="K126" s="394">
        <v>1562</v>
      </c>
      <c r="L126" s="393" t="s">
        <v>410</v>
      </c>
      <c r="M126" s="252"/>
      <c r="N126" s="217"/>
      <c r="O126" s="254"/>
      <c r="P126" s="272">
        <v>46065</v>
      </c>
      <c r="Q126" s="271"/>
      <c r="R126" s="219" t="str">
        <f t="shared" si="3"/>
        <v/>
      </c>
      <c r="S126" s="188"/>
    </row>
    <row r="127" spans="1:19" ht="18" customHeight="1">
      <c r="A127" s="245"/>
      <c r="B127" s="246"/>
      <c r="C127" s="188"/>
      <c r="D127" s="245"/>
      <c r="E127" s="247"/>
      <c r="F127" s="245"/>
      <c r="G127" s="188"/>
      <c r="H127" s="267"/>
      <c r="J127" s="188"/>
      <c r="M127" s="252"/>
      <c r="N127" s="217"/>
      <c r="O127" s="254"/>
      <c r="P127" s="266"/>
      <c r="Q127" s="271"/>
      <c r="R127" s="219" t="str">
        <f t="shared" si="3"/>
        <v/>
      </c>
      <c r="S127" s="188"/>
    </row>
    <row r="128" spans="1:19" ht="18" customHeight="1">
      <c r="A128" s="245">
        <v>38971</v>
      </c>
      <c r="B128" s="246">
        <v>72600</v>
      </c>
      <c r="C128" s="188" t="s">
        <v>413</v>
      </c>
      <c r="D128" s="245">
        <v>1</v>
      </c>
      <c r="E128" s="247" t="s">
        <v>414</v>
      </c>
      <c r="F128" s="245" t="s">
        <v>249</v>
      </c>
      <c r="G128" s="188" t="s">
        <v>416</v>
      </c>
      <c r="H128" s="267">
        <v>45862</v>
      </c>
      <c r="I128" s="217">
        <v>1</v>
      </c>
      <c r="J128" s="188" t="s">
        <v>417</v>
      </c>
      <c r="K128" s="250" t="s">
        <v>290</v>
      </c>
      <c r="L128" s="217" t="s">
        <v>423</v>
      </c>
      <c r="M128" s="252"/>
      <c r="N128" s="217"/>
      <c r="O128" s="254"/>
      <c r="P128" s="266">
        <v>45891</v>
      </c>
      <c r="Q128" s="271"/>
      <c r="R128" s="219" t="str">
        <f t="shared" si="3"/>
        <v/>
      </c>
      <c r="S128" s="188"/>
    </row>
    <row r="129" spans="1:19" ht="18" customHeight="1">
      <c r="A129" s="245">
        <v>38971</v>
      </c>
      <c r="B129" s="246">
        <v>72600</v>
      </c>
      <c r="C129" s="188" t="s">
        <v>413</v>
      </c>
      <c r="D129" s="245">
        <v>1</v>
      </c>
      <c r="E129" s="247" t="s">
        <v>418</v>
      </c>
      <c r="F129" s="245" t="s">
        <v>415</v>
      </c>
      <c r="G129" s="188" t="s">
        <v>416</v>
      </c>
      <c r="H129" s="267">
        <v>45862</v>
      </c>
      <c r="I129" s="217">
        <v>2</v>
      </c>
      <c r="J129" s="188" t="s">
        <v>419</v>
      </c>
      <c r="K129" s="250" t="s">
        <v>422</v>
      </c>
      <c r="L129" s="217" t="s">
        <v>423</v>
      </c>
      <c r="M129" s="252"/>
      <c r="N129" s="217"/>
      <c r="O129" s="254"/>
      <c r="P129" s="266">
        <v>45891</v>
      </c>
      <c r="Q129" s="271"/>
      <c r="R129" s="219" t="str">
        <f t="shared" si="3"/>
        <v/>
      </c>
      <c r="S129" s="188"/>
    </row>
    <row r="130" spans="1:19" ht="18" customHeight="1">
      <c r="A130" s="245">
        <v>38971</v>
      </c>
      <c r="B130" s="246">
        <v>72601</v>
      </c>
      <c r="C130" s="188" t="s">
        <v>413</v>
      </c>
      <c r="D130" s="245">
        <v>1</v>
      </c>
      <c r="E130" s="247" t="s">
        <v>420</v>
      </c>
      <c r="F130" s="245" t="s">
        <v>415</v>
      </c>
      <c r="G130" s="188" t="s">
        <v>416</v>
      </c>
      <c r="H130" s="267">
        <v>45862</v>
      </c>
      <c r="I130" s="217">
        <v>3</v>
      </c>
      <c r="J130" s="188" t="s">
        <v>421</v>
      </c>
      <c r="K130" s="250">
        <v>1950</v>
      </c>
      <c r="L130" s="217" t="s">
        <v>423</v>
      </c>
      <c r="M130" s="252"/>
      <c r="N130" s="217"/>
      <c r="O130" s="254"/>
      <c r="P130" s="266">
        <v>45891</v>
      </c>
      <c r="Q130" s="271"/>
      <c r="R130" s="219" t="str">
        <f t="shared" si="3"/>
        <v/>
      </c>
      <c r="S130" s="188"/>
    </row>
    <row r="131" spans="1:19" ht="18" customHeight="1">
      <c r="A131" s="245"/>
      <c r="B131" s="246"/>
      <c r="C131" s="188"/>
      <c r="D131" s="245"/>
      <c r="E131" s="247"/>
      <c r="F131" s="245"/>
      <c r="G131" s="188"/>
      <c r="H131" s="267"/>
      <c r="J131" s="188"/>
      <c r="M131" s="252"/>
      <c r="N131" s="217"/>
      <c r="O131" s="254"/>
      <c r="P131" s="266"/>
      <c r="Q131" s="271"/>
      <c r="R131" s="219" t="str">
        <f t="shared" si="3"/>
        <v/>
      </c>
      <c r="S131" s="188"/>
    </row>
    <row r="132" spans="1:19" ht="18" customHeight="1">
      <c r="A132" s="245">
        <v>38972</v>
      </c>
      <c r="B132" s="246">
        <v>72602</v>
      </c>
      <c r="C132" s="188" t="s">
        <v>41</v>
      </c>
      <c r="D132" s="245">
        <v>10</v>
      </c>
      <c r="E132" s="247" t="s">
        <v>424</v>
      </c>
      <c r="F132" s="245"/>
      <c r="G132" s="281" t="s">
        <v>303</v>
      </c>
      <c r="H132" s="267">
        <v>45863</v>
      </c>
      <c r="I132" s="217">
        <v>1</v>
      </c>
      <c r="J132" s="188" t="s">
        <v>425</v>
      </c>
      <c r="K132" s="250">
        <v>11328</v>
      </c>
      <c r="L132" s="217" t="s">
        <v>426</v>
      </c>
      <c r="M132" s="252"/>
      <c r="N132" s="217"/>
      <c r="O132" s="254"/>
      <c r="P132" s="266">
        <v>45958</v>
      </c>
      <c r="Q132" s="271"/>
      <c r="R132" s="219" t="str">
        <f t="shared" ref="R132:R163" si="4">IF(SUM(Q132)&gt;0,SUM(Q132-P132),"")</f>
        <v/>
      </c>
      <c r="S132" s="188"/>
    </row>
    <row r="133" spans="1:19" ht="18" customHeight="1">
      <c r="A133" s="245">
        <v>38972</v>
      </c>
      <c r="B133" s="246">
        <v>72603</v>
      </c>
      <c r="C133" s="188" t="s">
        <v>41</v>
      </c>
      <c r="D133" s="245">
        <v>2</v>
      </c>
      <c r="E133" s="247" t="s">
        <v>427</v>
      </c>
      <c r="F133" s="245"/>
      <c r="G133" s="281" t="s">
        <v>303</v>
      </c>
      <c r="H133" s="267">
        <v>45863</v>
      </c>
      <c r="I133" s="217">
        <v>2</v>
      </c>
      <c r="J133" s="188" t="s">
        <v>428</v>
      </c>
      <c r="K133" s="250">
        <v>8313</v>
      </c>
      <c r="L133" s="217" t="s">
        <v>426</v>
      </c>
      <c r="M133" s="252"/>
      <c r="N133" s="217"/>
      <c r="O133" s="254"/>
      <c r="P133" s="266">
        <v>45958</v>
      </c>
      <c r="Q133" s="271"/>
      <c r="R133" s="219" t="str">
        <f t="shared" si="4"/>
        <v/>
      </c>
      <c r="S133" s="188"/>
    </row>
    <row r="134" spans="1:19" ht="18" customHeight="1">
      <c r="A134" s="245">
        <v>38972</v>
      </c>
      <c r="B134" s="246">
        <v>72604</v>
      </c>
      <c r="C134" s="188" t="s">
        <v>41</v>
      </c>
      <c r="D134" s="245">
        <v>2</v>
      </c>
      <c r="E134" s="247" t="s">
        <v>429</v>
      </c>
      <c r="F134" s="245"/>
      <c r="G134" s="281" t="s">
        <v>303</v>
      </c>
      <c r="H134" s="267">
        <v>45863</v>
      </c>
      <c r="I134" s="217">
        <v>3</v>
      </c>
      <c r="J134" s="188" t="s">
        <v>430</v>
      </c>
      <c r="K134" s="250">
        <v>6842</v>
      </c>
      <c r="L134" s="217" t="s">
        <v>426</v>
      </c>
      <c r="M134" s="252"/>
      <c r="N134" s="217"/>
      <c r="O134" s="254"/>
      <c r="P134" s="266">
        <v>45958</v>
      </c>
      <c r="Q134" s="271"/>
      <c r="R134" s="219" t="str">
        <f t="shared" si="4"/>
        <v/>
      </c>
      <c r="S134" s="188"/>
    </row>
    <row r="135" spans="1:19" ht="18" customHeight="1">
      <c r="A135" s="245"/>
      <c r="B135" s="246"/>
      <c r="C135" s="188"/>
      <c r="D135" s="245"/>
      <c r="E135" s="247"/>
      <c r="F135" s="245"/>
      <c r="G135" s="188"/>
      <c r="H135" s="267"/>
      <c r="J135" s="188"/>
      <c r="M135" s="252"/>
      <c r="N135" s="217"/>
      <c r="O135" s="254"/>
      <c r="P135" s="266"/>
      <c r="Q135" s="271"/>
      <c r="R135" s="219" t="str">
        <f t="shared" si="4"/>
        <v/>
      </c>
      <c r="S135" s="188"/>
    </row>
    <row r="136" spans="1:19" ht="18" customHeight="1">
      <c r="A136" s="245">
        <v>38973</v>
      </c>
      <c r="B136" s="246">
        <v>72605</v>
      </c>
      <c r="C136" s="188" t="s">
        <v>41</v>
      </c>
      <c r="D136" s="245">
        <v>18</v>
      </c>
      <c r="E136" s="247" t="s">
        <v>431</v>
      </c>
      <c r="F136" s="245">
        <v>0</v>
      </c>
      <c r="G136" s="281" t="s">
        <v>246</v>
      </c>
      <c r="H136" s="267">
        <v>45863</v>
      </c>
      <c r="I136" s="217">
        <v>1</v>
      </c>
      <c r="J136" s="188" t="s">
        <v>432</v>
      </c>
      <c r="K136" s="250">
        <v>24549</v>
      </c>
      <c r="L136" s="408" t="s">
        <v>959</v>
      </c>
      <c r="M136" s="252"/>
      <c r="N136" s="217"/>
      <c r="O136" s="254"/>
      <c r="P136" s="266">
        <v>46010</v>
      </c>
      <c r="Q136" s="271"/>
      <c r="R136" s="219" t="str">
        <f t="shared" si="4"/>
        <v/>
      </c>
      <c r="S136" s="188"/>
    </row>
    <row r="137" spans="1:19" ht="18" customHeight="1">
      <c r="A137" s="245">
        <v>38973</v>
      </c>
      <c r="B137" s="246">
        <v>72606</v>
      </c>
      <c r="C137" s="188" t="s">
        <v>41</v>
      </c>
      <c r="D137" s="245" t="s">
        <v>726</v>
      </c>
      <c r="E137" s="247" t="s">
        <v>433</v>
      </c>
      <c r="F137" s="245"/>
      <c r="G137" s="281" t="s">
        <v>246</v>
      </c>
      <c r="H137" s="267">
        <v>45863</v>
      </c>
      <c r="I137" s="217">
        <v>2</v>
      </c>
      <c r="J137" s="188" t="s">
        <v>434</v>
      </c>
      <c r="K137" s="250">
        <v>9820</v>
      </c>
      <c r="L137" s="408" t="s">
        <v>959</v>
      </c>
      <c r="M137" s="252"/>
      <c r="N137" s="217"/>
      <c r="O137" s="254"/>
      <c r="P137" s="266">
        <v>46010</v>
      </c>
      <c r="Q137" s="271"/>
      <c r="R137" s="219" t="str">
        <f t="shared" si="4"/>
        <v/>
      </c>
      <c r="S137" s="188"/>
    </row>
    <row r="138" spans="1:19" ht="18" customHeight="1">
      <c r="A138" s="245"/>
      <c r="B138" s="246"/>
      <c r="C138" s="188"/>
      <c r="D138" s="245"/>
      <c r="E138" s="247"/>
      <c r="F138" s="245"/>
      <c r="G138" s="188"/>
      <c r="H138" s="267"/>
      <c r="J138" s="188"/>
      <c r="M138" s="252"/>
      <c r="N138" s="217"/>
      <c r="O138" s="254"/>
      <c r="P138" s="266"/>
      <c r="Q138" s="271"/>
      <c r="R138" s="219" t="str">
        <f t="shared" si="4"/>
        <v/>
      </c>
      <c r="S138" s="188"/>
    </row>
    <row r="139" spans="1:19" ht="18" customHeight="1">
      <c r="A139" s="245">
        <v>38987</v>
      </c>
      <c r="B139" s="246">
        <v>72621</v>
      </c>
      <c r="C139" s="188" t="s">
        <v>41</v>
      </c>
      <c r="D139" s="245">
        <v>10</v>
      </c>
      <c r="E139" s="247" t="s">
        <v>281</v>
      </c>
      <c r="F139" s="245">
        <v>2</v>
      </c>
      <c r="G139" s="188" t="s">
        <v>435</v>
      </c>
      <c r="H139" s="267">
        <v>45870</v>
      </c>
      <c r="I139" s="217">
        <v>1</v>
      </c>
      <c r="J139" s="188" t="s">
        <v>436</v>
      </c>
      <c r="K139" s="250">
        <v>4097</v>
      </c>
      <c r="L139" s="217" t="s">
        <v>437</v>
      </c>
      <c r="M139" s="252"/>
      <c r="N139" s="217"/>
      <c r="O139" s="254"/>
      <c r="P139" s="272">
        <v>45975</v>
      </c>
      <c r="Q139" s="271"/>
      <c r="R139" s="219" t="str">
        <f t="shared" si="4"/>
        <v/>
      </c>
      <c r="S139" s="188"/>
    </row>
    <row r="140" spans="1:19" ht="18" customHeight="1">
      <c r="A140" s="245"/>
      <c r="B140" s="246"/>
      <c r="C140" s="188"/>
      <c r="D140" s="245"/>
      <c r="E140" s="247"/>
      <c r="F140" s="245"/>
      <c r="G140" s="188"/>
      <c r="H140" s="267"/>
      <c r="J140" s="188"/>
      <c r="M140" s="252"/>
      <c r="N140" s="217"/>
      <c r="O140" s="254"/>
      <c r="P140" s="266"/>
      <c r="Q140" s="271"/>
      <c r="R140" s="219" t="str">
        <f t="shared" si="4"/>
        <v/>
      </c>
      <c r="S140" s="188"/>
    </row>
    <row r="141" spans="1:19" ht="18" customHeight="1">
      <c r="A141" s="245">
        <v>38988</v>
      </c>
      <c r="B141" s="246">
        <v>72622</v>
      </c>
      <c r="C141" s="188" t="s">
        <v>41</v>
      </c>
      <c r="D141" s="245">
        <v>3</v>
      </c>
      <c r="E141" s="247" t="s">
        <v>285</v>
      </c>
      <c r="F141" s="245">
        <v>6</v>
      </c>
      <c r="G141" s="281" t="s">
        <v>246</v>
      </c>
      <c r="H141" s="267">
        <v>45870</v>
      </c>
      <c r="I141" s="217">
        <v>1</v>
      </c>
      <c r="J141" s="188" t="s">
        <v>438</v>
      </c>
      <c r="K141" s="250">
        <v>26451</v>
      </c>
      <c r="L141" s="217" t="s">
        <v>440</v>
      </c>
      <c r="M141" s="252"/>
      <c r="N141" s="217"/>
      <c r="O141" s="254"/>
      <c r="P141" s="266">
        <v>46019</v>
      </c>
      <c r="Q141" s="271"/>
      <c r="R141" s="219" t="str">
        <f t="shared" si="4"/>
        <v/>
      </c>
      <c r="S141" s="188"/>
    </row>
    <row r="142" spans="1:19" ht="18" customHeight="1">
      <c r="A142" s="245">
        <v>38988</v>
      </c>
      <c r="B142" s="246">
        <v>72623</v>
      </c>
      <c r="C142" s="188" t="s">
        <v>41</v>
      </c>
      <c r="D142" s="245">
        <v>2</v>
      </c>
      <c r="E142" s="247" t="s">
        <v>288</v>
      </c>
      <c r="F142" s="245">
        <v>3</v>
      </c>
      <c r="G142" s="281" t="s">
        <v>246</v>
      </c>
      <c r="H142" s="267">
        <v>45870</v>
      </c>
      <c r="I142" s="217">
        <v>2</v>
      </c>
      <c r="J142" s="188" t="s">
        <v>439</v>
      </c>
      <c r="K142" s="250">
        <v>26795</v>
      </c>
      <c r="L142" s="217" t="s">
        <v>440</v>
      </c>
      <c r="M142" s="252"/>
      <c r="N142" s="217"/>
      <c r="O142" s="254"/>
      <c r="P142" s="266">
        <v>46019</v>
      </c>
      <c r="Q142" s="271"/>
      <c r="R142" s="219" t="str">
        <f t="shared" si="4"/>
        <v/>
      </c>
      <c r="S142" s="188"/>
    </row>
    <row r="143" spans="1:19" ht="18" customHeight="1">
      <c r="A143" s="245"/>
      <c r="B143" s="246"/>
      <c r="C143" s="188"/>
      <c r="D143" s="245"/>
      <c r="E143" s="247"/>
      <c r="F143" s="245"/>
      <c r="G143" s="188"/>
      <c r="H143" s="267"/>
      <c r="J143" s="188"/>
      <c r="M143" s="252"/>
      <c r="N143" s="217"/>
      <c r="O143" s="254"/>
      <c r="P143" s="266"/>
      <c r="Q143" s="271"/>
      <c r="R143" s="219" t="str">
        <f t="shared" si="4"/>
        <v/>
      </c>
      <c r="S143" s="188"/>
    </row>
    <row r="144" spans="1:19" ht="18" customHeight="1">
      <c r="A144" s="245">
        <v>38989</v>
      </c>
      <c r="B144" s="246">
        <v>72624</v>
      </c>
      <c r="C144" s="188" t="s">
        <v>41</v>
      </c>
      <c r="D144" s="245">
        <v>1</v>
      </c>
      <c r="E144" s="247" t="s">
        <v>441</v>
      </c>
      <c r="F144" s="245">
        <v>0</v>
      </c>
      <c r="G144" s="188" t="s">
        <v>282</v>
      </c>
      <c r="H144" s="267">
        <v>45874</v>
      </c>
      <c r="I144" s="217">
        <v>1</v>
      </c>
      <c r="J144" s="188" t="s">
        <v>442</v>
      </c>
      <c r="K144" s="250">
        <v>135869</v>
      </c>
      <c r="L144" s="353" t="s">
        <v>443</v>
      </c>
      <c r="M144" s="252"/>
      <c r="N144" s="217"/>
      <c r="O144" s="254"/>
      <c r="P144" s="266">
        <v>46048</v>
      </c>
      <c r="Q144" s="271"/>
      <c r="R144" s="219" t="str">
        <f t="shared" si="4"/>
        <v/>
      </c>
      <c r="S144" s="188"/>
    </row>
    <row r="145" spans="1:19" ht="18" customHeight="1">
      <c r="A145" s="245"/>
      <c r="B145" s="246"/>
      <c r="C145" s="188"/>
      <c r="D145" s="245"/>
      <c r="E145" s="247"/>
      <c r="F145" s="245"/>
      <c r="G145" s="188"/>
      <c r="H145" s="267"/>
      <c r="J145" s="188"/>
      <c r="M145" s="252"/>
      <c r="N145" s="217"/>
      <c r="O145" s="254"/>
      <c r="P145" s="266"/>
      <c r="Q145" s="271"/>
      <c r="R145" s="219" t="str">
        <f t="shared" si="4"/>
        <v/>
      </c>
      <c r="S145" s="188"/>
    </row>
    <row r="146" spans="1:19" ht="18" customHeight="1">
      <c r="A146" s="245">
        <v>38990</v>
      </c>
      <c r="B146" s="246">
        <v>72625</v>
      </c>
      <c r="C146" s="188" t="s">
        <v>41</v>
      </c>
      <c r="D146" s="245">
        <v>4</v>
      </c>
      <c r="E146" s="247" t="s">
        <v>444</v>
      </c>
      <c r="F146" s="245"/>
      <c r="G146" s="281" t="s">
        <v>303</v>
      </c>
      <c r="H146" s="267">
        <v>45874</v>
      </c>
      <c r="I146" s="217">
        <v>1</v>
      </c>
      <c r="J146" s="188" t="s">
        <v>445</v>
      </c>
      <c r="K146" s="250">
        <v>1612</v>
      </c>
      <c r="L146" s="360" t="s">
        <v>639</v>
      </c>
      <c r="M146" s="252"/>
      <c r="N146" s="217"/>
      <c r="O146" s="254" t="s">
        <v>897</v>
      </c>
      <c r="P146" s="266">
        <v>46170</v>
      </c>
      <c r="Q146" s="271"/>
      <c r="R146" s="219" t="str">
        <f t="shared" si="4"/>
        <v/>
      </c>
      <c r="S146" s="188"/>
    </row>
    <row r="147" spans="1:19" ht="18" customHeight="1">
      <c r="A147" s="245">
        <v>38990</v>
      </c>
      <c r="B147" s="246">
        <v>72626</v>
      </c>
      <c r="C147" s="188" t="s">
        <v>41</v>
      </c>
      <c r="D147" s="245">
        <v>4</v>
      </c>
      <c r="E147" s="247" t="s">
        <v>446</v>
      </c>
      <c r="F147" s="245"/>
      <c r="G147" s="281" t="s">
        <v>303</v>
      </c>
      <c r="H147" s="267">
        <v>45874</v>
      </c>
      <c r="I147" s="217">
        <v>2</v>
      </c>
      <c r="J147" s="188" t="s">
        <v>447</v>
      </c>
      <c r="K147" s="250">
        <v>1258</v>
      </c>
      <c r="L147" s="360" t="s">
        <v>639</v>
      </c>
      <c r="M147" s="252"/>
      <c r="N147" s="217"/>
      <c r="O147" s="254"/>
      <c r="P147" s="266">
        <v>46170</v>
      </c>
      <c r="Q147" s="271"/>
      <c r="R147" s="219" t="str">
        <f t="shared" si="4"/>
        <v/>
      </c>
      <c r="S147" s="188"/>
    </row>
    <row r="148" spans="1:19" ht="18" customHeight="1">
      <c r="A148" s="245">
        <v>38990</v>
      </c>
      <c r="B148" s="246">
        <v>72627</v>
      </c>
      <c r="C148" s="188" t="s">
        <v>41</v>
      </c>
      <c r="D148" s="245">
        <v>3</v>
      </c>
      <c r="E148" s="247" t="s">
        <v>449</v>
      </c>
      <c r="F148" s="245"/>
      <c r="G148" s="281" t="s">
        <v>303</v>
      </c>
      <c r="H148" s="267">
        <v>45874</v>
      </c>
      <c r="I148" s="217">
        <v>3</v>
      </c>
      <c r="J148" s="188" t="s">
        <v>448</v>
      </c>
      <c r="K148" s="250">
        <v>10765</v>
      </c>
      <c r="L148" s="360" t="s">
        <v>639</v>
      </c>
      <c r="M148" s="252"/>
      <c r="N148" s="217"/>
      <c r="O148" s="254"/>
      <c r="P148" s="266">
        <v>46170</v>
      </c>
      <c r="Q148" s="271"/>
      <c r="R148" s="219" t="str">
        <f t="shared" si="4"/>
        <v/>
      </c>
      <c r="S148" s="188"/>
    </row>
    <row r="149" spans="1:19" ht="18" customHeight="1">
      <c r="A149" s="245">
        <v>38990</v>
      </c>
      <c r="B149" s="246">
        <v>72628</v>
      </c>
      <c r="C149" s="188" t="s">
        <v>41</v>
      </c>
      <c r="D149" s="245">
        <v>3</v>
      </c>
      <c r="E149" s="247" t="s">
        <v>450</v>
      </c>
      <c r="F149" s="245"/>
      <c r="G149" s="281" t="s">
        <v>303</v>
      </c>
      <c r="H149" s="267">
        <v>45874</v>
      </c>
      <c r="I149" s="217">
        <v>4</v>
      </c>
      <c r="J149" s="188" t="s">
        <v>451</v>
      </c>
      <c r="K149" s="250">
        <v>27754</v>
      </c>
      <c r="L149" s="360" t="s">
        <v>639</v>
      </c>
      <c r="M149" s="252"/>
      <c r="N149" s="217"/>
      <c r="O149" s="254"/>
      <c r="P149" s="266">
        <v>46170</v>
      </c>
      <c r="Q149" s="271"/>
      <c r="R149" s="219" t="str">
        <f t="shared" si="4"/>
        <v/>
      </c>
      <c r="S149" s="188"/>
    </row>
    <row r="150" spans="1:19" ht="18" customHeight="1">
      <c r="A150" s="245">
        <v>38990</v>
      </c>
      <c r="B150" s="246">
        <v>72629</v>
      </c>
      <c r="C150" s="188" t="s">
        <v>41</v>
      </c>
      <c r="D150" s="245">
        <v>5</v>
      </c>
      <c r="E150" s="247" t="s">
        <v>452</v>
      </c>
      <c r="F150" s="245"/>
      <c r="G150" s="281" t="s">
        <v>303</v>
      </c>
      <c r="H150" s="267">
        <v>45874</v>
      </c>
      <c r="I150" s="217">
        <v>5</v>
      </c>
      <c r="J150" s="188" t="s">
        <v>453</v>
      </c>
      <c r="K150" s="250">
        <v>10517</v>
      </c>
      <c r="L150" s="360" t="s">
        <v>639</v>
      </c>
      <c r="M150" s="252"/>
      <c r="N150" s="217"/>
      <c r="O150" s="254"/>
      <c r="P150" s="266">
        <v>46170</v>
      </c>
      <c r="Q150" s="271"/>
      <c r="R150" s="219" t="str">
        <f t="shared" si="4"/>
        <v/>
      </c>
      <c r="S150" s="188"/>
    </row>
    <row r="151" spans="1:19" ht="18" customHeight="1">
      <c r="A151" s="245">
        <v>38990</v>
      </c>
      <c r="B151" s="246">
        <v>72630</v>
      </c>
      <c r="C151" s="188" t="s">
        <v>41</v>
      </c>
      <c r="D151" s="245">
        <v>5</v>
      </c>
      <c r="E151" s="247" t="s">
        <v>454</v>
      </c>
      <c r="F151" s="245"/>
      <c r="G151" s="281" t="s">
        <v>303</v>
      </c>
      <c r="H151" s="267">
        <v>45874</v>
      </c>
      <c r="I151" s="217">
        <v>6</v>
      </c>
      <c r="J151" s="188" t="s">
        <v>455</v>
      </c>
      <c r="K151" s="250">
        <v>16571</v>
      </c>
      <c r="L151" s="360" t="s">
        <v>639</v>
      </c>
      <c r="M151" s="252"/>
      <c r="N151" s="217"/>
      <c r="O151" s="254"/>
      <c r="P151" s="266">
        <v>46170</v>
      </c>
      <c r="Q151" s="271"/>
      <c r="R151" s="219" t="str">
        <f t="shared" si="4"/>
        <v/>
      </c>
      <c r="S151" s="188"/>
    </row>
    <row r="152" spans="1:19" ht="18" customHeight="1">
      <c r="A152" s="245">
        <v>38990</v>
      </c>
      <c r="B152" s="246">
        <v>72631</v>
      </c>
      <c r="C152" s="188" t="s">
        <v>41</v>
      </c>
      <c r="D152" s="245">
        <v>3</v>
      </c>
      <c r="E152" s="247" t="s">
        <v>456</v>
      </c>
      <c r="F152" s="245"/>
      <c r="G152" s="281" t="s">
        <v>303</v>
      </c>
      <c r="H152" s="267">
        <v>45874</v>
      </c>
      <c r="I152" s="217">
        <v>7</v>
      </c>
      <c r="J152" s="188" t="s">
        <v>457</v>
      </c>
      <c r="K152" s="250">
        <v>4197</v>
      </c>
      <c r="L152" s="360" t="s">
        <v>639</v>
      </c>
      <c r="M152" s="252"/>
      <c r="N152" s="217"/>
      <c r="O152" s="254"/>
      <c r="P152" s="266">
        <v>46170</v>
      </c>
      <c r="Q152" s="271"/>
      <c r="R152" s="219" t="str">
        <f t="shared" si="4"/>
        <v/>
      </c>
      <c r="S152" s="188"/>
    </row>
    <row r="153" spans="1:19" ht="18" customHeight="1">
      <c r="A153" s="245">
        <v>38990</v>
      </c>
      <c r="B153" s="246">
        <v>72632</v>
      </c>
      <c r="C153" s="188" t="s">
        <v>41</v>
      </c>
      <c r="D153" s="245">
        <v>5</v>
      </c>
      <c r="E153" s="247" t="s">
        <v>458</v>
      </c>
      <c r="F153" s="245"/>
      <c r="G153" s="281" t="s">
        <v>303</v>
      </c>
      <c r="H153" s="267">
        <v>45874</v>
      </c>
      <c r="I153" s="217">
        <v>8</v>
      </c>
      <c r="J153" s="188" t="s">
        <v>459</v>
      </c>
      <c r="K153" s="250">
        <v>4192</v>
      </c>
      <c r="L153" s="360" t="s">
        <v>639</v>
      </c>
      <c r="M153" s="252"/>
      <c r="N153" s="217"/>
      <c r="O153" s="254"/>
      <c r="P153" s="266">
        <v>46170</v>
      </c>
      <c r="Q153" s="271"/>
      <c r="R153" s="219" t="str">
        <f t="shared" si="4"/>
        <v/>
      </c>
      <c r="S153" s="188"/>
    </row>
    <row r="154" spans="1:19" ht="18" customHeight="1">
      <c r="A154" s="245">
        <v>38990</v>
      </c>
      <c r="B154" s="246">
        <v>72633</v>
      </c>
      <c r="C154" s="188" t="s">
        <v>41</v>
      </c>
      <c r="D154" s="245">
        <v>5</v>
      </c>
      <c r="E154" s="247" t="s">
        <v>460</v>
      </c>
      <c r="F154" s="245"/>
      <c r="G154" s="281" t="s">
        <v>303</v>
      </c>
      <c r="H154" s="267">
        <v>45874</v>
      </c>
      <c r="I154" s="217">
        <v>9</v>
      </c>
      <c r="J154" s="188" t="s">
        <v>461</v>
      </c>
      <c r="K154" s="250">
        <v>46607</v>
      </c>
      <c r="L154" s="360" t="s">
        <v>639</v>
      </c>
      <c r="M154" s="252"/>
      <c r="N154" s="217"/>
      <c r="O154" s="254"/>
      <c r="P154" s="266">
        <v>46170</v>
      </c>
      <c r="Q154" s="271"/>
      <c r="R154" s="219" t="str">
        <f t="shared" si="4"/>
        <v/>
      </c>
      <c r="S154" s="188"/>
    </row>
    <row r="155" spans="1:19" ht="18" customHeight="1">
      <c r="A155" s="245">
        <v>38990</v>
      </c>
      <c r="B155" s="246">
        <v>72634</v>
      </c>
      <c r="C155" s="188" t="s">
        <v>41</v>
      </c>
      <c r="D155" s="245">
        <v>6</v>
      </c>
      <c r="E155" s="247" t="s">
        <v>462</v>
      </c>
      <c r="F155" s="245"/>
      <c r="G155" s="281" t="s">
        <v>303</v>
      </c>
      <c r="H155" s="267">
        <v>45874</v>
      </c>
      <c r="I155" s="217">
        <v>10</v>
      </c>
      <c r="J155" s="188" t="s">
        <v>463</v>
      </c>
      <c r="K155" s="250">
        <v>4517</v>
      </c>
      <c r="L155" s="360" t="s">
        <v>639</v>
      </c>
      <c r="M155" s="252"/>
      <c r="N155" s="217"/>
      <c r="O155" s="254"/>
      <c r="P155" s="266">
        <v>46170</v>
      </c>
      <c r="Q155" s="271"/>
      <c r="R155" s="219" t="str">
        <f t="shared" si="4"/>
        <v/>
      </c>
      <c r="S155" s="188"/>
    </row>
    <row r="156" spans="1:19" ht="18" customHeight="1">
      <c r="A156" s="245">
        <v>38990</v>
      </c>
      <c r="B156" s="246">
        <v>72635</v>
      </c>
      <c r="C156" s="188" t="s">
        <v>41</v>
      </c>
      <c r="D156" s="245">
        <v>4</v>
      </c>
      <c r="E156" s="247" t="s">
        <v>686</v>
      </c>
      <c r="F156" s="245"/>
      <c r="G156" s="281" t="s">
        <v>303</v>
      </c>
      <c r="H156" s="267">
        <v>45874</v>
      </c>
      <c r="I156" s="217">
        <v>11</v>
      </c>
      <c r="J156" s="188" t="s">
        <v>464</v>
      </c>
      <c r="K156" s="250">
        <v>12782</v>
      </c>
      <c r="L156" s="360" t="s">
        <v>639</v>
      </c>
      <c r="M156" s="252"/>
      <c r="N156" s="217"/>
      <c r="O156" s="254"/>
      <c r="P156" s="266">
        <v>46170</v>
      </c>
      <c r="Q156" s="271"/>
      <c r="R156" s="219" t="str">
        <f t="shared" si="4"/>
        <v/>
      </c>
      <c r="S156" s="188"/>
    </row>
    <row r="157" spans="1:19" ht="18" customHeight="1">
      <c r="A157" s="245"/>
      <c r="B157" s="246"/>
      <c r="C157" s="188"/>
      <c r="D157" s="245"/>
      <c r="E157" s="247"/>
      <c r="F157" s="245"/>
      <c r="G157" s="281"/>
      <c r="H157" s="267"/>
      <c r="J157" s="188"/>
      <c r="L157" s="359"/>
      <c r="M157" s="252"/>
      <c r="N157" s="217"/>
      <c r="O157" s="254"/>
      <c r="P157" s="266"/>
      <c r="Q157" s="271"/>
      <c r="R157" s="219" t="str">
        <f t="shared" si="4"/>
        <v/>
      </c>
      <c r="S157" s="188"/>
    </row>
    <row r="158" spans="1:19" ht="18" customHeight="1">
      <c r="A158" s="245">
        <v>38993</v>
      </c>
      <c r="B158" s="246">
        <v>72638</v>
      </c>
      <c r="C158" s="188" t="s">
        <v>41</v>
      </c>
      <c r="D158" s="245">
        <v>1000</v>
      </c>
      <c r="E158" s="247" t="s">
        <v>466</v>
      </c>
      <c r="F158" s="245"/>
      <c r="G158" s="188" t="s">
        <v>244</v>
      </c>
      <c r="H158" s="267">
        <v>45877</v>
      </c>
      <c r="I158" s="217">
        <v>1</v>
      </c>
      <c r="J158" s="188" t="s">
        <v>467</v>
      </c>
      <c r="K158" s="250">
        <v>48.94</v>
      </c>
      <c r="L158" s="217" t="s">
        <v>468</v>
      </c>
      <c r="M158" s="252"/>
      <c r="N158" s="217"/>
      <c r="O158" s="254"/>
      <c r="P158" s="266">
        <v>45960</v>
      </c>
      <c r="Q158" s="271"/>
      <c r="R158" s="219" t="str">
        <f t="shared" si="4"/>
        <v/>
      </c>
      <c r="S158" s="188"/>
    </row>
    <row r="159" spans="1:19" ht="18" customHeight="1">
      <c r="A159" s="245"/>
      <c r="B159" s="246"/>
      <c r="C159" s="188"/>
      <c r="D159" s="245"/>
      <c r="E159" s="247"/>
      <c r="F159" s="245"/>
      <c r="G159" s="188"/>
      <c r="H159" s="267"/>
      <c r="J159" s="188"/>
      <c r="M159" s="252"/>
      <c r="N159" s="217"/>
      <c r="O159" s="254"/>
      <c r="P159" s="266"/>
      <c r="Q159" s="271"/>
      <c r="R159" s="219" t="str">
        <f t="shared" si="4"/>
        <v/>
      </c>
      <c r="S159" s="188"/>
    </row>
    <row r="160" spans="1:19" ht="18" customHeight="1">
      <c r="A160" s="245">
        <v>38998</v>
      </c>
      <c r="B160" s="246">
        <v>72643</v>
      </c>
      <c r="C160" s="188" t="s">
        <v>41</v>
      </c>
      <c r="D160" s="245">
        <v>8</v>
      </c>
      <c r="E160" s="247" t="s">
        <v>470</v>
      </c>
      <c r="F160" s="245">
        <v>0</v>
      </c>
      <c r="G160" s="188" t="s">
        <v>246</v>
      </c>
      <c r="H160" s="267">
        <v>45881</v>
      </c>
      <c r="I160" s="217">
        <v>1</v>
      </c>
      <c r="J160" s="188" t="s">
        <v>471</v>
      </c>
      <c r="K160" s="250">
        <v>14955</v>
      </c>
      <c r="L160" s="217" t="s">
        <v>472</v>
      </c>
      <c r="M160" s="252">
        <v>44952</v>
      </c>
      <c r="N160" s="217">
        <v>8</v>
      </c>
      <c r="O160" s="254"/>
      <c r="P160" s="266">
        <v>46008</v>
      </c>
      <c r="Q160" s="271">
        <v>47155</v>
      </c>
      <c r="R160" s="219">
        <f t="shared" si="4"/>
        <v>1147</v>
      </c>
      <c r="S160" s="188"/>
    </row>
    <row r="161" spans="1:19" ht="18" customHeight="1">
      <c r="A161" s="245"/>
      <c r="B161" s="246"/>
      <c r="C161" s="188"/>
      <c r="D161" s="245"/>
      <c r="E161" s="247"/>
      <c r="F161" s="245"/>
      <c r="G161" s="188"/>
      <c r="H161" s="267"/>
      <c r="J161" s="188"/>
      <c r="M161" s="252"/>
      <c r="N161" s="217"/>
      <c r="O161" s="254"/>
      <c r="P161" s="266"/>
      <c r="Q161" s="271"/>
      <c r="R161" s="219" t="str">
        <f t="shared" si="4"/>
        <v/>
      </c>
      <c r="S161" s="188"/>
    </row>
    <row r="162" spans="1:19" ht="18" customHeight="1">
      <c r="A162" s="245">
        <v>39000</v>
      </c>
      <c r="B162" s="246">
        <v>72645</v>
      </c>
      <c r="C162" s="188" t="s">
        <v>41</v>
      </c>
      <c r="D162" s="245">
        <v>1</v>
      </c>
      <c r="E162" s="247" t="s">
        <v>473</v>
      </c>
      <c r="F162" s="245"/>
      <c r="G162" s="281" t="s">
        <v>303</v>
      </c>
      <c r="H162" s="267">
        <v>45883</v>
      </c>
      <c r="I162" s="217">
        <v>1</v>
      </c>
      <c r="J162" s="188" t="s">
        <v>474</v>
      </c>
      <c r="K162" s="250">
        <v>49980</v>
      </c>
      <c r="L162" s="217" t="s">
        <v>479</v>
      </c>
      <c r="M162" s="252"/>
      <c r="N162" s="217"/>
      <c r="O162" s="254"/>
      <c r="P162" s="266">
        <v>46002</v>
      </c>
      <c r="Q162" s="271"/>
      <c r="R162" s="219" t="str">
        <f t="shared" si="4"/>
        <v/>
      </c>
      <c r="S162" s="188"/>
    </row>
    <row r="163" spans="1:19" ht="18" customHeight="1">
      <c r="A163" s="245">
        <v>39000</v>
      </c>
      <c r="B163" s="246">
        <v>72646</v>
      </c>
      <c r="C163" s="188" t="s">
        <v>41</v>
      </c>
      <c r="D163" s="245">
        <v>1</v>
      </c>
      <c r="E163" s="247" t="s">
        <v>476</v>
      </c>
      <c r="F163" s="245">
        <v>3</v>
      </c>
      <c r="G163" s="281" t="s">
        <v>303</v>
      </c>
      <c r="H163" s="267">
        <v>45883</v>
      </c>
      <c r="I163" s="217">
        <v>2</v>
      </c>
      <c r="J163" s="188" t="s">
        <v>475</v>
      </c>
      <c r="K163" s="250">
        <v>44970</v>
      </c>
      <c r="L163" s="217" t="s">
        <v>479</v>
      </c>
      <c r="M163" s="252"/>
      <c r="N163" s="217"/>
      <c r="O163" s="254"/>
      <c r="P163" s="266">
        <v>46002</v>
      </c>
      <c r="Q163" s="271"/>
      <c r="R163" s="219" t="str">
        <f t="shared" si="4"/>
        <v/>
      </c>
      <c r="S163" s="188"/>
    </row>
    <row r="164" spans="1:19" ht="18" customHeight="1">
      <c r="A164" s="245">
        <v>39000</v>
      </c>
      <c r="B164" s="246">
        <v>72647</v>
      </c>
      <c r="C164" s="188" t="s">
        <v>41</v>
      </c>
      <c r="D164" s="245">
        <v>1</v>
      </c>
      <c r="E164" s="247" t="s">
        <v>477</v>
      </c>
      <c r="F164" s="245">
        <v>5</v>
      </c>
      <c r="G164" s="281" t="s">
        <v>303</v>
      </c>
      <c r="H164" s="267">
        <v>45883</v>
      </c>
      <c r="I164" s="217">
        <v>3</v>
      </c>
      <c r="J164" s="188" t="s">
        <v>478</v>
      </c>
      <c r="K164" s="250">
        <v>9139</v>
      </c>
      <c r="L164" s="217" t="s">
        <v>479</v>
      </c>
      <c r="M164" s="252"/>
      <c r="N164" s="217"/>
      <c r="O164" s="254"/>
      <c r="P164" s="266">
        <v>46002</v>
      </c>
      <c r="Q164" s="271"/>
      <c r="R164" s="219" t="str">
        <f t="shared" ref="R164:R166" si="5">IF(SUM(Q164)&gt;0,SUM(Q164-P164),"")</f>
        <v/>
      </c>
      <c r="S164" s="188"/>
    </row>
    <row r="165" spans="1:19" ht="18" customHeight="1">
      <c r="A165" s="245"/>
      <c r="B165" s="246"/>
      <c r="C165" s="188"/>
      <c r="D165" s="245"/>
      <c r="E165" s="247"/>
      <c r="F165" s="245"/>
      <c r="G165" s="188"/>
      <c r="H165" s="267"/>
      <c r="J165" s="188"/>
      <c r="M165" s="252"/>
      <c r="N165" s="217"/>
      <c r="O165" s="254"/>
      <c r="P165" s="266"/>
      <c r="Q165" s="271"/>
      <c r="R165" s="219" t="str">
        <f t="shared" si="5"/>
        <v/>
      </c>
      <c r="S165" s="188"/>
    </row>
    <row r="166" spans="1:19" ht="18" customHeight="1">
      <c r="A166" s="245">
        <v>39004</v>
      </c>
      <c r="B166" s="246">
        <v>72651</v>
      </c>
      <c r="C166" s="188" t="s">
        <v>41</v>
      </c>
      <c r="D166" s="245">
        <v>3</v>
      </c>
      <c r="E166" s="247" t="s">
        <v>393</v>
      </c>
      <c r="F166" s="245"/>
      <c r="G166" s="358" t="s">
        <v>282</v>
      </c>
      <c r="H166" s="267">
        <v>45885</v>
      </c>
      <c r="I166" s="217">
        <v>1</v>
      </c>
      <c r="J166" s="188" t="s">
        <v>480</v>
      </c>
      <c r="K166" s="250">
        <v>2154</v>
      </c>
      <c r="L166" s="408" t="s">
        <v>958</v>
      </c>
      <c r="M166" s="252"/>
      <c r="N166" s="217"/>
      <c r="O166" s="254"/>
      <c r="P166" s="266">
        <v>46069</v>
      </c>
      <c r="Q166" s="271"/>
      <c r="R166" s="219" t="str">
        <f t="shared" si="5"/>
        <v/>
      </c>
      <c r="S166" s="188"/>
    </row>
    <row r="167" spans="1:19" ht="18" customHeight="1">
      <c r="A167" s="245">
        <v>39004</v>
      </c>
      <c r="B167" s="349">
        <v>72651</v>
      </c>
      <c r="C167" s="188" t="s">
        <v>41</v>
      </c>
      <c r="D167" s="245">
        <v>1</v>
      </c>
      <c r="E167" s="247" t="s">
        <v>393</v>
      </c>
      <c r="F167" s="245"/>
      <c r="G167" s="358" t="s">
        <v>282</v>
      </c>
      <c r="H167" s="267">
        <v>45885</v>
      </c>
      <c r="I167" s="217" t="s">
        <v>836</v>
      </c>
      <c r="J167" s="188" t="s">
        <v>480</v>
      </c>
      <c r="K167" s="250">
        <v>2896</v>
      </c>
      <c r="L167" s="408" t="s">
        <v>958</v>
      </c>
      <c r="M167" s="252"/>
      <c r="N167" s="217"/>
      <c r="O167" s="254"/>
      <c r="P167" s="266"/>
      <c r="Q167" s="271"/>
      <c r="R167" s="219"/>
      <c r="S167" s="188"/>
    </row>
    <row r="168" spans="1:19" ht="18" customHeight="1">
      <c r="A168" s="245">
        <v>39004</v>
      </c>
      <c r="B168" s="246">
        <v>72652</v>
      </c>
      <c r="C168" s="188" t="s">
        <v>41</v>
      </c>
      <c r="D168" s="245">
        <v>3</v>
      </c>
      <c r="E168" s="247" t="s">
        <v>481</v>
      </c>
      <c r="F168" s="245"/>
      <c r="G168" s="358" t="s">
        <v>282</v>
      </c>
      <c r="H168" s="267">
        <v>45885</v>
      </c>
      <c r="I168" s="217">
        <v>2</v>
      </c>
      <c r="J168" s="188" t="s">
        <v>482</v>
      </c>
      <c r="K168" s="250">
        <v>25597</v>
      </c>
      <c r="L168" s="408" t="s">
        <v>958</v>
      </c>
      <c r="M168" s="252"/>
      <c r="N168" s="217"/>
      <c r="O168" s="254"/>
      <c r="P168" s="266">
        <v>46069</v>
      </c>
      <c r="Q168" s="271"/>
      <c r="R168" s="219" t="str">
        <f t="shared" ref="R168:R209" si="6">IF(SUM(Q168)&gt;0,SUM(Q168-P168),"")</f>
        <v/>
      </c>
      <c r="S168" s="188"/>
    </row>
    <row r="169" spans="1:19" ht="18" customHeight="1">
      <c r="A169" s="245">
        <v>39004</v>
      </c>
      <c r="B169" s="246">
        <v>72653</v>
      </c>
      <c r="C169" s="188" t="s">
        <v>41</v>
      </c>
      <c r="D169" s="245">
        <v>2</v>
      </c>
      <c r="E169" s="247" t="s">
        <v>483</v>
      </c>
      <c r="F169" s="245"/>
      <c r="G169" s="358" t="s">
        <v>282</v>
      </c>
      <c r="H169" s="267">
        <v>45885</v>
      </c>
      <c r="I169" s="217">
        <v>3</v>
      </c>
      <c r="J169" s="188" t="s">
        <v>484</v>
      </c>
      <c r="K169" s="250">
        <v>23777</v>
      </c>
      <c r="L169" s="408" t="s">
        <v>958</v>
      </c>
      <c r="M169" s="252"/>
      <c r="N169" s="217"/>
      <c r="O169" s="254"/>
      <c r="P169" s="266">
        <v>46069</v>
      </c>
      <c r="Q169" s="271"/>
      <c r="R169" s="219" t="str">
        <f t="shared" si="6"/>
        <v/>
      </c>
      <c r="S169" s="188"/>
    </row>
    <row r="170" spans="1:19" ht="18" customHeight="1">
      <c r="A170" s="245">
        <v>39004</v>
      </c>
      <c r="B170" s="246">
        <v>72654</v>
      </c>
      <c r="C170" s="188" t="s">
        <v>41</v>
      </c>
      <c r="D170" s="245">
        <v>1</v>
      </c>
      <c r="E170" s="247" t="s">
        <v>485</v>
      </c>
      <c r="F170" s="245"/>
      <c r="G170" s="358" t="s">
        <v>282</v>
      </c>
      <c r="H170" s="267">
        <v>45885</v>
      </c>
      <c r="I170" s="217">
        <v>4</v>
      </c>
      <c r="J170" s="188" t="s">
        <v>486</v>
      </c>
      <c r="K170" s="250">
        <v>17784</v>
      </c>
      <c r="L170" s="408" t="s">
        <v>958</v>
      </c>
      <c r="M170" s="252"/>
      <c r="N170" s="217"/>
      <c r="O170" s="254"/>
      <c r="P170" s="266">
        <v>46069</v>
      </c>
      <c r="Q170" s="271"/>
      <c r="R170" s="219" t="str">
        <f t="shared" si="6"/>
        <v/>
      </c>
      <c r="S170" s="188"/>
    </row>
    <row r="171" spans="1:19" ht="18" customHeight="1">
      <c r="A171" s="245"/>
      <c r="B171" s="246"/>
      <c r="C171" s="188"/>
      <c r="D171" s="245"/>
      <c r="E171" s="247"/>
      <c r="F171" s="245"/>
      <c r="G171" s="188"/>
      <c r="H171" s="267"/>
      <c r="J171" s="188"/>
      <c r="M171" s="252"/>
      <c r="N171" s="217"/>
      <c r="O171" s="254"/>
      <c r="P171" s="266"/>
      <c r="Q171" s="271"/>
      <c r="R171" s="219" t="str">
        <f t="shared" si="6"/>
        <v/>
      </c>
      <c r="S171" s="188"/>
    </row>
    <row r="172" spans="1:19" ht="18" customHeight="1">
      <c r="A172" s="252">
        <v>39006</v>
      </c>
      <c r="B172" s="246">
        <v>72656</v>
      </c>
      <c r="C172" s="188" t="s">
        <v>4</v>
      </c>
      <c r="D172" s="245">
        <v>1</v>
      </c>
      <c r="E172" s="247" t="s">
        <v>487</v>
      </c>
      <c r="F172" s="245"/>
      <c r="G172" s="188" t="s">
        <v>279</v>
      </c>
      <c r="H172" s="267">
        <v>45887</v>
      </c>
      <c r="I172" s="217">
        <v>10</v>
      </c>
      <c r="J172" s="188" t="s">
        <v>488</v>
      </c>
      <c r="K172" s="250">
        <v>2173</v>
      </c>
      <c r="L172" s="217">
        <v>280103799</v>
      </c>
      <c r="M172" s="252"/>
      <c r="N172" s="217"/>
      <c r="O172" s="254"/>
      <c r="P172" s="266">
        <v>45968</v>
      </c>
      <c r="Q172" s="271"/>
      <c r="R172" s="219" t="str">
        <f t="shared" si="6"/>
        <v/>
      </c>
      <c r="S172" s="188"/>
    </row>
    <row r="173" spans="1:19" ht="18" customHeight="1">
      <c r="A173" s="245">
        <v>39006</v>
      </c>
      <c r="B173" s="246">
        <v>72657</v>
      </c>
      <c r="C173" s="188" t="s">
        <v>4</v>
      </c>
      <c r="D173" s="245">
        <v>1</v>
      </c>
      <c r="E173" s="247" t="s">
        <v>489</v>
      </c>
      <c r="F173" s="245"/>
      <c r="G173" s="188" t="s">
        <v>279</v>
      </c>
      <c r="H173" s="267">
        <v>45887</v>
      </c>
      <c r="I173" s="217">
        <v>20</v>
      </c>
      <c r="J173" s="188" t="s">
        <v>488</v>
      </c>
      <c r="K173" s="250">
        <v>2360</v>
      </c>
      <c r="L173" s="217">
        <v>280103799</v>
      </c>
      <c r="M173" s="252"/>
      <c r="N173" s="217"/>
      <c r="O173" s="254"/>
      <c r="P173" s="266">
        <v>45968</v>
      </c>
      <c r="Q173" s="271"/>
      <c r="R173" s="219" t="str">
        <f t="shared" si="6"/>
        <v/>
      </c>
      <c r="S173" s="188"/>
    </row>
    <row r="174" spans="1:19" ht="18" customHeight="1">
      <c r="A174" s="245">
        <v>39007</v>
      </c>
      <c r="B174" s="401">
        <v>72674</v>
      </c>
      <c r="C174" s="188" t="s">
        <v>4</v>
      </c>
      <c r="D174" s="245">
        <v>1</v>
      </c>
      <c r="E174" s="247" t="s">
        <v>490</v>
      </c>
      <c r="F174" s="245"/>
      <c r="G174" s="188" t="s">
        <v>279</v>
      </c>
      <c r="H174" s="267">
        <v>45887</v>
      </c>
      <c r="I174" s="217">
        <v>190</v>
      </c>
      <c r="J174" s="188" t="s">
        <v>491</v>
      </c>
      <c r="K174" s="250">
        <v>200</v>
      </c>
      <c r="L174" s="217">
        <v>280103799</v>
      </c>
      <c r="M174" s="252"/>
      <c r="N174" s="217"/>
      <c r="O174" s="254"/>
      <c r="P174" s="266">
        <v>45968</v>
      </c>
      <c r="Q174" s="271"/>
      <c r="R174" s="219" t="str">
        <f t="shared" si="6"/>
        <v/>
      </c>
      <c r="S174" s="188"/>
    </row>
    <row r="175" spans="1:19" ht="18" customHeight="1">
      <c r="A175" s="245"/>
      <c r="B175" s="246"/>
      <c r="C175" s="188"/>
      <c r="D175" s="245"/>
      <c r="E175" s="247"/>
      <c r="F175" s="245"/>
      <c r="G175" s="188"/>
      <c r="H175" s="267"/>
      <c r="J175" s="188"/>
      <c r="M175" s="252"/>
      <c r="N175" s="217"/>
      <c r="O175" s="254"/>
      <c r="P175" s="266"/>
      <c r="Q175" s="271"/>
      <c r="R175" s="219" t="str">
        <f t="shared" si="6"/>
        <v/>
      </c>
      <c r="S175" s="188"/>
    </row>
    <row r="176" spans="1:19" ht="18" customHeight="1">
      <c r="A176" s="369">
        <v>39016</v>
      </c>
      <c r="B176" s="370">
        <v>72692</v>
      </c>
      <c r="C176" s="371" t="s">
        <v>41</v>
      </c>
      <c r="D176" s="369">
        <v>2</v>
      </c>
      <c r="E176" s="372" t="s">
        <v>492</v>
      </c>
      <c r="F176" s="369"/>
      <c r="G176" s="373" t="s">
        <v>303</v>
      </c>
      <c r="H176" s="374">
        <v>45898</v>
      </c>
      <c r="I176" s="375">
        <v>1</v>
      </c>
      <c r="J176" s="371" t="s">
        <v>493</v>
      </c>
      <c r="K176" s="376">
        <v>17821</v>
      </c>
      <c r="L176" s="375" t="s">
        <v>526</v>
      </c>
      <c r="M176" s="377"/>
      <c r="N176" s="375"/>
      <c r="O176" s="378"/>
      <c r="P176" s="379">
        <v>46142</v>
      </c>
      <c r="Q176" s="271"/>
      <c r="R176" s="219" t="str">
        <f t="shared" si="6"/>
        <v/>
      </c>
      <c r="S176" s="188"/>
    </row>
    <row r="177" spans="1:19" ht="18" customHeight="1">
      <c r="A177" s="369">
        <v>39016</v>
      </c>
      <c r="B177" s="370">
        <v>72693</v>
      </c>
      <c r="C177" s="371" t="s">
        <v>41</v>
      </c>
      <c r="D177" s="369">
        <v>2</v>
      </c>
      <c r="E177" s="372" t="s">
        <v>494</v>
      </c>
      <c r="F177" s="369"/>
      <c r="G177" s="373" t="s">
        <v>303</v>
      </c>
      <c r="H177" s="374">
        <v>45898</v>
      </c>
      <c r="I177" s="375">
        <v>2</v>
      </c>
      <c r="J177" s="371" t="s">
        <v>495</v>
      </c>
      <c r="K177" s="376">
        <v>38376</v>
      </c>
      <c r="L177" s="375" t="s">
        <v>526</v>
      </c>
      <c r="M177" s="377"/>
      <c r="N177" s="375"/>
      <c r="O177" s="378"/>
      <c r="P177" s="379">
        <v>46142</v>
      </c>
      <c r="Q177" s="271"/>
      <c r="R177" s="219" t="str">
        <f t="shared" si="6"/>
        <v/>
      </c>
      <c r="S177" s="188"/>
    </row>
    <row r="178" spans="1:19" ht="18" customHeight="1">
      <c r="A178" s="369">
        <v>39016</v>
      </c>
      <c r="B178" s="370">
        <v>72694</v>
      </c>
      <c r="C178" s="371" t="s">
        <v>41</v>
      </c>
      <c r="D178" s="369">
        <v>2</v>
      </c>
      <c r="E178" s="372" t="s">
        <v>496</v>
      </c>
      <c r="F178" s="369"/>
      <c r="G178" s="373" t="s">
        <v>303</v>
      </c>
      <c r="H178" s="374">
        <v>45898</v>
      </c>
      <c r="I178" s="375">
        <v>3</v>
      </c>
      <c r="J178" s="371" t="s">
        <v>497</v>
      </c>
      <c r="K178" s="376">
        <v>2911</v>
      </c>
      <c r="L178" s="375" t="s">
        <v>526</v>
      </c>
      <c r="M178" s="377"/>
      <c r="N178" s="375"/>
      <c r="O178" s="378"/>
      <c r="P178" s="379">
        <v>46142</v>
      </c>
      <c r="Q178" s="271"/>
      <c r="R178" s="219" t="str">
        <f t="shared" si="6"/>
        <v/>
      </c>
      <c r="S178" s="188"/>
    </row>
    <row r="179" spans="1:19" ht="18" customHeight="1">
      <c r="A179" s="369">
        <v>39016</v>
      </c>
      <c r="B179" s="370">
        <v>72695</v>
      </c>
      <c r="C179" s="371" t="s">
        <v>41</v>
      </c>
      <c r="D179" s="369">
        <v>2</v>
      </c>
      <c r="E179" s="372" t="s">
        <v>498</v>
      </c>
      <c r="F179" s="369"/>
      <c r="G179" s="373" t="s">
        <v>303</v>
      </c>
      <c r="H179" s="374">
        <v>45898</v>
      </c>
      <c r="I179" s="375">
        <v>4</v>
      </c>
      <c r="J179" s="371" t="s">
        <v>499</v>
      </c>
      <c r="K179" s="376">
        <v>4617</v>
      </c>
      <c r="L179" s="375" t="s">
        <v>526</v>
      </c>
      <c r="M179" s="377"/>
      <c r="N179" s="375"/>
      <c r="O179" s="378"/>
      <c r="P179" s="379">
        <v>46142</v>
      </c>
      <c r="Q179" s="271"/>
      <c r="R179" s="219" t="str">
        <f t="shared" si="6"/>
        <v/>
      </c>
      <c r="S179" s="188"/>
    </row>
    <row r="180" spans="1:19" ht="18" customHeight="1">
      <c r="A180" s="369">
        <v>39016</v>
      </c>
      <c r="B180" s="370">
        <v>72696</v>
      </c>
      <c r="C180" s="371" t="s">
        <v>41</v>
      </c>
      <c r="D180" s="369">
        <v>6</v>
      </c>
      <c r="E180" s="372" t="s">
        <v>500</v>
      </c>
      <c r="F180" s="369"/>
      <c r="G180" s="373" t="s">
        <v>303</v>
      </c>
      <c r="H180" s="374">
        <v>45898</v>
      </c>
      <c r="I180" s="375">
        <v>5</v>
      </c>
      <c r="J180" s="371" t="s">
        <v>501</v>
      </c>
      <c r="K180" s="376">
        <v>10453</v>
      </c>
      <c r="L180" s="375" t="s">
        <v>526</v>
      </c>
      <c r="M180" s="377"/>
      <c r="N180" s="375"/>
      <c r="O180" s="378"/>
      <c r="P180" s="379">
        <v>46142</v>
      </c>
      <c r="Q180" s="271"/>
      <c r="R180" s="219" t="str">
        <f t="shared" si="6"/>
        <v/>
      </c>
      <c r="S180" s="188"/>
    </row>
    <row r="181" spans="1:19" ht="18" customHeight="1">
      <c r="A181" s="369">
        <v>39016</v>
      </c>
      <c r="B181" s="370">
        <v>72697</v>
      </c>
      <c r="C181" s="371" t="s">
        <v>41</v>
      </c>
      <c r="D181" s="369">
        <v>2</v>
      </c>
      <c r="E181" s="372" t="s">
        <v>502</v>
      </c>
      <c r="F181" s="369"/>
      <c r="G181" s="373" t="s">
        <v>303</v>
      </c>
      <c r="H181" s="374">
        <v>45898</v>
      </c>
      <c r="I181" s="375">
        <v>6</v>
      </c>
      <c r="J181" s="371" t="s">
        <v>503</v>
      </c>
      <c r="K181" s="376">
        <v>79970</v>
      </c>
      <c r="L181" s="375" t="s">
        <v>526</v>
      </c>
      <c r="M181" s="377"/>
      <c r="N181" s="375"/>
      <c r="O181" s="378"/>
      <c r="P181" s="379">
        <v>46142</v>
      </c>
      <c r="Q181" s="271"/>
      <c r="R181" s="219" t="str">
        <f t="shared" si="6"/>
        <v/>
      </c>
      <c r="S181" s="188"/>
    </row>
    <row r="182" spans="1:19" ht="18" customHeight="1">
      <c r="A182" s="369">
        <v>39016</v>
      </c>
      <c r="B182" s="349">
        <v>72698</v>
      </c>
      <c r="C182" s="371" t="s">
        <v>41</v>
      </c>
      <c r="D182" s="369">
        <v>2</v>
      </c>
      <c r="E182" s="372" t="s">
        <v>504</v>
      </c>
      <c r="F182" s="369"/>
      <c r="G182" s="373" t="s">
        <v>303</v>
      </c>
      <c r="H182" s="374">
        <v>45898</v>
      </c>
      <c r="I182" s="375">
        <v>7</v>
      </c>
      <c r="J182" s="371" t="s">
        <v>505</v>
      </c>
      <c r="K182" s="376">
        <v>50363</v>
      </c>
      <c r="L182" s="375" t="s">
        <v>526</v>
      </c>
      <c r="M182" s="377"/>
      <c r="N182" s="375"/>
      <c r="O182" s="378"/>
      <c r="P182" s="379">
        <v>46142</v>
      </c>
      <c r="Q182" s="271"/>
      <c r="R182" s="219" t="str">
        <f t="shared" si="6"/>
        <v/>
      </c>
      <c r="S182" s="188"/>
    </row>
    <row r="183" spans="1:19" ht="18" customHeight="1">
      <c r="A183" s="369">
        <v>39016</v>
      </c>
      <c r="B183" s="370">
        <v>72699</v>
      </c>
      <c r="C183" s="371" t="s">
        <v>41</v>
      </c>
      <c r="D183" s="369">
        <v>1</v>
      </c>
      <c r="E183" s="372" t="s">
        <v>506</v>
      </c>
      <c r="F183" s="369"/>
      <c r="G183" s="373" t="s">
        <v>303</v>
      </c>
      <c r="H183" s="374">
        <v>45898</v>
      </c>
      <c r="I183" s="375">
        <v>8</v>
      </c>
      <c r="J183" s="371" t="s">
        <v>507</v>
      </c>
      <c r="K183" s="376">
        <v>16754</v>
      </c>
      <c r="L183" s="375" t="s">
        <v>526</v>
      </c>
      <c r="M183" s="377"/>
      <c r="N183" s="375"/>
      <c r="O183" s="378"/>
      <c r="P183" s="379">
        <v>46142</v>
      </c>
      <c r="Q183" s="271"/>
      <c r="R183" s="219" t="str">
        <f t="shared" si="6"/>
        <v/>
      </c>
      <c r="S183" s="188"/>
    </row>
    <row r="184" spans="1:19" ht="18" customHeight="1">
      <c r="A184" s="369">
        <v>39016</v>
      </c>
      <c r="B184" s="370">
        <v>72700</v>
      </c>
      <c r="C184" s="371" t="s">
        <v>41</v>
      </c>
      <c r="D184" s="369">
        <v>1</v>
      </c>
      <c r="E184" s="372" t="s">
        <v>508</v>
      </c>
      <c r="F184" s="369"/>
      <c r="G184" s="373" t="s">
        <v>303</v>
      </c>
      <c r="H184" s="374">
        <v>45898</v>
      </c>
      <c r="I184" s="375">
        <v>10</v>
      </c>
      <c r="J184" s="371" t="s">
        <v>509</v>
      </c>
      <c r="K184" s="376">
        <v>18455</v>
      </c>
      <c r="L184" s="375" t="s">
        <v>526</v>
      </c>
      <c r="M184" s="377"/>
      <c r="N184" s="375"/>
      <c r="O184" s="378"/>
      <c r="P184" s="379">
        <v>46142</v>
      </c>
      <c r="Q184" s="271"/>
      <c r="R184" s="219" t="str">
        <f t="shared" si="6"/>
        <v/>
      </c>
      <c r="S184" s="188"/>
    </row>
    <row r="185" spans="1:19" ht="18" customHeight="1">
      <c r="A185" s="369">
        <v>39016</v>
      </c>
      <c r="B185" s="370">
        <v>72701</v>
      </c>
      <c r="C185" s="371" t="s">
        <v>41</v>
      </c>
      <c r="D185" s="369">
        <v>2</v>
      </c>
      <c r="E185" s="372" t="s">
        <v>510</v>
      </c>
      <c r="F185" s="369"/>
      <c r="G185" s="373" t="s">
        <v>303</v>
      </c>
      <c r="H185" s="374">
        <v>45898</v>
      </c>
      <c r="I185" s="375">
        <v>11</v>
      </c>
      <c r="J185" s="371" t="s">
        <v>511</v>
      </c>
      <c r="K185" s="376">
        <v>775</v>
      </c>
      <c r="L185" s="375" t="s">
        <v>526</v>
      </c>
      <c r="M185" s="377"/>
      <c r="N185" s="375"/>
      <c r="O185" s="378"/>
      <c r="P185" s="379">
        <v>46142</v>
      </c>
      <c r="Q185" s="271"/>
      <c r="R185" s="219" t="str">
        <f t="shared" si="6"/>
        <v/>
      </c>
      <c r="S185" s="188"/>
    </row>
    <row r="186" spans="1:19" ht="18" customHeight="1">
      <c r="A186" s="369">
        <v>39016</v>
      </c>
      <c r="B186" s="370">
        <v>72702</v>
      </c>
      <c r="C186" s="371" t="s">
        <v>41</v>
      </c>
      <c r="D186" s="369">
        <v>2</v>
      </c>
      <c r="E186" s="372" t="s">
        <v>512</v>
      </c>
      <c r="F186" s="369"/>
      <c r="G186" s="373" t="s">
        <v>303</v>
      </c>
      <c r="H186" s="374">
        <v>45898</v>
      </c>
      <c r="I186" s="375">
        <v>12</v>
      </c>
      <c r="J186" s="371" t="s">
        <v>513</v>
      </c>
      <c r="K186" s="376">
        <v>6408</v>
      </c>
      <c r="L186" s="375" t="s">
        <v>526</v>
      </c>
      <c r="M186" s="377"/>
      <c r="N186" s="375"/>
      <c r="O186" s="378"/>
      <c r="P186" s="379">
        <v>46142</v>
      </c>
      <c r="Q186" s="271"/>
      <c r="R186" s="219" t="str">
        <f t="shared" si="6"/>
        <v/>
      </c>
      <c r="S186" s="188"/>
    </row>
    <row r="187" spans="1:19" ht="18" customHeight="1">
      <c r="A187" s="369">
        <v>39016</v>
      </c>
      <c r="B187" s="370">
        <v>72703</v>
      </c>
      <c r="C187" s="371" t="s">
        <v>41</v>
      </c>
      <c r="D187" s="369">
        <v>2</v>
      </c>
      <c r="E187" s="372" t="s">
        <v>514</v>
      </c>
      <c r="F187" s="369"/>
      <c r="G187" s="373" t="s">
        <v>303</v>
      </c>
      <c r="H187" s="374">
        <v>45898</v>
      </c>
      <c r="I187" s="375">
        <v>13</v>
      </c>
      <c r="J187" s="371" t="s">
        <v>515</v>
      </c>
      <c r="K187" s="376">
        <v>2057</v>
      </c>
      <c r="L187" s="375" t="s">
        <v>526</v>
      </c>
      <c r="M187" s="377"/>
      <c r="N187" s="375"/>
      <c r="O187" s="378"/>
      <c r="P187" s="379">
        <v>46142</v>
      </c>
      <c r="Q187" s="271"/>
      <c r="R187" s="219" t="str">
        <f t="shared" si="6"/>
        <v/>
      </c>
      <c r="S187" s="188"/>
    </row>
    <row r="188" spans="1:19" ht="18" customHeight="1">
      <c r="A188" s="369">
        <v>39016</v>
      </c>
      <c r="B188" s="370">
        <v>72704</v>
      </c>
      <c r="C188" s="371" t="s">
        <v>41</v>
      </c>
      <c r="D188" s="369">
        <v>2</v>
      </c>
      <c r="E188" s="372" t="s">
        <v>516</v>
      </c>
      <c r="F188" s="369"/>
      <c r="G188" s="373" t="s">
        <v>303</v>
      </c>
      <c r="H188" s="374">
        <v>45898</v>
      </c>
      <c r="I188" s="375">
        <v>14</v>
      </c>
      <c r="J188" s="371" t="s">
        <v>517</v>
      </c>
      <c r="K188" s="376">
        <v>70664</v>
      </c>
      <c r="L188" s="375" t="s">
        <v>526</v>
      </c>
      <c r="M188" s="377"/>
      <c r="N188" s="375"/>
      <c r="O188" s="378"/>
      <c r="P188" s="379">
        <v>46142</v>
      </c>
      <c r="Q188" s="271"/>
      <c r="R188" s="219" t="str">
        <f t="shared" si="6"/>
        <v/>
      </c>
      <c r="S188" s="188"/>
    </row>
    <row r="189" spans="1:19" ht="18" customHeight="1">
      <c r="A189" s="369">
        <v>39016</v>
      </c>
      <c r="B189" s="370">
        <v>72705</v>
      </c>
      <c r="C189" s="371" t="s">
        <v>41</v>
      </c>
      <c r="D189" s="369">
        <v>2</v>
      </c>
      <c r="E189" s="372" t="s">
        <v>518</v>
      </c>
      <c r="F189" s="369"/>
      <c r="G189" s="373" t="s">
        <v>303</v>
      </c>
      <c r="H189" s="374">
        <v>45898</v>
      </c>
      <c r="I189" s="375">
        <v>15</v>
      </c>
      <c r="J189" s="371" t="s">
        <v>519</v>
      </c>
      <c r="K189" s="376">
        <v>6646</v>
      </c>
      <c r="L189" s="375" t="s">
        <v>526</v>
      </c>
      <c r="M189" s="377"/>
      <c r="N189" s="375"/>
      <c r="O189" s="378"/>
      <c r="P189" s="379">
        <v>46142</v>
      </c>
      <c r="Q189" s="271"/>
      <c r="R189" s="219" t="str">
        <f t="shared" si="6"/>
        <v/>
      </c>
      <c r="S189" s="188"/>
    </row>
    <row r="190" spans="1:19" ht="18" customHeight="1">
      <c r="A190" s="369">
        <v>39016</v>
      </c>
      <c r="B190" s="370">
        <v>72706</v>
      </c>
      <c r="C190" s="371" t="s">
        <v>41</v>
      </c>
      <c r="D190" s="369">
        <v>2</v>
      </c>
      <c r="E190" s="372" t="s">
        <v>520</v>
      </c>
      <c r="F190" s="369"/>
      <c r="G190" s="373" t="s">
        <v>303</v>
      </c>
      <c r="H190" s="374">
        <v>45898</v>
      </c>
      <c r="I190" s="375">
        <v>16</v>
      </c>
      <c r="J190" s="371" t="s">
        <v>521</v>
      </c>
      <c r="K190" s="376">
        <v>660</v>
      </c>
      <c r="L190" s="375" t="s">
        <v>526</v>
      </c>
      <c r="M190" s="377"/>
      <c r="N190" s="375"/>
      <c r="O190" s="378"/>
      <c r="P190" s="379">
        <v>46142</v>
      </c>
      <c r="Q190" s="271"/>
      <c r="R190" s="219" t="str">
        <f t="shared" si="6"/>
        <v/>
      </c>
      <c r="S190" s="188"/>
    </row>
    <row r="191" spans="1:19" ht="18" customHeight="1">
      <c r="A191" s="369">
        <v>39016</v>
      </c>
      <c r="B191" s="370">
        <v>72707</v>
      </c>
      <c r="C191" s="371" t="s">
        <v>41</v>
      </c>
      <c r="D191" s="369">
        <v>2</v>
      </c>
      <c r="E191" s="372" t="s">
        <v>522</v>
      </c>
      <c r="F191" s="369"/>
      <c r="G191" s="373" t="s">
        <v>303</v>
      </c>
      <c r="H191" s="374">
        <v>45898</v>
      </c>
      <c r="I191" s="375">
        <v>17</v>
      </c>
      <c r="J191" s="371" t="s">
        <v>523</v>
      </c>
      <c r="K191" s="376">
        <v>662</v>
      </c>
      <c r="L191" s="375" t="s">
        <v>526</v>
      </c>
      <c r="M191" s="377"/>
      <c r="N191" s="375"/>
      <c r="O191" s="378"/>
      <c r="P191" s="379">
        <v>46142</v>
      </c>
      <c r="Q191" s="271"/>
      <c r="R191" s="219" t="str">
        <f t="shared" si="6"/>
        <v/>
      </c>
      <c r="S191" s="188"/>
    </row>
    <row r="192" spans="1:19" ht="18" customHeight="1">
      <c r="A192" s="369">
        <v>39016</v>
      </c>
      <c r="B192" s="370">
        <v>72708</v>
      </c>
      <c r="C192" s="371" t="s">
        <v>41</v>
      </c>
      <c r="D192" s="369">
        <v>2</v>
      </c>
      <c r="E192" s="372" t="s">
        <v>524</v>
      </c>
      <c r="F192" s="369"/>
      <c r="G192" s="373" t="s">
        <v>303</v>
      </c>
      <c r="H192" s="374">
        <v>45898</v>
      </c>
      <c r="I192" s="375">
        <v>18</v>
      </c>
      <c r="J192" s="371" t="s">
        <v>525</v>
      </c>
      <c r="K192" s="376">
        <v>657</v>
      </c>
      <c r="L192" s="375" t="s">
        <v>526</v>
      </c>
      <c r="M192" s="377"/>
      <c r="N192" s="375"/>
      <c r="O192" s="378"/>
      <c r="P192" s="379">
        <v>46142</v>
      </c>
      <c r="Q192" s="271"/>
      <c r="R192" s="219" t="str">
        <f t="shared" si="6"/>
        <v/>
      </c>
      <c r="S192" s="188"/>
    </row>
    <row r="193" spans="1:19" ht="18" customHeight="1">
      <c r="A193" s="245"/>
      <c r="B193" s="246"/>
      <c r="C193" s="188"/>
      <c r="D193" s="245"/>
      <c r="E193" s="247"/>
      <c r="F193" s="245"/>
      <c r="G193" s="188"/>
      <c r="H193" s="267"/>
      <c r="J193" s="188"/>
      <c r="M193" s="252"/>
      <c r="N193" s="217"/>
      <c r="O193" s="254"/>
      <c r="P193" s="266"/>
      <c r="Q193" s="271"/>
      <c r="R193" s="219" t="str">
        <f t="shared" si="6"/>
        <v/>
      </c>
      <c r="S193" s="188"/>
    </row>
    <row r="194" spans="1:19" ht="18" customHeight="1">
      <c r="A194" s="245">
        <v>39020</v>
      </c>
      <c r="B194" s="246">
        <v>72712</v>
      </c>
      <c r="C194" s="188" t="s">
        <v>168</v>
      </c>
      <c r="D194" s="245">
        <v>3</v>
      </c>
      <c r="E194" s="247" t="s">
        <v>527</v>
      </c>
      <c r="F194" s="245"/>
      <c r="G194" s="188" t="s">
        <v>381</v>
      </c>
      <c r="H194" s="267">
        <v>45904</v>
      </c>
      <c r="I194" s="217">
        <v>10</v>
      </c>
      <c r="J194" s="188" t="s">
        <v>528</v>
      </c>
      <c r="K194" s="250">
        <v>1233</v>
      </c>
      <c r="L194" s="217">
        <v>700547896</v>
      </c>
      <c r="M194" s="252">
        <v>44953</v>
      </c>
      <c r="N194" s="217">
        <v>3</v>
      </c>
      <c r="O194" s="254">
        <v>53204</v>
      </c>
      <c r="P194" s="272">
        <v>46000</v>
      </c>
      <c r="Q194" s="271">
        <v>46062</v>
      </c>
      <c r="R194" s="219">
        <f t="shared" si="6"/>
        <v>62</v>
      </c>
      <c r="S194" s="188"/>
    </row>
    <row r="195" spans="1:19" ht="18" customHeight="1">
      <c r="A195" s="245"/>
      <c r="B195" s="246"/>
      <c r="C195" s="188"/>
      <c r="D195" s="245"/>
      <c r="E195" s="247"/>
      <c r="F195" s="245"/>
      <c r="G195" s="188"/>
      <c r="H195" s="267"/>
      <c r="J195" s="188"/>
      <c r="M195" s="252"/>
      <c r="N195" s="217"/>
      <c r="O195" s="254"/>
      <c r="P195" s="266"/>
      <c r="Q195" s="271"/>
      <c r="R195" s="219" t="str">
        <f t="shared" si="6"/>
        <v/>
      </c>
      <c r="S195" s="188"/>
    </row>
    <row r="196" spans="1:19" ht="18" customHeight="1">
      <c r="A196" s="245">
        <v>39021</v>
      </c>
      <c r="B196" s="246">
        <v>72713</v>
      </c>
      <c r="C196" s="188" t="s">
        <v>41</v>
      </c>
      <c r="D196" s="245">
        <v>1</v>
      </c>
      <c r="E196" s="247" t="s">
        <v>529</v>
      </c>
      <c r="F196" s="245"/>
      <c r="G196" s="281" t="s">
        <v>530</v>
      </c>
      <c r="H196" s="267">
        <v>45908</v>
      </c>
      <c r="I196" s="217">
        <v>1</v>
      </c>
      <c r="J196" s="188" t="s">
        <v>531</v>
      </c>
      <c r="K196" s="250">
        <v>25379</v>
      </c>
      <c r="L196" s="217" t="s">
        <v>558</v>
      </c>
      <c r="M196" s="252"/>
      <c r="N196" s="217"/>
      <c r="O196" s="254"/>
      <c r="P196" s="364">
        <v>46097</v>
      </c>
      <c r="Q196" s="271"/>
      <c r="R196" s="219" t="str">
        <f t="shared" si="6"/>
        <v/>
      </c>
      <c r="S196" s="188"/>
    </row>
    <row r="197" spans="1:19" ht="18" customHeight="1">
      <c r="A197" s="245">
        <v>39021</v>
      </c>
      <c r="B197" s="246">
        <v>72714</v>
      </c>
      <c r="C197" s="188" t="s">
        <v>41</v>
      </c>
      <c r="D197" s="245">
        <v>1</v>
      </c>
      <c r="E197" s="247" t="s">
        <v>532</v>
      </c>
      <c r="F197" s="245"/>
      <c r="G197" s="281" t="s">
        <v>530</v>
      </c>
      <c r="H197" s="267">
        <v>45908</v>
      </c>
      <c r="I197" s="217">
        <v>2</v>
      </c>
      <c r="J197" s="188" t="s">
        <v>533</v>
      </c>
      <c r="K197" s="250">
        <v>5164</v>
      </c>
      <c r="L197" s="217" t="s">
        <v>558</v>
      </c>
      <c r="M197" s="252"/>
      <c r="N197" s="217"/>
      <c r="O197" s="254"/>
      <c r="P197" s="364">
        <v>46098</v>
      </c>
      <c r="Q197" s="271"/>
      <c r="R197" s="219" t="str">
        <f t="shared" si="6"/>
        <v/>
      </c>
      <c r="S197" s="188"/>
    </row>
    <row r="198" spans="1:19" ht="18" customHeight="1">
      <c r="A198" s="245">
        <v>39021</v>
      </c>
      <c r="B198" s="246">
        <v>72715</v>
      </c>
      <c r="C198" s="188" t="s">
        <v>41</v>
      </c>
      <c r="D198" s="245">
        <v>2</v>
      </c>
      <c r="E198" s="247" t="s">
        <v>534</v>
      </c>
      <c r="F198" s="245"/>
      <c r="G198" s="281" t="s">
        <v>530</v>
      </c>
      <c r="H198" s="267">
        <v>45908</v>
      </c>
      <c r="I198" s="217">
        <v>3</v>
      </c>
      <c r="J198" s="287" t="s">
        <v>535</v>
      </c>
      <c r="K198" s="250">
        <v>3278</v>
      </c>
      <c r="L198" s="217" t="s">
        <v>558</v>
      </c>
      <c r="M198" s="252"/>
      <c r="N198" s="217"/>
      <c r="O198" s="254"/>
      <c r="P198" s="364">
        <v>46099</v>
      </c>
      <c r="Q198" s="271"/>
      <c r="R198" s="219" t="str">
        <f t="shared" si="6"/>
        <v/>
      </c>
      <c r="S198" s="188"/>
    </row>
    <row r="199" spans="1:19" ht="18" customHeight="1">
      <c r="A199" s="245">
        <v>39021</v>
      </c>
      <c r="B199" s="246">
        <v>72716</v>
      </c>
      <c r="C199" s="188" t="s">
        <v>41</v>
      </c>
      <c r="D199" s="245">
        <v>1</v>
      </c>
      <c r="E199" s="247" t="s">
        <v>536</v>
      </c>
      <c r="F199" s="245"/>
      <c r="G199" s="281" t="s">
        <v>530</v>
      </c>
      <c r="H199" s="267">
        <v>45908</v>
      </c>
      <c r="I199" s="217">
        <v>4</v>
      </c>
      <c r="J199" s="188" t="s">
        <v>537</v>
      </c>
      <c r="K199" s="250">
        <v>12468</v>
      </c>
      <c r="L199" s="217" t="s">
        <v>558</v>
      </c>
      <c r="M199" s="252"/>
      <c r="N199" s="217"/>
      <c r="O199" s="254"/>
      <c r="P199" s="364">
        <v>46100</v>
      </c>
      <c r="Q199" s="271"/>
      <c r="R199" s="219" t="str">
        <f t="shared" si="6"/>
        <v/>
      </c>
      <c r="S199" s="188"/>
    </row>
    <row r="200" spans="1:19" ht="18" customHeight="1">
      <c r="A200" s="245">
        <v>39021</v>
      </c>
      <c r="B200" s="246">
        <v>72717</v>
      </c>
      <c r="C200" s="188" t="s">
        <v>41</v>
      </c>
      <c r="D200" s="245">
        <v>1</v>
      </c>
      <c r="E200" s="247" t="s">
        <v>538</v>
      </c>
      <c r="F200" s="245"/>
      <c r="G200" s="281" t="s">
        <v>530</v>
      </c>
      <c r="H200" s="267">
        <v>45908</v>
      </c>
      <c r="I200" s="217">
        <v>5</v>
      </c>
      <c r="J200" s="188" t="s">
        <v>539</v>
      </c>
      <c r="K200" s="250">
        <v>9166</v>
      </c>
      <c r="L200" s="217" t="s">
        <v>558</v>
      </c>
      <c r="M200" s="252"/>
      <c r="N200" s="217"/>
      <c r="O200" s="254"/>
      <c r="P200" s="364">
        <v>46101</v>
      </c>
      <c r="Q200" s="271"/>
      <c r="R200" s="219" t="str">
        <f t="shared" si="6"/>
        <v/>
      </c>
      <c r="S200" s="188"/>
    </row>
    <row r="201" spans="1:19" ht="18" customHeight="1">
      <c r="A201" s="245">
        <v>39021</v>
      </c>
      <c r="B201" s="246">
        <v>72718</v>
      </c>
      <c r="C201" s="188" t="s">
        <v>41</v>
      </c>
      <c r="D201" s="245">
        <v>1</v>
      </c>
      <c r="E201" s="247" t="s">
        <v>540</v>
      </c>
      <c r="F201" s="245"/>
      <c r="G201" s="281" t="s">
        <v>530</v>
      </c>
      <c r="H201" s="267">
        <v>45908</v>
      </c>
      <c r="I201" s="217">
        <v>6</v>
      </c>
      <c r="J201" s="188" t="s">
        <v>541</v>
      </c>
      <c r="K201" s="250">
        <v>26145</v>
      </c>
      <c r="L201" s="217" t="s">
        <v>558</v>
      </c>
      <c r="M201" s="252"/>
      <c r="N201" s="217"/>
      <c r="O201" s="254"/>
      <c r="P201" s="364">
        <v>46102</v>
      </c>
      <c r="Q201" s="271"/>
      <c r="R201" s="219" t="str">
        <f t="shared" si="6"/>
        <v/>
      </c>
      <c r="S201" s="188"/>
    </row>
    <row r="202" spans="1:19" ht="18" customHeight="1">
      <c r="A202" s="245">
        <v>39021</v>
      </c>
      <c r="B202" s="246">
        <v>72719</v>
      </c>
      <c r="C202" s="188" t="s">
        <v>41</v>
      </c>
      <c r="D202" s="245">
        <v>1</v>
      </c>
      <c r="E202" s="247" t="s">
        <v>542</v>
      </c>
      <c r="F202" s="245"/>
      <c r="G202" s="281" t="s">
        <v>530</v>
      </c>
      <c r="H202" s="267">
        <v>45908</v>
      </c>
      <c r="I202" s="217">
        <v>7</v>
      </c>
      <c r="J202" s="188" t="s">
        <v>543</v>
      </c>
      <c r="K202" s="250">
        <v>85101</v>
      </c>
      <c r="L202" s="217" t="s">
        <v>558</v>
      </c>
      <c r="M202" s="252"/>
      <c r="N202" s="217"/>
      <c r="O202" s="254"/>
      <c r="P202" s="364">
        <v>46103</v>
      </c>
      <c r="Q202" s="271"/>
      <c r="R202" s="219" t="str">
        <f t="shared" si="6"/>
        <v/>
      </c>
      <c r="S202" s="188"/>
    </row>
    <row r="203" spans="1:19" ht="18" customHeight="1">
      <c r="A203" s="245">
        <v>39021</v>
      </c>
      <c r="B203" s="246">
        <v>72720</v>
      </c>
      <c r="C203" s="188" t="s">
        <v>41</v>
      </c>
      <c r="D203" s="245">
        <v>1</v>
      </c>
      <c r="E203" s="247" t="s">
        <v>544</v>
      </c>
      <c r="F203" s="245"/>
      <c r="G203" s="281" t="s">
        <v>530</v>
      </c>
      <c r="H203" s="267">
        <v>45908</v>
      </c>
      <c r="I203" s="217">
        <v>8</v>
      </c>
      <c r="J203" s="188" t="s">
        <v>545</v>
      </c>
      <c r="K203" s="250">
        <v>83447</v>
      </c>
      <c r="L203" s="217" t="s">
        <v>558</v>
      </c>
      <c r="M203" s="252"/>
      <c r="N203" s="217"/>
      <c r="O203" s="254"/>
      <c r="P203" s="364">
        <v>46104</v>
      </c>
      <c r="Q203" s="271"/>
      <c r="R203" s="219" t="str">
        <f t="shared" si="6"/>
        <v/>
      </c>
      <c r="S203" s="188"/>
    </row>
    <row r="204" spans="1:19" ht="18" customHeight="1">
      <c r="A204" s="245">
        <v>39021</v>
      </c>
      <c r="B204" s="246">
        <v>72721</v>
      </c>
      <c r="C204" s="188" t="s">
        <v>41</v>
      </c>
      <c r="D204" s="245">
        <v>1</v>
      </c>
      <c r="E204" s="247" t="s">
        <v>546</v>
      </c>
      <c r="F204" s="245"/>
      <c r="G204" s="281" t="s">
        <v>530</v>
      </c>
      <c r="H204" s="267">
        <v>45908</v>
      </c>
      <c r="I204" s="217">
        <v>9</v>
      </c>
      <c r="J204" s="188" t="s">
        <v>547</v>
      </c>
      <c r="K204" s="250">
        <v>9079</v>
      </c>
      <c r="L204" s="217" t="s">
        <v>558</v>
      </c>
      <c r="M204" s="252"/>
      <c r="N204" s="217"/>
      <c r="O204" s="254"/>
      <c r="P204" s="364">
        <v>46105</v>
      </c>
      <c r="Q204" s="271"/>
      <c r="R204" s="219" t="str">
        <f t="shared" si="6"/>
        <v/>
      </c>
      <c r="S204" s="188"/>
    </row>
    <row r="205" spans="1:19" ht="18" customHeight="1">
      <c r="A205" s="245">
        <v>39021</v>
      </c>
      <c r="B205" s="246">
        <v>72722</v>
      </c>
      <c r="C205" s="188" t="s">
        <v>41</v>
      </c>
      <c r="D205" s="245">
        <v>2</v>
      </c>
      <c r="E205" s="247" t="s">
        <v>548</v>
      </c>
      <c r="F205" s="245"/>
      <c r="G205" s="281" t="s">
        <v>530</v>
      </c>
      <c r="H205" s="267">
        <v>45908</v>
      </c>
      <c r="I205" s="217">
        <v>10</v>
      </c>
      <c r="J205" s="188" t="s">
        <v>549</v>
      </c>
      <c r="K205" s="250">
        <v>1964</v>
      </c>
      <c r="L205" s="217" t="s">
        <v>558</v>
      </c>
      <c r="M205" s="252"/>
      <c r="N205" s="217"/>
      <c r="O205" s="254"/>
      <c r="P205" s="364">
        <v>46106</v>
      </c>
      <c r="Q205" s="271"/>
      <c r="R205" s="219" t="str">
        <f t="shared" si="6"/>
        <v/>
      </c>
      <c r="S205" s="188"/>
    </row>
    <row r="206" spans="1:19" ht="18" customHeight="1">
      <c r="A206" s="245">
        <v>39021</v>
      </c>
      <c r="B206" s="246">
        <v>72723</v>
      </c>
      <c r="C206" s="188" t="s">
        <v>41</v>
      </c>
      <c r="D206" s="245">
        <v>1</v>
      </c>
      <c r="E206" s="247" t="s">
        <v>550</v>
      </c>
      <c r="F206" s="245"/>
      <c r="G206" s="281" t="s">
        <v>530</v>
      </c>
      <c r="H206" s="267">
        <v>45908</v>
      </c>
      <c r="I206" s="217">
        <v>11</v>
      </c>
      <c r="J206" s="188" t="s">
        <v>551</v>
      </c>
      <c r="K206" s="250">
        <v>4397</v>
      </c>
      <c r="L206" s="217" t="s">
        <v>558</v>
      </c>
      <c r="M206" s="252"/>
      <c r="N206" s="217"/>
      <c r="O206" s="254"/>
      <c r="P206" s="364">
        <v>46107</v>
      </c>
      <c r="Q206" s="271"/>
      <c r="R206" s="219" t="str">
        <f t="shared" si="6"/>
        <v/>
      </c>
      <c r="S206" s="188"/>
    </row>
    <row r="207" spans="1:19" ht="18" customHeight="1">
      <c r="A207" s="245">
        <v>39021</v>
      </c>
      <c r="B207" s="246">
        <v>72724</v>
      </c>
      <c r="C207" s="188" t="s">
        <v>41</v>
      </c>
      <c r="D207" s="245">
        <v>1</v>
      </c>
      <c r="E207" s="247" t="s">
        <v>552</v>
      </c>
      <c r="F207" s="245"/>
      <c r="G207" s="281" t="s">
        <v>530</v>
      </c>
      <c r="H207" s="267">
        <v>45908</v>
      </c>
      <c r="I207" s="217">
        <v>12</v>
      </c>
      <c r="J207" s="188" t="s">
        <v>553</v>
      </c>
      <c r="K207" s="250">
        <v>6305</v>
      </c>
      <c r="L207" s="217" t="s">
        <v>558</v>
      </c>
      <c r="M207" s="252"/>
      <c r="N207" s="217"/>
      <c r="O207" s="254"/>
      <c r="P207" s="364">
        <v>46108</v>
      </c>
      <c r="Q207" s="271"/>
      <c r="R207" s="219" t="str">
        <f t="shared" si="6"/>
        <v/>
      </c>
      <c r="S207" s="188"/>
    </row>
    <row r="208" spans="1:19" ht="18" customHeight="1">
      <c r="A208" s="245">
        <v>39021</v>
      </c>
      <c r="B208" s="246">
        <v>72725</v>
      </c>
      <c r="C208" s="188" t="s">
        <v>41</v>
      </c>
      <c r="D208" s="245">
        <v>2</v>
      </c>
      <c r="E208" s="247" t="s">
        <v>554</v>
      </c>
      <c r="F208" s="245"/>
      <c r="G208" s="281" t="s">
        <v>530</v>
      </c>
      <c r="H208" s="267">
        <v>45908</v>
      </c>
      <c r="I208" s="217">
        <v>13</v>
      </c>
      <c r="J208" s="188" t="s">
        <v>555</v>
      </c>
      <c r="K208" s="250">
        <v>2867</v>
      </c>
      <c r="L208" s="217" t="s">
        <v>558</v>
      </c>
      <c r="M208" s="252"/>
      <c r="N208" s="217"/>
      <c r="O208" s="254"/>
      <c r="P208" s="364">
        <v>46109</v>
      </c>
      <c r="Q208" s="271"/>
      <c r="R208" s="219" t="str">
        <f t="shared" si="6"/>
        <v/>
      </c>
      <c r="S208" s="188"/>
    </row>
    <row r="209" spans="1:19" ht="18" customHeight="1">
      <c r="A209" s="245">
        <v>39021</v>
      </c>
      <c r="B209" s="246">
        <v>72726</v>
      </c>
      <c r="C209" s="188" t="s">
        <v>41</v>
      </c>
      <c r="D209" s="245">
        <v>2</v>
      </c>
      <c r="E209" s="247" t="s">
        <v>556</v>
      </c>
      <c r="F209" s="245"/>
      <c r="G209" s="281" t="s">
        <v>530</v>
      </c>
      <c r="H209" s="267">
        <v>45908</v>
      </c>
      <c r="I209" s="217">
        <v>14</v>
      </c>
      <c r="J209" s="188" t="s">
        <v>557</v>
      </c>
      <c r="K209" s="250">
        <v>2867</v>
      </c>
      <c r="L209" s="217" t="s">
        <v>558</v>
      </c>
      <c r="M209" s="252"/>
      <c r="N209" s="217"/>
      <c r="O209" s="254"/>
      <c r="P209" s="364">
        <v>46110</v>
      </c>
      <c r="Q209" s="271"/>
      <c r="R209" s="219" t="str">
        <f t="shared" si="6"/>
        <v/>
      </c>
      <c r="S209" s="188"/>
    </row>
    <row r="210" spans="1:19" ht="18" customHeight="1">
      <c r="A210" s="389">
        <v>39021</v>
      </c>
      <c r="B210" s="354">
        <v>73061</v>
      </c>
      <c r="C210" s="390" t="s">
        <v>41</v>
      </c>
      <c r="D210" s="389">
        <v>2</v>
      </c>
      <c r="E210" s="355" t="s">
        <v>534</v>
      </c>
      <c r="F210" s="389"/>
      <c r="G210" s="391" t="s">
        <v>530</v>
      </c>
      <c r="H210" s="392">
        <v>46048</v>
      </c>
      <c r="I210" s="404" t="s">
        <v>756</v>
      </c>
      <c r="J210" s="405" t="s">
        <v>535</v>
      </c>
      <c r="K210" s="394">
        <v>3278</v>
      </c>
      <c r="L210" s="410" t="s">
        <v>957</v>
      </c>
      <c r="M210" s="252"/>
      <c r="N210" s="217"/>
      <c r="O210" s="254"/>
      <c r="P210" s="406">
        <v>46220</v>
      </c>
      <c r="Q210" s="271"/>
      <c r="R210" s="219"/>
      <c r="S210" s="188"/>
    </row>
    <row r="211" spans="1:19" ht="18" customHeight="1">
      <c r="A211" s="389">
        <v>39021</v>
      </c>
      <c r="B211" s="354">
        <v>73062</v>
      </c>
      <c r="C211" s="390" t="s">
        <v>41</v>
      </c>
      <c r="D211" s="389">
        <v>1</v>
      </c>
      <c r="E211" s="355" t="s">
        <v>550</v>
      </c>
      <c r="F211" s="389"/>
      <c r="G211" s="391" t="s">
        <v>530</v>
      </c>
      <c r="H211" s="392">
        <v>46048</v>
      </c>
      <c r="I211" s="404" t="s">
        <v>774</v>
      </c>
      <c r="J211" s="390" t="s">
        <v>551</v>
      </c>
      <c r="K211" s="394">
        <v>4397</v>
      </c>
      <c r="L211" s="410" t="s">
        <v>957</v>
      </c>
      <c r="M211" s="252"/>
      <c r="N211" s="217"/>
      <c r="O211" s="254"/>
      <c r="P211" s="406">
        <v>46220</v>
      </c>
      <c r="Q211" s="271"/>
      <c r="R211" s="219"/>
      <c r="S211" s="188"/>
    </row>
    <row r="212" spans="1:19" ht="18" customHeight="1">
      <c r="A212" s="245"/>
      <c r="B212" s="246"/>
      <c r="C212" s="188"/>
      <c r="D212" s="245"/>
      <c r="E212" s="247"/>
      <c r="F212" s="245"/>
      <c r="G212" s="188"/>
      <c r="H212" s="267"/>
      <c r="J212" s="188"/>
      <c r="M212" s="252"/>
      <c r="N212" s="217"/>
      <c r="O212" s="254"/>
      <c r="P212" s="266"/>
      <c r="Q212" s="271"/>
      <c r="R212" s="219" t="str">
        <f t="shared" ref="R212:R243" si="7">IF(SUM(Q212)&gt;0,SUM(Q212-P212),"")</f>
        <v/>
      </c>
      <c r="S212" s="188"/>
    </row>
    <row r="213" spans="1:19" ht="18" customHeight="1">
      <c r="A213" s="245">
        <v>39023</v>
      </c>
      <c r="B213" s="246">
        <v>72728</v>
      </c>
      <c r="C213" s="188" t="s">
        <v>41</v>
      </c>
      <c r="D213" s="245">
        <v>1</v>
      </c>
      <c r="E213" s="247" t="s">
        <v>561</v>
      </c>
      <c r="F213" s="245"/>
      <c r="G213" s="188" t="s">
        <v>559</v>
      </c>
      <c r="H213" s="267">
        <v>45922</v>
      </c>
      <c r="I213" s="217">
        <v>1</v>
      </c>
      <c r="J213" s="188" t="s">
        <v>593</v>
      </c>
      <c r="K213" s="250">
        <v>297681</v>
      </c>
      <c r="L213" s="217" t="s">
        <v>596</v>
      </c>
      <c r="M213" s="252"/>
      <c r="N213" s="217"/>
      <c r="O213" s="254"/>
      <c r="P213" s="272">
        <v>45712</v>
      </c>
      <c r="Q213" s="271"/>
      <c r="R213" s="219" t="str">
        <f t="shared" si="7"/>
        <v/>
      </c>
      <c r="S213" s="188"/>
    </row>
    <row r="214" spans="1:19" ht="18" customHeight="1">
      <c r="A214" s="245">
        <v>39023</v>
      </c>
      <c r="B214" s="246">
        <v>72729</v>
      </c>
      <c r="C214" s="188" t="s">
        <v>41</v>
      </c>
      <c r="D214" s="245" t="s">
        <v>560</v>
      </c>
      <c r="E214" s="247" t="s">
        <v>561</v>
      </c>
      <c r="F214" s="245"/>
      <c r="G214" s="188" t="s">
        <v>559</v>
      </c>
      <c r="H214" s="267">
        <v>45922</v>
      </c>
      <c r="I214" s="217" t="s">
        <v>825</v>
      </c>
      <c r="J214" s="188" t="s">
        <v>594</v>
      </c>
      <c r="K214" s="250">
        <v>317378</v>
      </c>
      <c r="L214" s="217" t="s">
        <v>596</v>
      </c>
      <c r="M214" s="252"/>
      <c r="N214" s="217"/>
      <c r="O214" s="254"/>
      <c r="P214" s="272">
        <v>45712</v>
      </c>
      <c r="Q214" s="271"/>
      <c r="R214" s="219" t="str">
        <f t="shared" si="7"/>
        <v/>
      </c>
      <c r="S214" s="188"/>
    </row>
    <row r="215" spans="1:19" ht="18" customHeight="1">
      <c r="A215" s="245">
        <v>39023</v>
      </c>
      <c r="B215" s="246">
        <v>72730</v>
      </c>
      <c r="C215" s="188" t="s">
        <v>41</v>
      </c>
      <c r="D215" s="245">
        <v>2</v>
      </c>
      <c r="E215" s="247" t="s">
        <v>562</v>
      </c>
      <c r="F215" s="245"/>
      <c r="G215" s="188" t="s">
        <v>559</v>
      </c>
      <c r="H215" s="267">
        <v>45922</v>
      </c>
      <c r="I215" s="217">
        <v>3</v>
      </c>
      <c r="J215" s="188" t="s">
        <v>563</v>
      </c>
      <c r="K215" s="250">
        <v>274203</v>
      </c>
      <c r="L215" s="217" t="s">
        <v>596</v>
      </c>
      <c r="M215" s="252"/>
      <c r="N215" s="217"/>
      <c r="O215" s="254"/>
      <c r="P215" s="272">
        <v>45712</v>
      </c>
      <c r="Q215" s="271"/>
      <c r="R215" s="219" t="str">
        <f t="shared" si="7"/>
        <v/>
      </c>
      <c r="S215" s="188"/>
    </row>
    <row r="216" spans="1:19" ht="18" customHeight="1">
      <c r="A216" s="245">
        <v>39023</v>
      </c>
      <c r="B216" s="246">
        <v>72731</v>
      </c>
      <c r="C216" s="188" t="s">
        <v>41</v>
      </c>
      <c r="D216" s="245">
        <v>1</v>
      </c>
      <c r="E216" s="247" t="s">
        <v>565</v>
      </c>
      <c r="F216" s="245"/>
      <c r="G216" s="188" t="s">
        <v>559</v>
      </c>
      <c r="H216" s="267">
        <v>45922</v>
      </c>
      <c r="I216" s="217">
        <v>4</v>
      </c>
      <c r="J216" s="188" t="s">
        <v>567</v>
      </c>
      <c r="K216" s="250">
        <v>207317</v>
      </c>
      <c r="L216" s="217" t="s">
        <v>596</v>
      </c>
      <c r="M216" s="252"/>
      <c r="N216" s="217"/>
      <c r="O216" s="254"/>
      <c r="P216" s="272">
        <v>45712</v>
      </c>
      <c r="Q216" s="271"/>
      <c r="R216" s="219" t="str">
        <f t="shared" si="7"/>
        <v/>
      </c>
      <c r="S216" s="188"/>
    </row>
    <row r="217" spans="1:19" ht="18" customHeight="1">
      <c r="A217" s="245">
        <v>39023</v>
      </c>
      <c r="B217" s="246">
        <v>72732</v>
      </c>
      <c r="C217" s="188" t="s">
        <v>41</v>
      </c>
      <c r="D217" s="245">
        <v>1</v>
      </c>
      <c r="E217" s="247" t="s">
        <v>564</v>
      </c>
      <c r="F217" s="245"/>
      <c r="G217" s="188" t="s">
        <v>559</v>
      </c>
      <c r="H217" s="267">
        <v>45922</v>
      </c>
      <c r="I217" s="217">
        <v>5</v>
      </c>
      <c r="J217" s="188" t="s">
        <v>566</v>
      </c>
      <c r="K217" s="250">
        <v>339127</v>
      </c>
      <c r="L217" s="217" t="s">
        <v>596</v>
      </c>
      <c r="M217" s="252"/>
      <c r="N217" s="217"/>
      <c r="O217" s="254"/>
      <c r="P217" s="272">
        <v>45712</v>
      </c>
      <c r="Q217" s="271"/>
      <c r="R217" s="219" t="str">
        <f t="shared" si="7"/>
        <v/>
      </c>
      <c r="S217" s="188"/>
    </row>
    <row r="218" spans="1:19" ht="18" customHeight="1">
      <c r="A218" s="245">
        <v>39023</v>
      </c>
      <c r="B218" s="246">
        <v>72733</v>
      </c>
      <c r="C218" s="188" t="s">
        <v>41</v>
      </c>
      <c r="D218" s="245">
        <v>1</v>
      </c>
      <c r="E218" s="247" t="s">
        <v>568</v>
      </c>
      <c r="F218" s="245"/>
      <c r="G218" s="188" t="s">
        <v>559</v>
      </c>
      <c r="H218" s="267">
        <v>45922</v>
      </c>
      <c r="I218" s="217">
        <v>6</v>
      </c>
      <c r="J218" s="188" t="s">
        <v>569</v>
      </c>
      <c r="K218" s="250">
        <v>812</v>
      </c>
      <c r="L218" s="217" t="s">
        <v>596</v>
      </c>
      <c r="M218" s="252"/>
      <c r="N218" s="217"/>
      <c r="O218" s="254"/>
      <c r="P218" s="272">
        <v>45712</v>
      </c>
      <c r="Q218" s="271"/>
      <c r="R218" s="219" t="str">
        <f t="shared" si="7"/>
        <v/>
      </c>
      <c r="S218" s="188"/>
    </row>
    <row r="219" spans="1:19" ht="18" customHeight="1">
      <c r="A219" s="245">
        <v>39023</v>
      </c>
      <c r="B219" s="246">
        <v>72734</v>
      </c>
      <c r="C219" s="188" t="s">
        <v>41</v>
      </c>
      <c r="D219" s="245">
        <v>1</v>
      </c>
      <c r="E219" s="247" t="s">
        <v>570</v>
      </c>
      <c r="F219" s="245"/>
      <c r="G219" s="188" t="s">
        <v>559</v>
      </c>
      <c r="H219" s="267">
        <v>45922</v>
      </c>
      <c r="I219" s="217">
        <v>7</v>
      </c>
      <c r="J219" s="188" t="s">
        <v>571</v>
      </c>
      <c r="K219" s="250">
        <v>790</v>
      </c>
      <c r="L219" s="217" t="s">
        <v>596</v>
      </c>
      <c r="M219" s="252"/>
      <c r="N219" s="217"/>
      <c r="O219" s="254"/>
      <c r="P219" s="272">
        <v>45712</v>
      </c>
      <c r="Q219" s="271"/>
      <c r="R219" s="219" t="str">
        <f t="shared" si="7"/>
        <v/>
      </c>
      <c r="S219" s="188"/>
    </row>
    <row r="220" spans="1:19" ht="18" customHeight="1">
      <c r="A220" s="245">
        <v>39023</v>
      </c>
      <c r="B220" s="246">
        <v>72735</v>
      </c>
      <c r="C220" s="188" t="s">
        <v>41</v>
      </c>
      <c r="D220" s="245">
        <v>1</v>
      </c>
      <c r="E220" s="247" t="s">
        <v>572</v>
      </c>
      <c r="F220" s="245"/>
      <c r="G220" s="188" t="s">
        <v>559</v>
      </c>
      <c r="H220" s="267">
        <v>45922</v>
      </c>
      <c r="I220" s="217">
        <v>8</v>
      </c>
      <c r="J220" s="188" t="s">
        <v>573</v>
      </c>
      <c r="K220" s="250">
        <v>798</v>
      </c>
      <c r="L220" s="217" t="s">
        <v>596</v>
      </c>
      <c r="M220" s="252"/>
      <c r="N220" s="217"/>
      <c r="O220" s="254"/>
      <c r="P220" s="272">
        <v>45712</v>
      </c>
      <c r="Q220" s="271"/>
      <c r="R220" s="219" t="str">
        <f t="shared" si="7"/>
        <v/>
      </c>
      <c r="S220" s="188"/>
    </row>
    <row r="221" spans="1:19" ht="18" customHeight="1">
      <c r="A221" s="245">
        <v>39023</v>
      </c>
      <c r="B221" s="246">
        <v>72736</v>
      </c>
      <c r="C221" s="188" t="s">
        <v>41</v>
      </c>
      <c r="D221" s="245">
        <v>1</v>
      </c>
      <c r="E221" s="247" t="s">
        <v>574</v>
      </c>
      <c r="F221" s="245"/>
      <c r="G221" s="188" t="s">
        <v>559</v>
      </c>
      <c r="H221" s="267">
        <v>45922</v>
      </c>
      <c r="I221" s="217">
        <v>9</v>
      </c>
      <c r="J221" s="188" t="s">
        <v>575</v>
      </c>
      <c r="K221" s="250">
        <v>802</v>
      </c>
      <c r="L221" s="217" t="s">
        <v>596</v>
      </c>
      <c r="M221" s="252"/>
      <c r="N221" s="217"/>
      <c r="O221" s="254"/>
      <c r="P221" s="272">
        <v>45712</v>
      </c>
      <c r="Q221" s="271"/>
      <c r="R221" s="219" t="str">
        <f t="shared" si="7"/>
        <v/>
      </c>
      <c r="S221" s="188"/>
    </row>
    <row r="222" spans="1:19" ht="18" customHeight="1">
      <c r="A222" s="245"/>
      <c r="B222" s="246"/>
      <c r="C222" s="188"/>
      <c r="D222" s="245"/>
      <c r="E222" s="247"/>
      <c r="F222" s="245"/>
      <c r="G222" s="188"/>
      <c r="H222" s="267"/>
      <c r="J222" s="188"/>
      <c r="M222" s="252"/>
      <c r="N222" s="217"/>
      <c r="O222" s="254"/>
      <c r="P222" s="266"/>
      <c r="Q222" s="271"/>
      <c r="R222" s="219" t="str">
        <f t="shared" si="7"/>
        <v/>
      </c>
      <c r="S222" s="188"/>
    </row>
    <row r="223" spans="1:19" ht="18" customHeight="1">
      <c r="A223" s="245">
        <v>39040</v>
      </c>
      <c r="B223" s="246">
        <v>72753</v>
      </c>
      <c r="C223" s="188" t="s">
        <v>62</v>
      </c>
      <c r="D223" s="245">
        <v>1</v>
      </c>
      <c r="E223" s="247" t="s">
        <v>576</v>
      </c>
      <c r="F223" s="245"/>
      <c r="G223" s="281" t="s">
        <v>394</v>
      </c>
      <c r="H223" s="267">
        <v>45911</v>
      </c>
      <c r="I223" s="217">
        <v>1</v>
      </c>
      <c r="J223" s="188" t="s">
        <v>577</v>
      </c>
      <c r="K223" s="250">
        <v>139436</v>
      </c>
      <c r="L223" s="217" t="s">
        <v>578</v>
      </c>
      <c r="M223" s="252"/>
      <c r="N223" s="217"/>
      <c r="O223" s="254"/>
      <c r="P223" s="266">
        <v>46031</v>
      </c>
      <c r="Q223" s="271"/>
      <c r="R223" s="219" t="str">
        <f t="shared" si="7"/>
        <v/>
      </c>
      <c r="S223" s="188"/>
    </row>
    <row r="224" spans="1:19" ht="18" customHeight="1">
      <c r="A224" s="245"/>
      <c r="B224" s="246"/>
      <c r="C224" s="188"/>
      <c r="D224" s="245"/>
      <c r="E224" s="247"/>
      <c r="F224" s="245"/>
      <c r="G224" s="188"/>
      <c r="H224" s="267"/>
      <c r="J224" s="188"/>
      <c r="M224" s="252"/>
      <c r="N224" s="217"/>
      <c r="O224" s="254"/>
      <c r="P224" s="266"/>
      <c r="Q224" s="271"/>
      <c r="R224" s="219" t="str">
        <f t="shared" si="7"/>
        <v/>
      </c>
      <c r="S224" s="188"/>
    </row>
    <row r="225" spans="1:19" ht="18" customHeight="1">
      <c r="A225" s="245">
        <v>39058</v>
      </c>
      <c r="B225" s="246">
        <v>72775</v>
      </c>
      <c r="C225" s="188" t="s">
        <v>41</v>
      </c>
      <c r="D225" s="245">
        <v>6</v>
      </c>
      <c r="E225" s="247" t="s">
        <v>580</v>
      </c>
      <c r="F225" s="245"/>
      <c r="G225" s="188" t="s">
        <v>303</v>
      </c>
      <c r="H225" s="267">
        <v>45918</v>
      </c>
      <c r="I225" s="217">
        <v>1</v>
      </c>
      <c r="J225" s="188" t="s">
        <v>581</v>
      </c>
      <c r="K225" s="250">
        <v>8424</v>
      </c>
      <c r="L225" s="408" t="s">
        <v>956</v>
      </c>
      <c r="M225" s="361"/>
      <c r="N225" s="217"/>
      <c r="O225" s="254"/>
      <c r="P225" s="266">
        <v>46220</v>
      </c>
      <c r="Q225" s="271"/>
      <c r="R225" s="219" t="str">
        <f t="shared" si="7"/>
        <v/>
      </c>
      <c r="S225" s="188"/>
    </row>
    <row r="226" spans="1:19" ht="18" customHeight="1">
      <c r="A226" s="245">
        <v>39058</v>
      </c>
      <c r="B226" s="246">
        <v>72776</v>
      </c>
      <c r="C226" s="188" t="s">
        <v>41</v>
      </c>
      <c r="D226" s="245">
        <v>2</v>
      </c>
      <c r="E226" s="247" t="s">
        <v>582</v>
      </c>
      <c r="F226" s="245">
        <v>2</v>
      </c>
      <c r="G226" s="188" t="s">
        <v>303</v>
      </c>
      <c r="H226" s="267">
        <v>45918</v>
      </c>
      <c r="I226" s="217">
        <v>2</v>
      </c>
      <c r="J226" s="188" t="s">
        <v>583</v>
      </c>
      <c r="K226" s="250">
        <v>6219</v>
      </c>
      <c r="L226" s="408" t="s">
        <v>956</v>
      </c>
      <c r="M226" s="361"/>
      <c r="N226" s="217"/>
      <c r="O226" s="254"/>
      <c r="P226" s="266">
        <v>46220</v>
      </c>
      <c r="Q226" s="271"/>
      <c r="R226" s="219" t="str">
        <f t="shared" si="7"/>
        <v/>
      </c>
      <c r="S226" s="188"/>
    </row>
    <row r="227" spans="1:19" ht="18" customHeight="1">
      <c r="A227" s="245">
        <v>39058</v>
      </c>
      <c r="B227" s="246">
        <v>72777</v>
      </c>
      <c r="C227" s="188" t="s">
        <v>41</v>
      </c>
      <c r="D227" s="245">
        <v>4</v>
      </c>
      <c r="E227" s="247" t="s">
        <v>584</v>
      </c>
      <c r="F227" s="245"/>
      <c r="G227" s="188" t="s">
        <v>303</v>
      </c>
      <c r="H227" s="267">
        <v>45918</v>
      </c>
      <c r="I227" s="217">
        <v>3</v>
      </c>
      <c r="J227" s="188" t="s">
        <v>585</v>
      </c>
      <c r="K227" s="250">
        <v>5194</v>
      </c>
      <c r="L227" s="408" t="s">
        <v>956</v>
      </c>
      <c r="M227" s="361"/>
      <c r="N227" s="217"/>
      <c r="O227" s="254"/>
      <c r="P227" s="266">
        <v>46220</v>
      </c>
      <c r="Q227" s="271"/>
      <c r="R227" s="219" t="str">
        <f t="shared" si="7"/>
        <v/>
      </c>
      <c r="S227" s="188"/>
    </row>
    <row r="228" spans="1:19" ht="18" customHeight="1">
      <c r="A228" s="245">
        <v>39058</v>
      </c>
      <c r="B228" s="246">
        <v>72778</v>
      </c>
      <c r="C228" s="188" t="s">
        <v>41</v>
      </c>
      <c r="D228" s="245">
        <v>6</v>
      </c>
      <c r="E228" s="247" t="s">
        <v>586</v>
      </c>
      <c r="F228" s="245"/>
      <c r="G228" s="188" t="s">
        <v>303</v>
      </c>
      <c r="H228" s="267">
        <v>45918</v>
      </c>
      <c r="I228" s="217">
        <v>4</v>
      </c>
      <c r="J228" s="188" t="s">
        <v>587</v>
      </c>
      <c r="K228" s="250">
        <v>25949</v>
      </c>
      <c r="L228" s="408" t="s">
        <v>956</v>
      </c>
      <c r="M228" s="361"/>
      <c r="N228" s="217"/>
      <c r="O228" s="254"/>
      <c r="P228" s="266">
        <v>46220</v>
      </c>
      <c r="Q228" s="271"/>
      <c r="R228" s="219" t="str">
        <f t="shared" si="7"/>
        <v/>
      </c>
      <c r="S228" s="188"/>
    </row>
    <row r="229" spans="1:19" ht="18" customHeight="1">
      <c r="A229" s="245">
        <v>39058</v>
      </c>
      <c r="B229" s="246">
        <v>72779</v>
      </c>
      <c r="C229" s="188" t="s">
        <v>41</v>
      </c>
      <c r="D229" s="245">
        <v>5</v>
      </c>
      <c r="E229" s="247" t="s">
        <v>588</v>
      </c>
      <c r="F229" s="245"/>
      <c r="G229" s="188" t="s">
        <v>303</v>
      </c>
      <c r="H229" s="267">
        <v>45918</v>
      </c>
      <c r="I229" s="217">
        <v>5</v>
      </c>
      <c r="J229" s="188" t="s">
        <v>589</v>
      </c>
      <c r="K229" s="250">
        <v>97326</v>
      </c>
      <c r="L229" s="408" t="s">
        <v>956</v>
      </c>
      <c r="M229" s="361"/>
      <c r="N229" s="217"/>
      <c r="O229" s="254"/>
      <c r="P229" s="266">
        <v>46220</v>
      </c>
      <c r="Q229" s="271"/>
      <c r="R229" s="219" t="str">
        <f t="shared" si="7"/>
        <v/>
      </c>
      <c r="S229" s="188"/>
    </row>
    <row r="230" spans="1:19" ht="18" customHeight="1">
      <c r="A230" s="245">
        <v>39058</v>
      </c>
      <c r="B230" s="246">
        <v>72780</v>
      </c>
      <c r="C230" s="188" t="s">
        <v>41</v>
      </c>
      <c r="D230" s="245">
        <v>5</v>
      </c>
      <c r="E230" s="247" t="s">
        <v>590</v>
      </c>
      <c r="F230" s="245"/>
      <c r="G230" s="188" t="s">
        <v>303</v>
      </c>
      <c r="H230" s="267">
        <v>45918</v>
      </c>
      <c r="I230" s="217">
        <v>6</v>
      </c>
      <c r="J230" s="188" t="s">
        <v>591</v>
      </c>
      <c r="K230" s="250">
        <v>22143</v>
      </c>
      <c r="L230" s="408" t="s">
        <v>956</v>
      </c>
      <c r="M230" s="361"/>
      <c r="N230" s="217"/>
      <c r="O230" s="254"/>
      <c r="P230" s="266">
        <v>46262</v>
      </c>
      <c r="Q230" s="271"/>
      <c r="R230" s="219" t="str">
        <f t="shared" si="7"/>
        <v/>
      </c>
      <c r="S230" s="188"/>
    </row>
    <row r="231" spans="1:19" ht="18" customHeight="1">
      <c r="A231" s="245"/>
      <c r="B231" s="246"/>
      <c r="C231" s="188"/>
      <c r="D231" s="245"/>
      <c r="E231" s="247"/>
      <c r="F231" s="245"/>
      <c r="G231" s="188"/>
      <c r="H231" s="267"/>
      <c r="J231" s="188"/>
      <c r="M231" s="252"/>
      <c r="N231" s="217"/>
      <c r="O231" s="254"/>
      <c r="P231" s="266"/>
      <c r="Q231" s="271"/>
      <c r="R231" s="219" t="str">
        <f t="shared" si="7"/>
        <v/>
      </c>
      <c r="S231" s="188"/>
    </row>
    <row r="232" spans="1:19" ht="18" customHeight="1">
      <c r="A232" s="245">
        <v>39073</v>
      </c>
      <c r="B232" s="246">
        <v>72811</v>
      </c>
      <c r="C232" s="188" t="s">
        <v>41</v>
      </c>
      <c r="D232" s="245">
        <v>6</v>
      </c>
      <c r="E232" s="247" t="s">
        <v>597</v>
      </c>
      <c r="F232" s="245">
        <v>0</v>
      </c>
      <c r="G232" s="281" t="s">
        <v>303</v>
      </c>
      <c r="H232" s="267">
        <v>45929</v>
      </c>
      <c r="I232" s="217">
        <v>1</v>
      </c>
      <c r="J232" s="188" t="s">
        <v>598</v>
      </c>
      <c r="K232" s="250">
        <v>1280</v>
      </c>
      <c r="L232" s="217" t="s">
        <v>599</v>
      </c>
      <c r="M232" s="252"/>
      <c r="N232" s="217"/>
      <c r="O232" s="254"/>
      <c r="P232" s="266">
        <v>46076</v>
      </c>
      <c r="Q232" s="271"/>
      <c r="R232" s="219" t="str">
        <f t="shared" si="7"/>
        <v/>
      </c>
      <c r="S232" s="188"/>
    </row>
    <row r="233" spans="1:19" ht="18" customHeight="1">
      <c r="A233" s="245">
        <v>39073</v>
      </c>
      <c r="B233" s="246">
        <v>72812</v>
      </c>
      <c r="C233" s="188" t="s">
        <v>41</v>
      </c>
      <c r="D233" s="245">
        <v>4</v>
      </c>
      <c r="E233" s="247" t="s">
        <v>600</v>
      </c>
      <c r="F233" s="245"/>
      <c r="G233" s="281" t="s">
        <v>303</v>
      </c>
      <c r="H233" s="267">
        <v>45929</v>
      </c>
      <c r="I233" s="217">
        <v>2</v>
      </c>
      <c r="J233" s="188" t="s">
        <v>601</v>
      </c>
      <c r="K233" s="250">
        <v>1435</v>
      </c>
      <c r="L233" s="217" t="s">
        <v>599</v>
      </c>
      <c r="M233" s="252"/>
      <c r="N233" s="217"/>
      <c r="O233" s="254"/>
      <c r="P233" s="266">
        <v>46076</v>
      </c>
      <c r="Q233" s="271"/>
      <c r="R233" s="219" t="str">
        <f t="shared" si="7"/>
        <v/>
      </c>
      <c r="S233" s="188"/>
    </row>
    <row r="234" spans="1:19" ht="18" customHeight="1">
      <c r="A234" s="245">
        <v>39073</v>
      </c>
      <c r="B234" s="246">
        <v>72813</v>
      </c>
      <c r="C234" s="188" t="s">
        <v>41</v>
      </c>
      <c r="D234" s="245">
        <v>7</v>
      </c>
      <c r="E234" s="247" t="s">
        <v>875</v>
      </c>
      <c r="F234" s="245"/>
      <c r="G234" s="281" t="s">
        <v>303</v>
      </c>
      <c r="H234" s="267">
        <v>45929</v>
      </c>
      <c r="I234" s="217">
        <v>3</v>
      </c>
      <c r="J234" s="188" t="s">
        <v>602</v>
      </c>
      <c r="K234" s="250">
        <v>2314</v>
      </c>
      <c r="L234" s="217" t="s">
        <v>599</v>
      </c>
      <c r="M234" s="252"/>
      <c r="N234" s="217"/>
      <c r="O234" s="254"/>
      <c r="P234" s="266">
        <v>46076</v>
      </c>
      <c r="Q234" s="271"/>
      <c r="R234" s="219" t="str">
        <f t="shared" si="7"/>
        <v/>
      </c>
      <c r="S234" s="188"/>
    </row>
    <row r="235" spans="1:19" ht="18" customHeight="1">
      <c r="A235" s="245">
        <v>39073</v>
      </c>
      <c r="B235" s="246">
        <v>72814</v>
      </c>
      <c r="C235" s="188" t="s">
        <v>41</v>
      </c>
      <c r="D235" s="245">
        <v>2</v>
      </c>
      <c r="E235" s="247" t="s">
        <v>603</v>
      </c>
      <c r="F235" s="245"/>
      <c r="G235" s="281" t="s">
        <v>303</v>
      </c>
      <c r="H235" s="267">
        <v>45929</v>
      </c>
      <c r="I235" s="217">
        <v>4</v>
      </c>
      <c r="J235" s="188" t="s">
        <v>604</v>
      </c>
      <c r="K235" s="250">
        <v>10568</v>
      </c>
      <c r="L235" s="217" t="s">
        <v>599</v>
      </c>
      <c r="M235" s="252"/>
      <c r="N235" s="217"/>
      <c r="O235" s="254"/>
      <c r="P235" s="266">
        <v>46076</v>
      </c>
      <c r="Q235" s="271"/>
      <c r="R235" s="219" t="str">
        <f t="shared" si="7"/>
        <v/>
      </c>
      <c r="S235" s="188"/>
    </row>
    <row r="236" spans="1:19" ht="18" customHeight="1">
      <c r="A236" s="245">
        <v>39073</v>
      </c>
      <c r="B236" s="246">
        <v>72815</v>
      </c>
      <c r="C236" s="188" t="s">
        <v>41</v>
      </c>
      <c r="D236" s="245">
        <v>2</v>
      </c>
      <c r="E236" s="247" t="s">
        <v>605</v>
      </c>
      <c r="F236" s="245"/>
      <c r="G236" s="281" t="s">
        <v>303</v>
      </c>
      <c r="H236" s="267">
        <v>45929</v>
      </c>
      <c r="I236" s="217">
        <v>5</v>
      </c>
      <c r="J236" s="188" t="s">
        <v>606</v>
      </c>
      <c r="K236" s="250">
        <v>21257</v>
      </c>
      <c r="L236" s="217" t="s">
        <v>599</v>
      </c>
      <c r="M236" s="252"/>
      <c r="N236" s="217"/>
      <c r="O236" s="254"/>
      <c r="P236" s="266">
        <v>46076</v>
      </c>
      <c r="Q236" s="271"/>
      <c r="R236" s="219" t="str">
        <f t="shared" si="7"/>
        <v/>
      </c>
      <c r="S236" s="188"/>
    </row>
    <row r="237" spans="1:19" ht="18" customHeight="1">
      <c r="A237" s="245">
        <v>39073</v>
      </c>
      <c r="B237" s="246">
        <v>72816</v>
      </c>
      <c r="C237" s="188" t="s">
        <v>41</v>
      </c>
      <c r="D237" s="245">
        <v>3</v>
      </c>
      <c r="E237" s="247" t="s">
        <v>607</v>
      </c>
      <c r="F237" s="245"/>
      <c r="G237" s="281" t="s">
        <v>303</v>
      </c>
      <c r="H237" s="267">
        <v>45929</v>
      </c>
      <c r="I237" s="217">
        <v>6</v>
      </c>
      <c r="J237" s="188" t="s">
        <v>608</v>
      </c>
      <c r="K237" s="250">
        <v>38367</v>
      </c>
      <c r="L237" s="217" t="s">
        <v>599</v>
      </c>
      <c r="M237" s="252"/>
      <c r="N237" s="217"/>
      <c r="O237" s="254"/>
      <c r="P237" s="266">
        <v>46076</v>
      </c>
      <c r="Q237" s="271"/>
      <c r="R237" s="219" t="str">
        <f t="shared" si="7"/>
        <v/>
      </c>
      <c r="S237" s="188"/>
    </row>
    <row r="238" spans="1:19" ht="18" customHeight="1">
      <c r="A238" s="245">
        <v>39073</v>
      </c>
      <c r="B238" s="246">
        <v>72817</v>
      </c>
      <c r="C238" s="188" t="s">
        <v>41</v>
      </c>
      <c r="D238" s="245">
        <v>2</v>
      </c>
      <c r="E238" s="247" t="s">
        <v>609</v>
      </c>
      <c r="F238" s="245"/>
      <c r="G238" s="281" t="s">
        <v>303</v>
      </c>
      <c r="H238" s="267">
        <v>45930</v>
      </c>
      <c r="I238" s="217">
        <v>13</v>
      </c>
      <c r="J238" s="188" t="s">
        <v>610</v>
      </c>
      <c r="K238" s="250">
        <v>765</v>
      </c>
      <c r="L238" s="217" t="s">
        <v>599</v>
      </c>
      <c r="M238" s="252"/>
      <c r="N238" s="217"/>
      <c r="O238" s="254"/>
      <c r="P238" s="266">
        <v>46076</v>
      </c>
      <c r="Q238" s="271"/>
      <c r="R238" s="219" t="str">
        <f t="shared" si="7"/>
        <v/>
      </c>
      <c r="S238" s="188"/>
    </row>
    <row r="239" spans="1:19" ht="18" customHeight="1">
      <c r="A239" s="245"/>
      <c r="B239" s="246"/>
      <c r="C239" s="188"/>
      <c r="D239" s="245"/>
      <c r="E239" s="247"/>
      <c r="F239" s="245"/>
      <c r="G239" s="188"/>
      <c r="H239" s="267"/>
      <c r="J239" s="188"/>
      <c r="M239" s="252"/>
      <c r="N239" s="217"/>
      <c r="O239" s="254"/>
      <c r="P239" s="266"/>
      <c r="Q239" s="271"/>
      <c r="R239" s="219" t="str">
        <f t="shared" si="7"/>
        <v/>
      </c>
      <c r="S239" s="188"/>
    </row>
    <row r="240" spans="1:19" ht="18" customHeight="1">
      <c r="A240" s="245">
        <v>39074</v>
      </c>
      <c r="B240" s="246">
        <v>72818</v>
      </c>
      <c r="C240" s="188" t="s">
        <v>41</v>
      </c>
      <c r="D240" s="245">
        <v>1</v>
      </c>
      <c r="E240" s="247" t="s">
        <v>617</v>
      </c>
      <c r="F240" s="245"/>
      <c r="G240" s="281" t="s">
        <v>303</v>
      </c>
      <c r="H240" s="267">
        <v>45929</v>
      </c>
      <c r="I240" s="217">
        <v>1</v>
      </c>
      <c r="J240" s="188" t="s">
        <v>611</v>
      </c>
      <c r="K240" s="250">
        <v>29696</v>
      </c>
      <c r="L240" s="217" t="s">
        <v>612</v>
      </c>
      <c r="M240" s="252"/>
      <c r="N240" s="217"/>
      <c r="O240" s="254"/>
      <c r="P240" s="266">
        <v>46080</v>
      </c>
      <c r="Q240" s="271"/>
      <c r="R240" s="219" t="str">
        <f t="shared" si="7"/>
        <v/>
      </c>
      <c r="S240" s="188"/>
    </row>
    <row r="241" spans="1:19" ht="18" customHeight="1">
      <c r="A241" s="245">
        <v>39074</v>
      </c>
      <c r="B241" s="246">
        <v>72819</v>
      </c>
      <c r="C241" s="188" t="s">
        <v>41</v>
      </c>
      <c r="D241" s="245">
        <v>8</v>
      </c>
      <c r="E241" s="247" t="s">
        <v>613</v>
      </c>
      <c r="F241" s="245"/>
      <c r="G241" s="281" t="s">
        <v>303</v>
      </c>
      <c r="H241" s="267">
        <v>45929</v>
      </c>
      <c r="I241" s="217">
        <v>2</v>
      </c>
      <c r="J241" s="188" t="s">
        <v>614</v>
      </c>
      <c r="K241" s="250">
        <v>9649</v>
      </c>
      <c r="L241" s="217" t="s">
        <v>612</v>
      </c>
      <c r="M241" s="252"/>
      <c r="N241" s="217"/>
      <c r="O241" s="254"/>
      <c r="P241" s="266">
        <v>46080</v>
      </c>
      <c r="Q241" s="271"/>
      <c r="R241" s="219" t="str">
        <f t="shared" si="7"/>
        <v/>
      </c>
      <c r="S241" s="188"/>
    </row>
    <row r="242" spans="1:19" ht="18" customHeight="1">
      <c r="A242" s="245">
        <v>39074</v>
      </c>
      <c r="B242" s="246">
        <v>72820</v>
      </c>
      <c r="C242" s="188" t="s">
        <v>41</v>
      </c>
      <c r="D242" s="245">
        <v>3</v>
      </c>
      <c r="E242" s="247" t="s">
        <v>615</v>
      </c>
      <c r="F242" s="245"/>
      <c r="G242" s="281" t="s">
        <v>303</v>
      </c>
      <c r="H242" s="267">
        <v>45929</v>
      </c>
      <c r="I242" s="217">
        <v>3</v>
      </c>
      <c r="J242" s="188" t="s">
        <v>616</v>
      </c>
      <c r="K242" s="250">
        <v>25262</v>
      </c>
      <c r="L242" s="217" t="s">
        <v>612</v>
      </c>
      <c r="M242" s="252"/>
      <c r="N242" s="217"/>
      <c r="O242" s="254"/>
      <c r="P242" s="266">
        <v>46080</v>
      </c>
      <c r="Q242" s="271"/>
      <c r="R242" s="219" t="str">
        <f t="shared" si="7"/>
        <v/>
      </c>
      <c r="S242" s="188"/>
    </row>
    <row r="243" spans="1:19" ht="18" customHeight="1">
      <c r="A243" s="296">
        <v>39074</v>
      </c>
      <c r="B243" s="297">
        <v>72967</v>
      </c>
      <c r="C243" s="298" t="s">
        <v>41</v>
      </c>
      <c r="D243" s="296">
        <v>1</v>
      </c>
      <c r="E243" s="299" t="s">
        <v>617</v>
      </c>
      <c r="F243" s="296"/>
      <c r="G243" s="388" t="s">
        <v>275</v>
      </c>
      <c r="H243" s="300">
        <v>45995</v>
      </c>
      <c r="I243" s="398" t="s">
        <v>711</v>
      </c>
      <c r="J243" s="298" t="s">
        <v>611</v>
      </c>
      <c r="K243" s="302">
        <v>29696</v>
      </c>
      <c r="L243" s="362" t="s">
        <v>767</v>
      </c>
      <c r="M243" s="316"/>
      <c r="N243" s="301"/>
      <c r="O243" s="317"/>
      <c r="P243" s="318">
        <v>46134</v>
      </c>
      <c r="Q243" s="271"/>
      <c r="R243" s="219" t="str">
        <f t="shared" si="7"/>
        <v/>
      </c>
      <c r="S243" s="188"/>
    </row>
    <row r="244" spans="1:19" ht="18" customHeight="1">
      <c r="A244" s="245"/>
      <c r="B244" s="246"/>
      <c r="C244" s="188"/>
      <c r="D244" s="245"/>
      <c r="E244" s="247"/>
      <c r="F244" s="245"/>
      <c r="G244" s="188"/>
      <c r="H244" s="267"/>
      <c r="J244" s="188"/>
      <c r="M244" s="252"/>
      <c r="N244" s="217"/>
      <c r="O244" s="254"/>
      <c r="P244" s="266"/>
      <c r="Q244" s="271"/>
      <c r="R244" s="219" t="str">
        <f t="shared" ref="R244:R275" si="8">IF(SUM(Q244)&gt;0,SUM(Q244-P244),"")</f>
        <v/>
      </c>
      <c r="S244" s="188"/>
    </row>
    <row r="245" spans="1:19" ht="18" customHeight="1">
      <c r="A245" s="245">
        <v>39082</v>
      </c>
      <c r="B245" s="246">
        <v>72840</v>
      </c>
      <c r="C245" s="188" t="s">
        <v>41</v>
      </c>
      <c r="D245" s="245">
        <v>5</v>
      </c>
      <c r="E245" s="247" t="s">
        <v>620</v>
      </c>
      <c r="F245" s="245"/>
      <c r="G245" s="363" t="s">
        <v>435</v>
      </c>
      <c r="H245" s="267">
        <v>45933</v>
      </c>
      <c r="I245" s="217">
        <v>1</v>
      </c>
      <c r="J245" s="188" t="s">
        <v>621</v>
      </c>
      <c r="K245" s="250">
        <v>7783</v>
      </c>
      <c r="L245" s="217" t="s">
        <v>638</v>
      </c>
      <c r="M245" s="252"/>
      <c r="N245" s="217"/>
      <c r="O245" s="254"/>
      <c r="P245" s="365">
        <v>46066</v>
      </c>
      <c r="Q245" s="271"/>
      <c r="R245" s="219" t="str">
        <f t="shared" si="8"/>
        <v/>
      </c>
      <c r="S245" s="188"/>
    </row>
    <row r="246" spans="1:19" ht="18" customHeight="1">
      <c r="A246" s="245">
        <v>39082</v>
      </c>
      <c r="B246" s="246">
        <v>72841</v>
      </c>
      <c r="C246" s="188" t="s">
        <v>41</v>
      </c>
      <c r="D246" s="245">
        <v>1</v>
      </c>
      <c r="E246" s="247" t="s">
        <v>622</v>
      </c>
      <c r="F246" s="245"/>
      <c r="G246" s="363" t="s">
        <v>435</v>
      </c>
      <c r="H246" s="267">
        <v>45933</v>
      </c>
      <c r="I246" s="217">
        <v>2</v>
      </c>
      <c r="J246" s="188" t="s">
        <v>623</v>
      </c>
      <c r="K246" s="250">
        <v>10783</v>
      </c>
      <c r="L246" s="217" t="s">
        <v>638</v>
      </c>
      <c r="M246" s="252"/>
      <c r="N246" s="217"/>
      <c r="O246" s="254"/>
      <c r="P246" s="266">
        <v>46066</v>
      </c>
      <c r="Q246" s="271"/>
      <c r="R246" s="219" t="str">
        <f t="shared" si="8"/>
        <v/>
      </c>
      <c r="S246" s="188"/>
    </row>
    <row r="247" spans="1:19" ht="18" customHeight="1">
      <c r="A247" s="245">
        <v>39082</v>
      </c>
      <c r="B247" s="246">
        <v>72842</v>
      </c>
      <c r="C247" s="188" t="s">
        <v>41</v>
      </c>
      <c r="D247" s="245">
        <v>1</v>
      </c>
      <c r="E247" s="247" t="s">
        <v>624</v>
      </c>
      <c r="F247" s="245"/>
      <c r="G247" s="363" t="s">
        <v>435</v>
      </c>
      <c r="H247" s="267">
        <v>45933</v>
      </c>
      <c r="I247" s="217">
        <v>3</v>
      </c>
      <c r="J247" s="188" t="s">
        <v>625</v>
      </c>
      <c r="K247" s="250">
        <v>15491</v>
      </c>
      <c r="L247" s="217" t="s">
        <v>638</v>
      </c>
      <c r="M247" s="252"/>
      <c r="N247" s="217"/>
      <c r="O247" s="254"/>
      <c r="P247" s="266">
        <v>46066</v>
      </c>
      <c r="Q247" s="271"/>
      <c r="R247" s="219" t="str">
        <f t="shared" si="8"/>
        <v/>
      </c>
      <c r="S247" s="188"/>
    </row>
    <row r="248" spans="1:19" ht="18" customHeight="1">
      <c r="A248" s="245">
        <v>39082</v>
      </c>
      <c r="B248" s="246">
        <v>72843</v>
      </c>
      <c r="C248" s="188" t="s">
        <v>41</v>
      </c>
      <c r="D248" s="245">
        <v>1</v>
      </c>
      <c r="E248" s="247" t="s">
        <v>626</v>
      </c>
      <c r="F248" s="245"/>
      <c r="G248" s="363" t="s">
        <v>435</v>
      </c>
      <c r="H248" s="267">
        <v>45933</v>
      </c>
      <c r="I248" s="217">
        <v>4</v>
      </c>
      <c r="J248" s="188" t="s">
        <v>627</v>
      </c>
      <c r="K248" s="250">
        <v>10117</v>
      </c>
      <c r="L248" s="217" t="s">
        <v>638</v>
      </c>
      <c r="M248" s="252"/>
      <c r="N248" s="217"/>
      <c r="O248" s="254"/>
      <c r="P248" s="266">
        <v>46066</v>
      </c>
      <c r="Q248" s="271"/>
      <c r="R248" s="219" t="str">
        <f t="shared" si="8"/>
        <v/>
      </c>
      <c r="S248" s="188"/>
    </row>
    <row r="249" spans="1:19" ht="18" customHeight="1">
      <c r="A249" s="245">
        <v>39082</v>
      </c>
      <c r="B249" s="246">
        <v>72844</v>
      </c>
      <c r="C249" s="188" t="s">
        <v>41</v>
      </c>
      <c r="D249" s="245">
        <v>2</v>
      </c>
      <c r="E249" s="247" t="s">
        <v>628</v>
      </c>
      <c r="F249" s="245"/>
      <c r="G249" s="363" t="s">
        <v>435</v>
      </c>
      <c r="H249" s="267">
        <v>45933</v>
      </c>
      <c r="I249" s="217">
        <v>5</v>
      </c>
      <c r="J249" s="188" t="s">
        <v>629</v>
      </c>
      <c r="K249" s="250">
        <v>20286</v>
      </c>
      <c r="L249" s="217" t="s">
        <v>638</v>
      </c>
      <c r="M249" s="252"/>
      <c r="N249" s="217"/>
      <c r="O249" s="254"/>
      <c r="P249" s="266">
        <v>46066</v>
      </c>
      <c r="Q249" s="271"/>
      <c r="R249" s="219" t="str">
        <f t="shared" si="8"/>
        <v/>
      </c>
      <c r="S249" s="188"/>
    </row>
    <row r="250" spans="1:19" ht="18" customHeight="1">
      <c r="A250" s="245"/>
      <c r="B250" s="246"/>
      <c r="C250" s="188"/>
      <c r="D250" s="245"/>
      <c r="E250" s="247"/>
      <c r="F250" s="245"/>
      <c r="G250" s="188"/>
      <c r="H250" s="267"/>
      <c r="J250" s="188"/>
      <c r="M250" s="252"/>
      <c r="N250" s="217"/>
      <c r="O250" s="254"/>
      <c r="P250" s="266"/>
      <c r="Q250" s="271"/>
      <c r="R250" s="219" t="str">
        <f t="shared" si="8"/>
        <v/>
      </c>
      <c r="S250" s="188"/>
    </row>
    <row r="251" spans="1:19" ht="18" customHeight="1">
      <c r="A251" s="245">
        <v>39084</v>
      </c>
      <c r="B251" s="246">
        <v>72846</v>
      </c>
      <c r="C251" s="188" t="s">
        <v>41</v>
      </c>
      <c r="D251" s="245">
        <v>2</v>
      </c>
      <c r="E251" s="253" t="s">
        <v>632</v>
      </c>
      <c r="F251" s="245">
        <v>1</v>
      </c>
      <c r="G251" s="188" t="s">
        <v>630</v>
      </c>
      <c r="H251" s="267">
        <v>45933</v>
      </c>
      <c r="I251" s="217">
        <v>1</v>
      </c>
      <c r="J251" s="188" t="s">
        <v>631</v>
      </c>
      <c r="K251" s="250">
        <v>20528</v>
      </c>
      <c r="L251" s="217" t="s">
        <v>637</v>
      </c>
      <c r="M251" s="252"/>
      <c r="N251" s="217"/>
      <c r="O251" s="254"/>
      <c r="P251" s="266">
        <v>46032</v>
      </c>
      <c r="Q251" s="271"/>
      <c r="R251" s="219" t="str">
        <f t="shared" si="8"/>
        <v/>
      </c>
      <c r="S251" s="188"/>
    </row>
    <row r="252" spans="1:19" ht="18" customHeight="1">
      <c r="A252" s="245">
        <v>39084</v>
      </c>
      <c r="B252" s="246">
        <v>72846</v>
      </c>
      <c r="C252" s="188" t="s">
        <v>41</v>
      </c>
      <c r="D252" s="245">
        <v>2</v>
      </c>
      <c r="E252" s="253" t="s">
        <v>632</v>
      </c>
      <c r="F252" s="245">
        <v>1</v>
      </c>
      <c r="G252" s="188" t="s">
        <v>630</v>
      </c>
      <c r="H252" s="267">
        <v>45933</v>
      </c>
      <c r="I252" s="217">
        <v>1</v>
      </c>
      <c r="J252" s="188" t="s">
        <v>631</v>
      </c>
      <c r="K252" s="250">
        <v>20528</v>
      </c>
      <c r="L252" s="217" t="s">
        <v>637</v>
      </c>
      <c r="M252" s="252"/>
      <c r="N252" s="217"/>
      <c r="O252" s="254"/>
      <c r="P252" s="266">
        <v>46044</v>
      </c>
      <c r="Q252" s="271"/>
      <c r="R252" s="219" t="str">
        <f t="shared" si="8"/>
        <v/>
      </c>
      <c r="S252" s="188"/>
    </row>
    <row r="253" spans="1:19" ht="18" customHeight="1">
      <c r="A253" s="245">
        <v>39084</v>
      </c>
      <c r="B253" s="246">
        <v>72846</v>
      </c>
      <c r="C253" s="188" t="s">
        <v>41</v>
      </c>
      <c r="D253" s="245">
        <v>3</v>
      </c>
      <c r="E253" s="253" t="s">
        <v>632</v>
      </c>
      <c r="F253" s="245">
        <v>1</v>
      </c>
      <c r="G253" s="188" t="s">
        <v>630</v>
      </c>
      <c r="H253" s="267">
        <v>45933</v>
      </c>
      <c r="I253" s="217">
        <v>1</v>
      </c>
      <c r="J253" s="188" t="s">
        <v>631</v>
      </c>
      <c r="K253" s="250" t="s">
        <v>17</v>
      </c>
      <c r="L253" s="217" t="s">
        <v>637</v>
      </c>
      <c r="M253" s="252"/>
      <c r="N253" s="217"/>
      <c r="O253" s="254"/>
      <c r="P253" s="266">
        <v>46058</v>
      </c>
      <c r="Q253" s="271"/>
      <c r="R253" s="219" t="str">
        <f t="shared" si="8"/>
        <v/>
      </c>
      <c r="S253" s="188"/>
    </row>
    <row r="254" spans="1:19" ht="18" customHeight="1">
      <c r="A254" s="245"/>
      <c r="B254" s="246"/>
      <c r="C254" s="188"/>
      <c r="D254" s="245"/>
      <c r="E254" s="253"/>
      <c r="F254" s="245"/>
      <c r="G254" s="188"/>
      <c r="H254" s="267"/>
      <c r="J254" s="188"/>
      <c r="M254" s="252"/>
      <c r="N254" s="217"/>
      <c r="O254" s="254"/>
      <c r="P254" s="266"/>
      <c r="Q254" s="271"/>
      <c r="R254" s="219" t="str">
        <f t="shared" si="8"/>
        <v/>
      </c>
      <c r="S254" s="188"/>
    </row>
    <row r="255" spans="1:19" ht="18" customHeight="1">
      <c r="A255" s="245">
        <v>39087</v>
      </c>
      <c r="B255" s="246">
        <v>72850</v>
      </c>
      <c r="C255" s="188" t="s">
        <v>41</v>
      </c>
      <c r="D255" s="245">
        <v>2</v>
      </c>
      <c r="E255" s="247" t="s">
        <v>634</v>
      </c>
      <c r="F255" s="245"/>
      <c r="G255" s="188" t="s">
        <v>244</v>
      </c>
      <c r="H255" s="267">
        <v>45934</v>
      </c>
      <c r="I255" s="217">
        <v>1</v>
      </c>
      <c r="J255" s="188" t="s">
        <v>635</v>
      </c>
      <c r="K255" s="250">
        <v>43995.5</v>
      </c>
      <c r="L255" s="217" t="s">
        <v>636</v>
      </c>
      <c r="M255" s="252"/>
      <c r="N255" s="217"/>
      <c r="O255" s="254"/>
      <c r="P255" s="266">
        <v>46006</v>
      </c>
      <c r="Q255" s="271"/>
      <c r="R255" s="219" t="str">
        <f t="shared" si="8"/>
        <v/>
      </c>
      <c r="S255" s="188"/>
    </row>
    <row r="256" spans="1:19" ht="18" customHeight="1">
      <c r="A256" s="245"/>
      <c r="B256" s="246"/>
      <c r="C256" s="188"/>
      <c r="D256" s="245"/>
      <c r="E256" s="247"/>
      <c r="F256" s="245"/>
      <c r="G256" s="188"/>
      <c r="H256" s="267"/>
      <c r="J256" s="188"/>
      <c r="M256" s="252"/>
      <c r="N256" s="217"/>
      <c r="O256" s="254"/>
      <c r="P256" s="266"/>
      <c r="Q256" s="271"/>
      <c r="R256" s="219" t="str">
        <f t="shared" si="8"/>
        <v/>
      </c>
      <c r="S256" s="188"/>
    </row>
    <row r="257" spans="1:19" ht="18" customHeight="1">
      <c r="A257" s="252" t="s">
        <v>307</v>
      </c>
      <c r="B257" s="246">
        <v>72855</v>
      </c>
      <c r="C257" s="188" t="s">
        <v>413</v>
      </c>
      <c r="D257" s="245">
        <v>3</v>
      </c>
      <c r="E257" s="247" t="s">
        <v>642</v>
      </c>
      <c r="F257" s="245"/>
      <c r="G257" s="188" t="s">
        <v>643</v>
      </c>
      <c r="H257" s="267">
        <v>45937</v>
      </c>
      <c r="J257" s="188" t="s">
        <v>644</v>
      </c>
      <c r="M257" s="252"/>
      <c r="N257" s="217"/>
      <c r="O257" s="254"/>
      <c r="P257" s="266">
        <v>45937</v>
      </c>
      <c r="Q257" s="271"/>
      <c r="R257" s="219" t="str">
        <f t="shared" si="8"/>
        <v/>
      </c>
      <c r="S257" s="188"/>
    </row>
    <row r="258" spans="1:19" ht="18" customHeight="1">
      <c r="A258" s="245"/>
      <c r="B258" s="246"/>
      <c r="C258" s="188"/>
      <c r="D258" s="245"/>
      <c r="E258" s="247"/>
      <c r="F258" s="245"/>
      <c r="G258" s="188"/>
      <c r="H258" s="267"/>
      <c r="J258" s="188"/>
      <c r="M258" s="252"/>
      <c r="N258" s="217"/>
      <c r="O258" s="254"/>
      <c r="P258" s="266"/>
      <c r="Q258" s="271"/>
      <c r="R258" s="219" t="str">
        <f t="shared" si="8"/>
        <v/>
      </c>
      <c r="S258" s="188"/>
    </row>
    <row r="259" spans="1:19" ht="18" customHeight="1">
      <c r="A259" s="245">
        <v>39107</v>
      </c>
      <c r="B259" s="246">
        <v>72879</v>
      </c>
      <c r="C259" s="188" t="s">
        <v>0</v>
      </c>
      <c r="D259" s="245">
        <v>1</v>
      </c>
      <c r="E259" s="247" t="s">
        <v>646</v>
      </c>
      <c r="F259" s="245"/>
      <c r="G259" s="188" t="s">
        <v>647</v>
      </c>
      <c r="H259" s="267">
        <v>45951</v>
      </c>
      <c r="I259" s="217">
        <v>1</v>
      </c>
      <c r="J259" s="188" t="s">
        <v>648</v>
      </c>
      <c r="M259" s="252"/>
      <c r="N259" s="217"/>
      <c r="O259" s="254"/>
      <c r="P259" s="266"/>
      <c r="Q259" s="271"/>
      <c r="R259" s="219" t="str">
        <f t="shared" si="8"/>
        <v/>
      </c>
      <c r="S259" s="188"/>
    </row>
    <row r="260" spans="1:19" ht="18" customHeight="1">
      <c r="A260" s="245"/>
      <c r="B260" s="246"/>
      <c r="C260" s="188"/>
      <c r="D260" s="245"/>
      <c r="E260" s="247"/>
      <c r="F260" s="245"/>
      <c r="G260" s="188"/>
      <c r="H260" s="267"/>
      <c r="J260" s="188"/>
      <c r="M260" s="252"/>
      <c r="N260" s="217"/>
      <c r="O260" s="254"/>
      <c r="P260" s="266"/>
      <c r="Q260" s="271"/>
      <c r="R260" s="219" t="str">
        <f t="shared" si="8"/>
        <v/>
      </c>
      <c r="S260" s="188"/>
    </row>
    <row r="261" spans="1:19" ht="18" customHeight="1">
      <c r="A261" s="245">
        <v>39115</v>
      </c>
      <c r="B261" s="246">
        <v>72887</v>
      </c>
      <c r="C261" s="188" t="s">
        <v>62</v>
      </c>
      <c r="D261" s="245">
        <v>3</v>
      </c>
      <c r="E261" s="247" t="s">
        <v>649</v>
      </c>
      <c r="F261" s="245"/>
      <c r="G261" s="281" t="s">
        <v>394</v>
      </c>
      <c r="H261" s="267">
        <v>45953</v>
      </c>
      <c r="I261" s="217">
        <v>1</v>
      </c>
      <c r="J261" s="188" t="s">
        <v>650</v>
      </c>
      <c r="K261" s="250">
        <v>2182</v>
      </c>
      <c r="L261" s="217" t="s">
        <v>651</v>
      </c>
      <c r="M261" s="252"/>
      <c r="N261" s="217"/>
      <c r="O261" s="254"/>
      <c r="P261" s="266">
        <v>46052</v>
      </c>
      <c r="Q261" s="271"/>
      <c r="R261" s="219" t="str">
        <f t="shared" si="8"/>
        <v/>
      </c>
      <c r="S261" s="188"/>
    </row>
    <row r="262" spans="1:19" ht="18" customHeight="1">
      <c r="A262" s="245"/>
      <c r="B262" s="246"/>
      <c r="C262" s="188"/>
      <c r="D262" s="245"/>
      <c r="E262" s="247"/>
      <c r="F262" s="245"/>
      <c r="G262" s="188"/>
      <c r="H262" s="267"/>
      <c r="J262" s="188"/>
      <c r="M262" s="252"/>
      <c r="N262" s="217"/>
      <c r="O262" s="254"/>
      <c r="P262" s="266"/>
      <c r="Q262" s="271"/>
      <c r="R262" s="219" t="str">
        <f t="shared" si="8"/>
        <v/>
      </c>
      <c r="S262" s="188"/>
    </row>
    <row r="263" spans="1:19" ht="18" customHeight="1">
      <c r="A263" s="245">
        <v>39116</v>
      </c>
      <c r="B263" s="246">
        <v>72888</v>
      </c>
      <c r="C263" s="188" t="s">
        <v>62</v>
      </c>
      <c r="D263" s="245">
        <v>3</v>
      </c>
      <c r="E263" s="247" t="s">
        <v>652</v>
      </c>
      <c r="F263" s="245" t="s">
        <v>17</v>
      </c>
      <c r="G263" s="281" t="s">
        <v>394</v>
      </c>
      <c r="H263" s="267">
        <v>45953</v>
      </c>
      <c r="I263" s="217">
        <v>1</v>
      </c>
      <c r="J263" s="188" t="s">
        <v>653</v>
      </c>
      <c r="K263" s="250">
        <v>2840</v>
      </c>
      <c r="L263" s="217" t="s">
        <v>654</v>
      </c>
      <c r="M263" s="252">
        <v>44961</v>
      </c>
      <c r="N263" s="217">
        <v>3</v>
      </c>
      <c r="O263" s="254"/>
      <c r="P263" s="266">
        <v>46052</v>
      </c>
      <c r="Q263" s="271">
        <v>46064</v>
      </c>
      <c r="R263" s="219">
        <f t="shared" si="8"/>
        <v>12</v>
      </c>
      <c r="S263" s="188"/>
    </row>
    <row r="264" spans="1:19" ht="18" customHeight="1">
      <c r="A264" s="245"/>
      <c r="B264" s="246"/>
      <c r="C264" s="188"/>
      <c r="D264" s="245"/>
      <c r="E264" s="247"/>
      <c r="F264" s="245"/>
      <c r="G264" s="188"/>
      <c r="H264" s="267"/>
      <c r="J264" s="188"/>
      <c r="M264" s="252"/>
      <c r="N264" s="217"/>
      <c r="O264" s="254"/>
      <c r="P264" s="266"/>
      <c r="Q264" s="271"/>
      <c r="R264" s="219" t="str">
        <f t="shared" si="8"/>
        <v/>
      </c>
      <c r="S264" s="188"/>
    </row>
    <row r="265" spans="1:19" ht="18" customHeight="1">
      <c r="A265" s="245">
        <v>39118</v>
      </c>
      <c r="B265" s="246">
        <v>72890</v>
      </c>
      <c r="C265" s="188" t="s">
        <v>62</v>
      </c>
      <c r="D265" s="245">
        <v>3</v>
      </c>
      <c r="E265" s="247" t="s">
        <v>655</v>
      </c>
      <c r="F265" s="245"/>
      <c r="G265" s="281" t="s">
        <v>394</v>
      </c>
      <c r="H265" s="267">
        <v>45953</v>
      </c>
      <c r="I265" s="217">
        <v>1</v>
      </c>
      <c r="J265" s="188" t="s">
        <v>656</v>
      </c>
      <c r="K265" s="250">
        <v>1662</v>
      </c>
      <c r="L265" s="217" t="s">
        <v>657</v>
      </c>
      <c r="M265" s="252">
        <v>44968</v>
      </c>
      <c r="N265" s="217">
        <v>3</v>
      </c>
      <c r="O265" s="254"/>
      <c r="P265" s="266">
        <v>46052</v>
      </c>
      <c r="Q265" s="271">
        <v>46065</v>
      </c>
      <c r="R265" s="219">
        <f t="shared" si="8"/>
        <v>13</v>
      </c>
      <c r="S265" s="188"/>
    </row>
    <row r="266" spans="1:19" ht="18" customHeight="1">
      <c r="A266" s="245"/>
      <c r="B266" s="246"/>
      <c r="C266" s="188"/>
      <c r="D266" s="245"/>
      <c r="E266" s="247"/>
      <c r="F266" s="245"/>
      <c r="G266" s="188"/>
      <c r="H266" s="267"/>
      <c r="J266" s="188"/>
      <c r="M266" s="252"/>
      <c r="N266" s="217"/>
      <c r="O266" s="254"/>
      <c r="P266" s="266"/>
      <c r="Q266" s="271"/>
      <c r="R266" s="219" t="str">
        <f t="shared" si="8"/>
        <v/>
      </c>
      <c r="S266" s="188"/>
    </row>
    <row r="267" spans="1:19" ht="18" customHeight="1">
      <c r="A267" s="245">
        <v>39120</v>
      </c>
      <c r="B267" s="246">
        <v>72892</v>
      </c>
      <c r="C267" s="188" t="s">
        <v>62</v>
      </c>
      <c r="D267" s="245">
        <v>3</v>
      </c>
      <c r="E267" s="247" t="s">
        <v>658</v>
      </c>
      <c r="F267" s="245"/>
      <c r="G267" s="281" t="s">
        <v>394</v>
      </c>
      <c r="H267" s="267">
        <v>45953</v>
      </c>
      <c r="I267" s="217">
        <v>1</v>
      </c>
      <c r="J267" s="188" t="s">
        <v>659</v>
      </c>
      <c r="K267" s="250">
        <v>1328</v>
      </c>
      <c r="L267" s="217" t="s">
        <v>660</v>
      </c>
      <c r="M267" s="252"/>
      <c r="N267" s="217"/>
      <c r="O267" s="254"/>
      <c r="P267" s="266">
        <v>46052</v>
      </c>
      <c r="Q267" s="271"/>
      <c r="R267" s="219" t="str">
        <f t="shared" si="8"/>
        <v/>
      </c>
      <c r="S267" s="188"/>
    </row>
    <row r="268" spans="1:19" ht="18" customHeight="1">
      <c r="A268" s="245"/>
      <c r="B268" s="246"/>
      <c r="C268" s="188"/>
      <c r="D268" s="245"/>
      <c r="E268" s="247"/>
      <c r="F268" s="245"/>
      <c r="G268" s="188"/>
      <c r="H268" s="267"/>
      <c r="J268" s="188"/>
      <c r="M268" s="252"/>
      <c r="N268" s="217"/>
      <c r="O268" s="254"/>
      <c r="P268" s="266"/>
      <c r="Q268" s="271"/>
      <c r="R268" s="219" t="str">
        <f t="shared" si="8"/>
        <v/>
      </c>
      <c r="S268" s="188"/>
    </row>
    <row r="269" spans="1:19" ht="18" customHeight="1">
      <c r="A269" s="245">
        <v>39121</v>
      </c>
      <c r="B269" s="246">
        <v>72893</v>
      </c>
      <c r="C269" s="188" t="s">
        <v>62</v>
      </c>
      <c r="D269" s="245">
        <v>3</v>
      </c>
      <c r="E269" s="247" t="s">
        <v>661</v>
      </c>
      <c r="F269" s="245"/>
      <c r="G269" s="281" t="s">
        <v>394</v>
      </c>
      <c r="H269" s="267">
        <v>45953</v>
      </c>
      <c r="I269" s="217">
        <v>1</v>
      </c>
      <c r="J269" s="188" t="s">
        <v>662</v>
      </c>
      <c r="K269" s="250">
        <v>2280</v>
      </c>
      <c r="L269" s="217" t="s">
        <v>663</v>
      </c>
      <c r="M269" s="252">
        <v>44969</v>
      </c>
      <c r="N269" s="217">
        <v>3</v>
      </c>
      <c r="O269" s="254"/>
      <c r="P269" s="266">
        <v>46052</v>
      </c>
      <c r="Q269" s="271">
        <v>46065</v>
      </c>
      <c r="R269" s="219">
        <f t="shared" si="8"/>
        <v>13</v>
      </c>
      <c r="S269" s="188"/>
    </row>
    <row r="270" spans="1:19" ht="18" customHeight="1">
      <c r="A270" s="245"/>
      <c r="B270" s="246"/>
      <c r="C270" s="188"/>
      <c r="D270" s="245"/>
      <c r="E270" s="247"/>
      <c r="F270" s="245"/>
      <c r="G270" s="188"/>
      <c r="H270" s="267"/>
      <c r="J270" s="188"/>
      <c r="M270" s="252"/>
      <c r="N270" s="217"/>
      <c r="O270" s="254"/>
      <c r="P270" s="266"/>
      <c r="Q270" s="271"/>
      <c r="R270" s="219" t="str">
        <f t="shared" si="8"/>
        <v/>
      </c>
      <c r="S270" s="188"/>
    </row>
    <row r="271" spans="1:19" ht="18" customHeight="1">
      <c r="A271" s="245">
        <v>39122</v>
      </c>
      <c r="B271" s="246">
        <v>72894</v>
      </c>
      <c r="C271" s="188" t="s">
        <v>0</v>
      </c>
      <c r="D271" s="245">
        <v>1</v>
      </c>
      <c r="E271" s="247" t="s">
        <v>664</v>
      </c>
      <c r="F271" s="245"/>
      <c r="G271" s="188" t="s">
        <v>243</v>
      </c>
      <c r="H271" s="267">
        <v>45953</v>
      </c>
      <c r="I271" s="217">
        <v>1</v>
      </c>
      <c r="J271" s="188" t="s">
        <v>681</v>
      </c>
      <c r="K271" s="250">
        <v>2950</v>
      </c>
      <c r="L271" s="217" t="s">
        <v>688</v>
      </c>
      <c r="M271" s="252"/>
      <c r="N271" s="217"/>
      <c r="O271" s="254"/>
      <c r="P271" s="266">
        <v>46007</v>
      </c>
      <c r="Q271" s="271"/>
      <c r="R271" s="219" t="str">
        <f t="shared" si="8"/>
        <v/>
      </c>
      <c r="S271" s="188"/>
    </row>
    <row r="272" spans="1:19" ht="18" customHeight="1">
      <c r="A272" s="245">
        <v>39122</v>
      </c>
      <c r="B272" s="246">
        <v>72911</v>
      </c>
      <c r="C272" s="188" t="s">
        <v>0</v>
      </c>
      <c r="D272" s="245">
        <v>1</v>
      </c>
      <c r="E272" s="247">
        <v>72894</v>
      </c>
      <c r="F272" s="245"/>
      <c r="G272" s="188" t="s">
        <v>388</v>
      </c>
      <c r="H272" s="267">
        <v>45972</v>
      </c>
      <c r="I272" s="217">
        <v>2</v>
      </c>
      <c r="J272" s="188" t="s">
        <v>687</v>
      </c>
      <c r="K272" s="250">
        <v>3232</v>
      </c>
      <c r="L272" s="217" t="s">
        <v>688</v>
      </c>
      <c r="M272" s="252"/>
      <c r="N272" s="217"/>
      <c r="O272" s="254"/>
      <c r="P272" s="266">
        <v>46007</v>
      </c>
      <c r="Q272" s="271"/>
      <c r="R272" s="219" t="str">
        <f t="shared" si="8"/>
        <v/>
      </c>
      <c r="S272" s="188"/>
    </row>
    <row r="273" spans="1:19" ht="18" customHeight="1">
      <c r="A273" s="245"/>
      <c r="B273" s="246"/>
      <c r="C273" s="188"/>
      <c r="D273" s="245"/>
      <c r="E273" s="247"/>
      <c r="F273" s="245"/>
      <c r="G273" s="188"/>
      <c r="H273" s="267"/>
      <c r="J273" s="188"/>
      <c r="M273" s="252"/>
      <c r="N273" s="217"/>
      <c r="O273" s="254"/>
      <c r="P273" s="266"/>
      <c r="Q273" s="271"/>
      <c r="R273" s="219" t="str">
        <f t="shared" si="8"/>
        <v/>
      </c>
      <c r="S273" s="188"/>
    </row>
    <row r="274" spans="1:19" ht="18" customHeight="1">
      <c r="A274" s="245">
        <v>39123</v>
      </c>
      <c r="B274" s="246">
        <v>72895</v>
      </c>
      <c r="C274" s="188" t="s">
        <v>62</v>
      </c>
      <c r="D274" s="245">
        <v>3</v>
      </c>
      <c r="E274" s="247" t="s">
        <v>665</v>
      </c>
      <c r="F274" s="245"/>
      <c r="G274" s="281" t="s">
        <v>394</v>
      </c>
      <c r="H274" s="267">
        <v>45953</v>
      </c>
      <c r="I274" s="217">
        <v>1</v>
      </c>
      <c r="J274" s="188" t="s">
        <v>666</v>
      </c>
      <c r="K274" s="250">
        <v>4400</v>
      </c>
      <c r="L274" s="217" t="s">
        <v>667</v>
      </c>
      <c r="M274" s="252"/>
      <c r="N274" s="217"/>
      <c r="O274" s="254"/>
      <c r="P274" s="266">
        <v>46052</v>
      </c>
      <c r="Q274" s="271"/>
      <c r="R274" s="219" t="str">
        <f t="shared" si="8"/>
        <v/>
      </c>
      <c r="S274" s="188"/>
    </row>
    <row r="275" spans="1:19" ht="18" customHeight="1">
      <c r="A275" s="245"/>
      <c r="B275" s="246"/>
      <c r="C275" s="188"/>
      <c r="D275" s="245"/>
      <c r="E275" s="247"/>
      <c r="F275" s="245"/>
      <c r="G275" s="188"/>
      <c r="H275" s="267"/>
      <c r="J275" s="188"/>
      <c r="M275" s="252"/>
      <c r="N275" s="217"/>
      <c r="O275" s="254"/>
      <c r="P275" s="266"/>
      <c r="Q275" s="271"/>
      <c r="R275" s="219" t="str">
        <f t="shared" si="8"/>
        <v/>
      </c>
      <c r="S275" s="188"/>
    </row>
    <row r="276" spans="1:19" ht="18" customHeight="1">
      <c r="A276" s="245">
        <v>39124</v>
      </c>
      <c r="B276" s="246">
        <v>72896</v>
      </c>
      <c r="C276" s="188" t="s">
        <v>62</v>
      </c>
      <c r="D276" s="245">
        <v>6</v>
      </c>
      <c r="E276" s="247" t="s">
        <v>668</v>
      </c>
      <c r="F276" s="245"/>
      <c r="G276" s="281" t="s">
        <v>394</v>
      </c>
      <c r="H276" s="267">
        <v>45953</v>
      </c>
      <c r="I276" s="217">
        <v>1</v>
      </c>
      <c r="J276" s="188" t="s">
        <v>671</v>
      </c>
      <c r="K276" s="250">
        <v>3376</v>
      </c>
      <c r="L276" s="217" t="s">
        <v>669</v>
      </c>
      <c r="M276" s="252"/>
      <c r="N276" s="217"/>
      <c r="O276" s="254"/>
      <c r="P276" s="266">
        <v>46052</v>
      </c>
      <c r="Q276" s="271"/>
      <c r="R276" s="219" t="str">
        <f t="shared" ref="R276:R307" si="9">IF(SUM(Q276)&gt;0,SUM(Q276-P276),"")</f>
        <v/>
      </c>
      <c r="S276" s="188"/>
    </row>
    <row r="277" spans="1:19" ht="18" customHeight="1">
      <c r="A277" s="245"/>
      <c r="B277" s="246"/>
      <c r="C277" s="188"/>
      <c r="D277" s="245"/>
      <c r="E277" s="247"/>
      <c r="F277" s="245"/>
      <c r="G277" s="188"/>
      <c r="H277" s="267"/>
      <c r="J277" s="188"/>
      <c r="M277" s="252"/>
      <c r="N277" s="217"/>
      <c r="O277" s="254"/>
      <c r="P277" s="266"/>
      <c r="Q277" s="271"/>
      <c r="R277" s="219" t="str">
        <f t="shared" si="9"/>
        <v/>
      </c>
      <c r="S277" s="188"/>
    </row>
    <row r="278" spans="1:19" ht="18" customHeight="1">
      <c r="A278" s="245">
        <v>39125</v>
      </c>
      <c r="B278" s="246">
        <v>72897</v>
      </c>
      <c r="C278" s="188" t="s">
        <v>62</v>
      </c>
      <c r="D278" s="245">
        <v>1</v>
      </c>
      <c r="E278" s="247" t="s">
        <v>670</v>
      </c>
      <c r="F278" s="245"/>
      <c r="G278" s="281" t="s">
        <v>394</v>
      </c>
      <c r="H278" s="267">
        <v>45953</v>
      </c>
      <c r="I278" s="217">
        <v>1</v>
      </c>
      <c r="J278" s="188" t="s">
        <v>672</v>
      </c>
      <c r="K278" s="250">
        <v>13752</v>
      </c>
      <c r="L278" s="217" t="s">
        <v>673</v>
      </c>
      <c r="M278" s="252"/>
      <c r="N278" s="217"/>
      <c r="O278" s="254"/>
      <c r="P278" s="266">
        <v>46001</v>
      </c>
      <c r="Q278" s="271"/>
      <c r="R278" s="219" t="str">
        <f t="shared" si="9"/>
        <v/>
      </c>
      <c r="S278" s="188"/>
    </row>
    <row r="279" spans="1:19" ht="18" customHeight="1">
      <c r="A279" s="245"/>
      <c r="B279" s="246"/>
      <c r="C279" s="188"/>
      <c r="D279" s="245"/>
      <c r="E279" s="247"/>
      <c r="F279" s="245"/>
      <c r="G279" s="188"/>
      <c r="H279" s="267"/>
      <c r="J279" s="188"/>
      <c r="M279" s="252"/>
      <c r="N279" s="217"/>
      <c r="O279" s="254"/>
      <c r="P279" s="266"/>
      <c r="Q279" s="271"/>
      <c r="R279" s="219" t="str">
        <f t="shared" si="9"/>
        <v/>
      </c>
      <c r="S279" s="188"/>
    </row>
    <row r="280" spans="1:19" ht="18" customHeight="1">
      <c r="A280" s="245">
        <v>39126</v>
      </c>
      <c r="B280" s="246">
        <v>72898</v>
      </c>
      <c r="C280" s="188" t="s">
        <v>31</v>
      </c>
      <c r="D280" s="245">
        <v>1</v>
      </c>
      <c r="E280" s="247">
        <v>658495</v>
      </c>
      <c r="F280" s="245" t="s">
        <v>276</v>
      </c>
      <c r="G280" s="188" t="s">
        <v>674</v>
      </c>
      <c r="H280" s="267">
        <v>45954</v>
      </c>
      <c r="I280" s="217">
        <v>1</v>
      </c>
      <c r="J280" s="188" t="s">
        <v>675</v>
      </c>
      <c r="K280" s="250">
        <v>2824</v>
      </c>
      <c r="L280" s="217">
        <v>211256067</v>
      </c>
      <c r="M280" s="252"/>
      <c r="N280" s="217"/>
      <c r="O280" s="254"/>
      <c r="P280" s="272">
        <v>46054</v>
      </c>
      <c r="Q280" s="271"/>
      <c r="R280" s="219" t="str">
        <f t="shared" si="9"/>
        <v/>
      </c>
      <c r="S280" s="188"/>
    </row>
    <row r="281" spans="1:19" ht="18" customHeight="1">
      <c r="A281" s="245"/>
      <c r="B281" s="246"/>
      <c r="C281" s="188"/>
      <c r="D281" s="245"/>
      <c r="E281" s="247"/>
      <c r="F281" s="245"/>
      <c r="G281" s="188"/>
      <c r="H281" s="267"/>
      <c r="J281" s="188"/>
      <c r="M281" s="252"/>
      <c r="N281" s="217"/>
      <c r="O281" s="254"/>
      <c r="P281" s="266"/>
      <c r="Q281" s="271"/>
      <c r="R281" s="219" t="str">
        <f t="shared" si="9"/>
        <v/>
      </c>
      <c r="S281" s="188"/>
    </row>
    <row r="282" spans="1:19" ht="18" customHeight="1">
      <c r="A282" s="245">
        <v>39128</v>
      </c>
      <c r="B282" s="246">
        <v>72901</v>
      </c>
      <c r="C282" s="188" t="s">
        <v>41</v>
      </c>
      <c r="D282" s="245">
        <v>32</v>
      </c>
      <c r="E282" s="253" t="s">
        <v>677</v>
      </c>
      <c r="F282" s="245">
        <v>3</v>
      </c>
      <c r="G282" s="188" t="s">
        <v>630</v>
      </c>
      <c r="H282" s="267">
        <v>45957</v>
      </c>
      <c r="I282" s="217">
        <v>1</v>
      </c>
      <c r="J282" s="188" t="s">
        <v>678</v>
      </c>
      <c r="K282" s="250">
        <v>7316</v>
      </c>
      <c r="L282" s="217" t="s">
        <v>731</v>
      </c>
      <c r="M282" s="252"/>
      <c r="N282" s="217"/>
      <c r="O282" s="254"/>
      <c r="P282" s="266">
        <v>46111</v>
      </c>
      <c r="Q282" s="271"/>
      <c r="R282" s="219" t="str">
        <f t="shared" si="9"/>
        <v/>
      </c>
      <c r="S282" s="188"/>
    </row>
    <row r="283" spans="1:19" ht="18" customHeight="1">
      <c r="A283" s="245"/>
      <c r="B283" s="246"/>
      <c r="C283" s="188"/>
      <c r="D283" s="245"/>
      <c r="E283" s="247"/>
      <c r="F283" s="245"/>
      <c r="G283" s="188"/>
      <c r="H283" s="267"/>
      <c r="J283" s="188"/>
      <c r="M283" s="252"/>
      <c r="N283" s="217"/>
      <c r="O283" s="254"/>
      <c r="P283" s="266"/>
      <c r="Q283" s="271"/>
      <c r="R283" s="219" t="str">
        <f t="shared" si="9"/>
        <v/>
      </c>
      <c r="S283" s="188"/>
    </row>
    <row r="284" spans="1:19" ht="18" customHeight="1">
      <c r="A284" s="245">
        <v>39129</v>
      </c>
      <c r="B284" s="246">
        <v>72902</v>
      </c>
      <c r="C284" s="188" t="s">
        <v>164</v>
      </c>
      <c r="D284" s="245">
        <v>1</v>
      </c>
      <c r="E284" s="247" t="s">
        <v>679</v>
      </c>
      <c r="F284" s="245"/>
      <c r="G284" s="188" t="s">
        <v>381</v>
      </c>
      <c r="H284" s="267">
        <v>45957</v>
      </c>
      <c r="I284" s="217">
        <v>10</v>
      </c>
      <c r="J284" s="188" t="s">
        <v>680</v>
      </c>
      <c r="K284" s="250">
        <v>1645</v>
      </c>
      <c r="L284" s="217">
        <v>7000553084</v>
      </c>
      <c r="M284" s="252"/>
      <c r="N284" s="217"/>
      <c r="O284" s="254"/>
      <c r="P284" s="266">
        <v>46112</v>
      </c>
      <c r="Q284" s="271"/>
      <c r="R284" s="219" t="str">
        <f t="shared" si="9"/>
        <v/>
      </c>
      <c r="S284" s="188"/>
    </row>
    <row r="285" spans="1:19" ht="18" customHeight="1">
      <c r="A285" s="245"/>
      <c r="B285" s="246"/>
      <c r="C285" s="188"/>
      <c r="D285" s="245"/>
      <c r="E285" s="247"/>
      <c r="F285" s="245"/>
      <c r="G285" s="188"/>
      <c r="H285" s="267"/>
      <c r="J285" s="188"/>
      <c r="M285" s="252"/>
      <c r="N285" s="217"/>
      <c r="O285" s="254"/>
      <c r="P285" s="266"/>
      <c r="Q285" s="271"/>
      <c r="R285" s="219" t="str">
        <f t="shared" si="9"/>
        <v/>
      </c>
      <c r="S285" s="188"/>
    </row>
    <row r="286" spans="1:19" ht="18" customHeight="1">
      <c r="A286" s="245">
        <v>39132</v>
      </c>
      <c r="B286" s="246">
        <v>72906</v>
      </c>
      <c r="C286" s="188" t="s">
        <v>41</v>
      </c>
      <c r="D286" s="245">
        <v>3</v>
      </c>
      <c r="E286" s="247" t="s">
        <v>682</v>
      </c>
      <c r="F286" s="245">
        <v>0</v>
      </c>
      <c r="G286" s="188" t="s">
        <v>275</v>
      </c>
      <c r="H286" s="267">
        <v>45960</v>
      </c>
      <c r="I286" s="217">
        <v>1</v>
      </c>
      <c r="J286" s="188" t="s">
        <v>683</v>
      </c>
      <c r="K286" s="250">
        <v>29698</v>
      </c>
      <c r="L286" s="408" t="s">
        <v>955</v>
      </c>
      <c r="M286" s="252"/>
      <c r="N286" s="217"/>
      <c r="O286" s="254"/>
      <c r="P286" s="395">
        <v>46080</v>
      </c>
      <c r="Q286" s="271"/>
      <c r="R286" s="219" t="str">
        <f t="shared" si="9"/>
        <v/>
      </c>
      <c r="S286" s="188"/>
    </row>
    <row r="287" spans="1:19" ht="18" customHeight="1">
      <c r="A287" s="245"/>
      <c r="B287" s="246"/>
      <c r="C287" s="188"/>
      <c r="D287" s="245"/>
      <c r="E287" s="247"/>
      <c r="F287" s="245"/>
      <c r="G287" s="188"/>
      <c r="H287" s="267"/>
      <c r="J287" s="188"/>
      <c r="M287" s="252"/>
      <c r="N287" s="217"/>
      <c r="O287" s="254"/>
      <c r="P287" s="266"/>
      <c r="Q287" s="271"/>
      <c r="R287" s="219" t="str">
        <f t="shared" si="9"/>
        <v/>
      </c>
      <c r="S287" s="188"/>
    </row>
    <row r="288" spans="1:19" ht="18" customHeight="1">
      <c r="A288" s="245">
        <v>39140</v>
      </c>
      <c r="B288" s="246">
        <v>72917</v>
      </c>
      <c r="C288" s="188" t="s">
        <v>4</v>
      </c>
      <c r="D288" s="245">
        <v>2</v>
      </c>
      <c r="E288" s="247" t="s">
        <v>692</v>
      </c>
      <c r="F288" s="245"/>
      <c r="G288" s="188" t="s">
        <v>691</v>
      </c>
      <c r="H288" s="267">
        <v>45974</v>
      </c>
      <c r="I288" s="217">
        <v>20</v>
      </c>
      <c r="J288" s="188" t="s">
        <v>694</v>
      </c>
      <c r="K288" s="250">
        <v>1412</v>
      </c>
      <c r="L288" s="217">
        <v>280105902</v>
      </c>
      <c r="M288" s="252">
        <v>44971</v>
      </c>
      <c r="N288" s="217">
        <v>2</v>
      </c>
      <c r="O288" s="254"/>
      <c r="P288" s="266">
        <v>46002</v>
      </c>
      <c r="Q288" s="271">
        <v>46066</v>
      </c>
      <c r="R288" s="219">
        <f t="shared" si="9"/>
        <v>64</v>
      </c>
      <c r="S288" s="188"/>
    </row>
    <row r="289" spans="1:19" ht="18" customHeight="1">
      <c r="A289" s="245">
        <v>39140</v>
      </c>
      <c r="B289" s="246">
        <v>72918</v>
      </c>
      <c r="C289" s="188" t="s">
        <v>4</v>
      </c>
      <c r="D289" s="245">
        <v>2</v>
      </c>
      <c r="E289" s="247" t="s">
        <v>693</v>
      </c>
      <c r="F289" s="245"/>
      <c r="G289" s="188" t="s">
        <v>691</v>
      </c>
      <c r="H289" s="267">
        <v>45974</v>
      </c>
      <c r="I289" s="217">
        <v>30</v>
      </c>
      <c r="J289" s="188" t="s">
        <v>695</v>
      </c>
      <c r="K289" s="250">
        <v>1412</v>
      </c>
      <c r="L289" s="217">
        <v>280105902</v>
      </c>
      <c r="M289" s="252">
        <v>44971</v>
      </c>
      <c r="N289" s="217">
        <v>2</v>
      </c>
      <c r="O289" s="254"/>
      <c r="P289" s="266">
        <v>46002</v>
      </c>
      <c r="Q289" s="271">
        <v>46066</v>
      </c>
      <c r="R289" s="219">
        <f t="shared" si="9"/>
        <v>64</v>
      </c>
      <c r="S289" s="188"/>
    </row>
    <row r="290" spans="1:19" ht="18" customHeight="1">
      <c r="A290" s="245"/>
      <c r="B290" s="246"/>
      <c r="C290" s="188"/>
      <c r="D290" s="245"/>
      <c r="E290" s="247"/>
      <c r="F290" s="245"/>
      <c r="G290" s="188"/>
      <c r="H290" s="267"/>
      <c r="J290" s="188"/>
      <c r="M290" s="252"/>
      <c r="N290" s="217"/>
      <c r="O290" s="254"/>
      <c r="P290" s="266"/>
      <c r="Q290" s="271"/>
      <c r="R290" s="219" t="str">
        <f t="shared" si="9"/>
        <v/>
      </c>
      <c r="S290" s="188"/>
    </row>
    <row r="291" spans="1:19" ht="18" customHeight="1">
      <c r="A291" s="245">
        <v>39141</v>
      </c>
      <c r="B291" s="246">
        <v>72922</v>
      </c>
      <c r="C291" s="188" t="s">
        <v>41</v>
      </c>
      <c r="D291" s="245">
        <v>2</v>
      </c>
      <c r="E291" s="247" t="s">
        <v>696</v>
      </c>
      <c r="F291" s="245"/>
      <c r="G291" s="188" t="s">
        <v>244</v>
      </c>
      <c r="H291" s="267">
        <v>45974</v>
      </c>
      <c r="I291" s="217">
        <v>1</v>
      </c>
      <c r="J291" s="188" t="s">
        <v>697</v>
      </c>
      <c r="K291" s="250">
        <v>498</v>
      </c>
      <c r="L291" s="217" t="s">
        <v>700</v>
      </c>
      <c r="M291" s="252"/>
      <c r="N291" s="217"/>
      <c r="O291" s="254"/>
      <c r="P291" s="266">
        <v>45995</v>
      </c>
      <c r="Q291" s="271"/>
      <c r="R291" s="219" t="str">
        <f t="shared" si="9"/>
        <v/>
      </c>
      <c r="S291" s="188"/>
    </row>
    <row r="292" spans="1:19" ht="18" customHeight="1">
      <c r="A292" s="245">
        <v>39141</v>
      </c>
      <c r="B292" s="246">
        <v>72923</v>
      </c>
      <c r="C292" s="188" t="s">
        <v>41</v>
      </c>
      <c r="D292" s="245">
        <v>1</v>
      </c>
      <c r="E292" s="247" t="s">
        <v>698</v>
      </c>
      <c r="F292" s="245"/>
      <c r="G292" s="188" t="s">
        <v>244</v>
      </c>
      <c r="H292" s="267">
        <v>45974</v>
      </c>
      <c r="I292" s="217">
        <v>2</v>
      </c>
      <c r="J292" s="188" t="s">
        <v>699</v>
      </c>
      <c r="K292" s="250">
        <v>707</v>
      </c>
      <c r="L292" s="217" t="s">
        <v>700</v>
      </c>
      <c r="M292" s="252"/>
      <c r="N292" s="217"/>
      <c r="O292" s="254"/>
      <c r="P292" s="272">
        <v>46038</v>
      </c>
      <c r="Q292" s="271"/>
      <c r="R292" s="219" t="str">
        <f t="shared" si="9"/>
        <v/>
      </c>
      <c r="S292" s="188"/>
    </row>
    <row r="293" spans="1:19" ht="18" customHeight="1">
      <c r="A293" s="245"/>
      <c r="B293" s="246"/>
      <c r="C293" s="188"/>
      <c r="D293" s="245"/>
      <c r="E293" s="247"/>
      <c r="F293" s="245"/>
      <c r="G293" s="188"/>
      <c r="H293" s="267"/>
      <c r="J293" s="188"/>
      <c r="M293" s="252"/>
      <c r="N293" s="217"/>
      <c r="O293" s="254"/>
      <c r="P293" s="266"/>
      <c r="Q293" s="271"/>
      <c r="R293" s="219" t="str">
        <f t="shared" si="9"/>
        <v/>
      </c>
      <c r="S293" s="188"/>
    </row>
    <row r="294" spans="1:19" ht="18" customHeight="1">
      <c r="A294" s="369">
        <v>39142</v>
      </c>
      <c r="B294" s="370">
        <v>72924</v>
      </c>
      <c r="C294" s="371" t="s">
        <v>41</v>
      </c>
      <c r="D294" s="369">
        <v>2</v>
      </c>
      <c r="E294" s="372" t="s">
        <v>492</v>
      </c>
      <c r="F294" s="369"/>
      <c r="G294" s="373" t="s">
        <v>303</v>
      </c>
      <c r="H294" s="374">
        <v>45974</v>
      </c>
      <c r="I294" s="375">
        <v>1</v>
      </c>
      <c r="J294" s="371" t="s">
        <v>493</v>
      </c>
      <c r="K294" s="376">
        <v>17821</v>
      </c>
      <c r="L294" s="375" t="s">
        <v>701</v>
      </c>
      <c r="M294" s="377"/>
      <c r="N294" s="375"/>
      <c r="O294" s="378"/>
      <c r="P294" s="380">
        <v>46244</v>
      </c>
      <c r="Q294" s="271"/>
      <c r="R294" s="219" t="str">
        <f t="shared" si="9"/>
        <v/>
      </c>
      <c r="S294" s="188"/>
    </row>
    <row r="295" spans="1:19" ht="18" customHeight="1">
      <c r="A295" s="369">
        <v>39142</v>
      </c>
      <c r="B295" s="370">
        <v>72925</v>
      </c>
      <c r="C295" s="371" t="s">
        <v>41</v>
      </c>
      <c r="D295" s="369">
        <v>2</v>
      </c>
      <c r="E295" s="372" t="s">
        <v>494</v>
      </c>
      <c r="F295" s="369"/>
      <c r="G295" s="373" t="s">
        <v>303</v>
      </c>
      <c r="H295" s="374">
        <v>45974</v>
      </c>
      <c r="I295" s="375">
        <v>2</v>
      </c>
      <c r="J295" s="371" t="s">
        <v>495</v>
      </c>
      <c r="K295" s="376">
        <v>38376</v>
      </c>
      <c r="L295" s="375" t="s">
        <v>701</v>
      </c>
      <c r="M295" s="377"/>
      <c r="N295" s="375"/>
      <c r="O295" s="378"/>
      <c r="P295" s="380">
        <v>46244</v>
      </c>
      <c r="Q295" s="271"/>
      <c r="R295" s="219" t="str">
        <f t="shared" si="9"/>
        <v/>
      </c>
      <c r="S295" s="188"/>
    </row>
    <row r="296" spans="1:19" ht="18" customHeight="1">
      <c r="A296" s="369">
        <v>39142</v>
      </c>
      <c r="B296" s="370">
        <v>72926</v>
      </c>
      <c r="C296" s="371" t="s">
        <v>41</v>
      </c>
      <c r="D296" s="369">
        <v>2</v>
      </c>
      <c r="E296" s="372" t="s">
        <v>496</v>
      </c>
      <c r="F296" s="369"/>
      <c r="G296" s="373" t="s">
        <v>303</v>
      </c>
      <c r="H296" s="374">
        <v>45974</v>
      </c>
      <c r="I296" s="375">
        <v>3</v>
      </c>
      <c r="J296" s="371" t="s">
        <v>497</v>
      </c>
      <c r="K296" s="376">
        <v>2911</v>
      </c>
      <c r="L296" s="375" t="s">
        <v>701</v>
      </c>
      <c r="M296" s="377"/>
      <c r="N296" s="375"/>
      <c r="O296" s="378"/>
      <c r="P296" s="380">
        <v>46244</v>
      </c>
      <c r="Q296" s="271"/>
      <c r="R296" s="219" t="str">
        <f t="shared" si="9"/>
        <v/>
      </c>
      <c r="S296" s="188"/>
    </row>
    <row r="297" spans="1:19" ht="18" customHeight="1">
      <c r="A297" s="369">
        <v>39142</v>
      </c>
      <c r="B297" s="370">
        <v>72927</v>
      </c>
      <c r="C297" s="371" t="s">
        <v>41</v>
      </c>
      <c r="D297" s="369">
        <v>2</v>
      </c>
      <c r="E297" s="372" t="s">
        <v>498</v>
      </c>
      <c r="F297" s="369"/>
      <c r="G297" s="373" t="s">
        <v>303</v>
      </c>
      <c r="H297" s="374">
        <v>45974</v>
      </c>
      <c r="I297" s="375">
        <v>4</v>
      </c>
      <c r="J297" s="371" t="s">
        <v>499</v>
      </c>
      <c r="K297" s="376">
        <v>4617</v>
      </c>
      <c r="L297" s="375" t="s">
        <v>701</v>
      </c>
      <c r="M297" s="377"/>
      <c r="N297" s="375"/>
      <c r="O297" s="378"/>
      <c r="P297" s="380">
        <v>46244</v>
      </c>
      <c r="Q297" s="271"/>
      <c r="R297" s="219" t="str">
        <f t="shared" si="9"/>
        <v/>
      </c>
      <c r="S297" s="188"/>
    </row>
    <row r="298" spans="1:19" ht="18" customHeight="1">
      <c r="A298" s="369">
        <v>39142</v>
      </c>
      <c r="B298" s="370">
        <v>72928</v>
      </c>
      <c r="C298" s="371" t="s">
        <v>41</v>
      </c>
      <c r="D298" s="369">
        <v>6</v>
      </c>
      <c r="E298" s="372" t="s">
        <v>500</v>
      </c>
      <c r="F298" s="369"/>
      <c r="G298" s="373" t="s">
        <v>303</v>
      </c>
      <c r="H298" s="374">
        <v>45974</v>
      </c>
      <c r="I298" s="375">
        <v>5</v>
      </c>
      <c r="J298" s="371" t="s">
        <v>501</v>
      </c>
      <c r="K298" s="376">
        <v>10453</v>
      </c>
      <c r="L298" s="375" t="s">
        <v>701</v>
      </c>
      <c r="M298" s="377"/>
      <c r="N298" s="375"/>
      <c r="O298" s="378"/>
      <c r="P298" s="380">
        <v>46244</v>
      </c>
      <c r="Q298" s="271"/>
      <c r="R298" s="219" t="str">
        <f t="shared" si="9"/>
        <v/>
      </c>
      <c r="S298" s="188"/>
    </row>
    <row r="299" spans="1:19" ht="18" customHeight="1">
      <c r="A299" s="369">
        <v>39142</v>
      </c>
      <c r="B299" s="370">
        <v>72929</v>
      </c>
      <c r="C299" s="371" t="s">
        <v>41</v>
      </c>
      <c r="D299" s="369">
        <v>2</v>
      </c>
      <c r="E299" s="372" t="s">
        <v>502</v>
      </c>
      <c r="F299" s="369"/>
      <c r="G299" s="373" t="s">
        <v>303</v>
      </c>
      <c r="H299" s="374">
        <v>45974</v>
      </c>
      <c r="I299" s="375">
        <v>6</v>
      </c>
      <c r="J299" s="371" t="s">
        <v>503</v>
      </c>
      <c r="K299" s="376">
        <v>79970</v>
      </c>
      <c r="L299" s="375" t="s">
        <v>701</v>
      </c>
      <c r="M299" s="377"/>
      <c r="N299" s="375"/>
      <c r="O299" s="378"/>
      <c r="P299" s="380">
        <v>46244</v>
      </c>
      <c r="Q299" s="271"/>
      <c r="R299" s="219" t="str">
        <f t="shared" si="9"/>
        <v/>
      </c>
      <c r="S299" s="188"/>
    </row>
    <row r="300" spans="1:19" ht="18" customHeight="1">
      <c r="A300" s="369">
        <v>39142</v>
      </c>
      <c r="B300" s="349">
        <v>72930</v>
      </c>
      <c r="C300" s="371" t="s">
        <v>41</v>
      </c>
      <c r="D300" s="369">
        <v>2</v>
      </c>
      <c r="E300" s="372" t="s">
        <v>504</v>
      </c>
      <c r="F300" s="369"/>
      <c r="G300" s="373" t="s">
        <v>303</v>
      </c>
      <c r="H300" s="374">
        <v>45974</v>
      </c>
      <c r="I300" s="375">
        <v>7</v>
      </c>
      <c r="J300" s="371" t="s">
        <v>505</v>
      </c>
      <c r="K300" s="376">
        <v>50363</v>
      </c>
      <c r="L300" s="375" t="s">
        <v>701</v>
      </c>
      <c r="M300" s="377"/>
      <c r="N300" s="375"/>
      <c r="O300" s="378"/>
      <c r="P300" s="380">
        <v>46244</v>
      </c>
      <c r="Q300" s="271"/>
      <c r="R300" s="219" t="str">
        <f t="shared" si="9"/>
        <v/>
      </c>
      <c r="S300" s="188"/>
    </row>
    <row r="301" spans="1:19" ht="18" customHeight="1">
      <c r="A301" s="369">
        <v>39142</v>
      </c>
      <c r="B301" s="370">
        <v>72931</v>
      </c>
      <c r="C301" s="371" t="s">
        <v>41</v>
      </c>
      <c r="D301" s="369">
        <v>1</v>
      </c>
      <c r="E301" s="372" t="s">
        <v>506</v>
      </c>
      <c r="F301" s="369"/>
      <c r="G301" s="373" t="s">
        <v>303</v>
      </c>
      <c r="H301" s="374">
        <v>45974</v>
      </c>
      <c r="I301" s="375">
        <v>8</v>
      </c>
      <c r="J301" s="371" t="s">
        <v>507</v>
      </c>
      <c r="K301" s="376">
        <v>16754</v>
      </c>
      <c r="L301" s="375" t="s">
        <v>701</v>
      </c>
      <c r="M301" s="377"/>
      <c r="N301" s="375"/>
      <c r="O301" s="378"/>
      <c r="P301" s="380">
        <v>46244</v>
      </c>
      <c r="Q301" s="271"/>
      <c r="R301" s="219" t="str">
        <f t="shared" si="9"/>
        <v/>
      </c>
      <c r="S301" s="188"/>
    </row>
    <row r="302" spans="1:19" ht="18" customHeight="1">
      <c r="A302" s="369">
        <v>39142</v>
      </c>
      <c r="B302" s="370">
        <v>72932</v>
      </c>
      <c r="C302" s="371" t="s">
        <v>41</v>
      </c>
      <c r="D302" s="369">
        <v>1</v>
      </c>
      <c r="E302" s="372" t="s">
        <v>508</v>
      </c>
      <c r="F302" s="369"/>
      <c r="G302" s="373" t="s">
        <v>303</v>
      </c>
      <c r="H302" s="374">
        <v>45974</v>
      </c>
      <c r="I302" s="375">
        <v>10</v>
      </c>
      <c r="J302" s="371" t="s">
        <v>509</v>
      </c>
      <c r="K302" s="376">
        <v>18455</v>
      </c>
      <c r="L302" s="375" t="s">
        <v>701</v>
      </c>
      <c r="M302" s="377"/>
      <c r="N302" s="375"/>
      <c r="O302" s="378"/>
      <c r="P302" s="380">
        <v>46244</v>
      </c>
      <c r="Q302" s="271"/>
      <c r="R302" s="219" t="str">
        <f t="shared" si="9"/>
        <v/>
      </c>
      <c r="S302" s="188"/>
    </row>
    <row r="303" spans="1:19" ht="18" customHeight="1">
      <c r="A303" s="369">
        <v>39142</v>
      </c>
      <c r="B303" s="370">
        <v>72933</v>
      </c>
      <c r="C303" s="371" t="s">
        <v>41</v>
      </c>
      <c r="D303" s="369">
        <v>2</v>
      </c>
      <c r="E303" s="372" t="s">
        <v>510</v>
      </c>
      <c r="F303" s="369"/>
      <c r="G303" s="373" t="s">
        <v>303</v>
      </c>
      <c r="H303" s="374">
        <v>45974</v>
      </c>
      <c r="I303" s="375">
        <v>11</v>
      </c>
      <c r="J303" s="371" t="s">
        <v>511</v>
      </c>
      <c r="K303" s="376">
        <v>775</v>
      </c>
      <c r="L303" s="375" t="s">
        <v>701</v>
      </c>
      <c r="M303" s="377"/>
      <c r="N303" s="375"/>
      <c r="O303" s="378"/>
      <c r="P303" s="380">
        <v>46244</v>
      </c>
      <c r="Q303" s="271"/>
      <c r="R303" s="219" t="str">
        <f t="shared" si="9"/>
        <v/>
      </c>
      <c r="S303" s="188"/>
    </row>
    <row r="304" spans="1:19" ht="18" customHeight="1">
      <c r="A304" s="369">
        <v>39142</v>
      </c>
      <c r="B304" s="370">
        <v>72934</v>
      </c>
      <c r="C304" s="371" t="s">
        <v>41</v>
      </c>
      <c r="D304" s="369">
        <v>2</v>
      </c>
      <c r="E304" s="372" t="s">
        <v>512</v>
      </c>
      <c r="F304" s="369"/>
      <c r="G304" s="373" t="s">
        <v>303</v>
      </c>
      <c r="H304" s="374">
        <v>45974</v>
      </c>
      <c r="I304" s="375">
        <v>12</v>
      </c>
      <c r="J304" s="371" t="s">
        <v>513</v>
      </c>
      <c r="K304" s="376">
        <v>6408</v>
      </c>
      <c r="L304" s="375" t="s">
        <v>701</v>
      </c>
      <c r="M304" s="377"/>
      <c r="N304" s="375"/>
      <c r="O304" s="378"/>
      <c r="P304" s="380">
        <v>46244</v>
      </c>
      <c r="Q304" s="271"/>
      <c r="R304" s="219" t="str">
        <f t="shared" si="9"/>
        <v/>
      </c>
      <c r="S304" s="188"/>
    </row>
    <row r="305" spans="1:19" ht="18" customHeight="1">
      <c r="A305" s="369">
        <v>39142</v>
      </c>
      <c r="B305" s="370">
        <v>72935</v>
      </c>
      <c r="C305" s="371" t="s">
        <v>41</v>
      </c>
      <c r="D305" s="369">
        <v>2</v>
      </c>
      <c r="E305" s="372" t="s">
        <v>514</v>
      </c>
      <c r="F305" s="369"/>
      <c r="G305" s="373" t="s">
        <v>303</v>
      </c>
      <c r="H305" s="374">
        <v>45974</v>
      </c>
      <c r="I305" s="375">
        <v>13</v>
      </c>
      <c r="J305" s="371" t="s">
        <v>515</v>
      </c>
      <c r="K305" s="376">
        <v>2057</v>
      </c>
      <c r="L305" s="375" t="s">
        <v>701</v>
      </c>
      <c r="M305" s="377"/>
      <c r="N305" s="375"/>
      <c r="O305" s="378"/>
      <c r="P305" s="380">
        <v>46244</v>
      </c>
      <c r="Q305" s="271"/>
      <c r="R305" s="219" t="str">
        <f t="shared" si="9"/>
        <v/>
      </c>
      <c r="S305" s="188"/>
    </row>
    <row r="306" spans="1:19" ht="18" customHeight="1">
      <c r="A306" s="369">
        <v>39142</v>
      </c>
      <c r="B306" s="370">
        <v>72936</v>
      </c>
      <c r="C306" s="371" t="s">
        <v>41</v>
      </c>
      <c r="D306" s="369">
        <v>2</v>
      </c>
      <c r="E306" s="372" t="s">
        <v>516</v>
      </c>
      <c r="F306" s="369"/>
      <c r="G306" s="373" t="s">
        <v>303</v>
      </c>
      <c r="H306" s="374">
        <v>45974</v>
      </c>
      <c r="I306" s="375">
        <v>14</v>
      </c>
      <c r="J306" s="371" t="s">
        <v>517</v>
      </c>
      <c r="K306" s="376">
        <v>70664</v>
      </c>
      <c r="L306" s="375" t="s">
        <v>701</v>
      </c>
      <c r="M306" s="377"/>
      <c r="N306" s="375"/>
      <c r="O306" s="378"/>
      <c r="P306" s="380">
        <v>46244</v>
      </c>
      <c r="Q306" s="271"/>
      <c r="R306" s="219" t="str">
        <f t="shared" si="9"/>
        <v/>
      </c>
      <c r="S306" s="188"/>
    </row>
    <row r="307" spans="1:19" ht="18" customHeight="1">
      <c r="A307" s="369">
        <v>39142</v>
      </c>
      <c r="B307" s="370">
        <v>72937</v>
      </c>
      <c r="C307" s="371" t="s">
        <v>41</v>
      </c>
      <c r="D307" s="369">
        <v>2</v>
      </c>
      <c r="E307" s="372" t="s">
        <v>518</v>
      </c>
      <c r="F307" s="369"/>
      <c r="G307" s="373" t="s">
        <v>303</v>
      </c>
      <c r="H307" s="374">
        <v>45974</v>
      </c>
      <c r="I307" s="375">
        <v>15</v>
      </c>
      <c r="J307" s="371" t="s">
        <v>519</v>
      </c>
      <c r="K307" s="376">
        <v>6646</v>
      </c>
      <c r="L307" s="375" t="s">
        <v>701</v>
      </c>
      <c r="M307" s="377"/>
      <c r="N307" s="375"/>
      <c r="O307" s="378"/>
      <c r="P307" s="380">
        <v>46244</v>
      </c>
      <c r="Q307" s="271"/>
      <c r="R307" s="219" t="str">
        <f t="shared" si="9"/>
        <v/>
      </c>
      <c r="S307" s="188"/>
    </row>
    <row r="308" spans="1:19" ht="18" customHeight="1">
      <c r="A308" s="369">
        <v>39142</v>
      </c>
      <c r="B308" s="370">
        <v>72938</v>
      </c>
      <c r="C308" s="371" t="s">
        <v>41</v>
      </c>
      <c r="D308" s="369">
        <v>2</v>
      </c>
      <c r="E308" s="372" t="s">
        <v>520</v>
      </c>
      <c r="F308" s="369"/>
      <c r="G308" s="373" t="s">
        <v>303</v>
      </c>
      <c r="H308" s="374">
        <v>45974</v>
      </c>
      <c r="I308" s="375">
        <v>16</v>
      </c>
      <c r="J308" s="371" t="s">
        <v>521</v>
      </c>
      <c r="K308" s="376">
        <v>660</v>
      </c>
      <c r="L308" s="375" t="s">
        <v>701</v>
      </c>
      <c r="M308" s="377"/>
      <c r="N308" s="375"/>
      <c r="O308" s="378"/>
      <c r="P308" s="380">
        <v>46244</v>
      </c>
      <c r="Q308" s="271"/>
      <c r="R308" s="219" t="str">
        <f t="shared" ref="R308:R326" si="10">IF(SUM(Q308)&gt;0,SUM(Q308-P308),"")</f>
        <v/>
      </c>
      <c r="S308" s="188"/>
    </row>
    <row r="309" spans="1:19" ht="18" customHeight="1">
      <c r="A309" s="369">
        <v>39142</v>
      </c>
      <c r="B309" s="370">
        <v>72939</v>
      </c>
      <c r="C309" s="371" t="s">
        <v>41</v>
      </c>
      <c r="D309" s="369">
        <v>2</v>
      </c>
      <c r="E309" s="372" t="s">
        <v>522</v>
      </c>
      <c r="F309" s="369"/>
      <c r="G309" s="373" t="s">
        <v>303</v>
      </c>
      <c r="H309" s="374">
        <v>45974</v>
      </c>
      <c r="I309" s="375">
        <v>17</v>
      </c>
      <c r="J309" s="371" t="s">
        <v>702</v>
      </c>
      <c r="K309" s="376">
        <v>662</v>
      </c>
      <c r="L309" s="375" t="s">
        <v>701</v>
      </c>
      <c r="M309" s="377"/>
      <c r="N309" s="375"/>
      <c r="O309" s="378"/>
      <c r="P309" s="380">
        <v>46244</v>
      </c>
      <c r="Q309" s="271"/>
      <c r="R309" s="219" t="str">
        <f t="shared" si="10"/>
        <v/>
      </c>
      <c r="S309" s="188"/>
    </row>
    <row r="310" spans="1:19" ht="18" customHeight="1">
      <c r="A310" s="369">
        <v>39142</v>
      </c>
      <c r="B310" s="370">
        <v>72940</v>
      </c>
      <c r="C310" s="371" t="s">
        <v>41</v>
      </c>
      <c r="D310" s="369">
        <v>2</v>
      </c>
      <c r="E310" s="372" t="s">
        <v>524</v>
      </c>
      <c r="F310" s="369"/>
      <c r="G310" s="373" t="s">
        <v>303</v>
      </c>
      <c r="H310" s="374">
        <v>45974</v>
      </c>
      <c r="I310" s="375">
        <v>18</v>
      </c>
      <c r="J310" s="371" t="s">
        <v>703</v>
      </c>
      <c r="K310" s="376">
        <v>657</v>
      </c>
      <c r="L310" s="375" t="s">
        <v>701</v>
      </c>
      <c r="M310" s="377"/>
      <c r="N310" s="375"/>
      <c r="O310" s="378"/>
      <c r="P310" s="380">
        <v>46244</v>
      </c>
      <c r="Q310" s="271"/>
      <c r="R310" s="219" t="str">
        <f t="shared" si="10"/>
        <v/>
      </c>
      <c r="S310" s="188"/>
    </row>
    <row r="311" spans="1:19" ht="18" customHeight="1">
      <c r="A311" s="245"/>
      <c r="B311" s="246"/>
      <c r="C311" s="188"/>
      <c r="D311" s="245"/>
      <c r="E311" s="247"/>
      <c r="F311" s="245"/>
      <c r="G311" s="188"/>
      <c r="H311" s="267"/>
      <c r="J311" s="188"/>
      <c r="M311" s="252"/>
      <c r="N311" s="217"/>
      <c r="O311" s="254"/>
      <c r="P311" s="266"/>
      <c r="Q311" s="271"/>
      <c r="R311" s="219" t="str">
        <f t="shared" si="10"/>
        <v/>
      </c>
      <c r="S311" s="188"/>
    </row>
    <row r="312" spans="1:19" ht="18" customHeight="1">
      <c r="A312" s="245">
        <v>39144</v>
      </c>
      <c r="B312" s="246">
        <v>72942</v>
      </c>
      <c r="C312" s="188" t="s">
        <v>41</v>
      </c>
      <c r="D312" s="245">
        <v>700</v>
      </c>
      <c r="E312" s="247" t="s">
        <v>704</v>
      </c>
      <c r="F312" s="245">
        <v>4</v>
      </c>
      <c r="G312" s="188" t="s">
        <v>645</v>
      </c>
      <c r="H312" s="267">
        <v>45976</v>
      </c>
      <c r="I312" s="217">
        <v>1</v>
      </c>
      <c r="J312" s="188" t="s">
        <v>705</v>
      </c>
      <c r="K312" s="250">
        <v>14.98</v>
      </c>
      <c r="L312" s="409" t="s">
        <v>968</v>
      </c>
      <c r="M312" s="252"/>
      <c r="N312" s="217"/>
      <c r="O312" s="254"/>
      <c r="P312" s="266">
        <v>46066</v>
      </c>
      <c r="Q312" s="271"/>
      <c r="R312" s="219" t="str">
        <f t="shared" si="10"/>
        <v/>
      </c>
      <c r="S312" s="188"/>
    </row>
    <row r="313" spans="1:19" ht="18" customHeight="1">
      <c r="A313" s="245">
        <v>39144</v>
      </c>
      <c r="B313" s="246">
        <v>72942</v>
      </c>
      <c r="C313" s="188" t="s">
        <v>41</v>
      </c>
      <c r="D313" s="245" t="s">
        <v>706</v>
      </c>
      <c r="E313" s="247" t="s">
        <v>707</v>
      </c>
      <c r="F313" s="245">
        <v>1</v>
      </c>
      <c r="G313" s="188" t="s">
        <v>708</v>
      </c>
      <c r="H313" s="267">
        <v>45976</v>
      </c>
      <c r="I313" s="217">
        <v>2</v>
      </c>
      <c r="J313" s="188" t="s">
        <v>709</v>
      </c>
      <c r="L313" s="217" t="s">
        <v>312</v>
      </c>
      <c r="M313" s="252"/>
      <c r="N313" s="217"/>
      <c r="O313" s="254"/>
      <c r="P313" s="266">
        <v>46066</v>
      </c>
      <c r="Q313" s="271"/>
      <c r="R313" s="219" t="str">
        <f t="shared" si="10"/>
        <v/>
      </c>
      <c r="S313" s="188"/>
    </row>
    <row r="314" spans="1:19" ht="18" customHeight="1">
      <c r="A314" s="245"/>
      <c r="B314" s="246"/>
      <c r="C314" s="188"/>
      <c r="D314" s="245"/>
      <c r="E314" s="247"/>
      <c r="F314" s="245"/>
      <c r="G314" s="188"/>
      <c r="H314" s="267"/>
      <c r="J314" s="188"/>
      <c r="M314" s="252"/>
      <c r="N314" s="217"/>
      <c r="O314" s="254"/>
      <c r="P314" s="266"/>
      <c r="Q314" s="271"/>
      <c r="R314" s="219" t="str">
        <f t="shared" si="10"/>
        <v/>
      </c>
      <c r="S314" s="188"/>
    </row>
    <row r="315" spans="1:19" ht="18" customHeight="1">
      <c r="A315" s="245">
        <v>39145</v>
      </c>
      <c r="B315" s="246">
        <v>72943</v>
      </c>
      <c r="C315" s="188" t="s">
        <v>0</v>
      </c>
      <c r="D315" s="245">
        <v>4</v>
      </c>
      <c r="E315" s="247">
        <v>64035</v>
      </c>
      <c r="F315" s="245">
        <v>2</v>
      </c>
      <c r="G315" s="188" t="s">
        <v>388</v>
      </c>
      <c r="H315" s="267">
        <v>45976</v>
      </c>
      <c r="I315" s="217">
        <v>1</v>
      </c>
      <c r="J315" s="188" t="s">
        <v>713</v>
      </c>
      <c r="K315" s="250">
        <v>1920</v>
      </c>
      <c r="L315" s="360" t="s">
        <v>714</v>
      </c>
      <c r="M315" s="252"/>
      <c r="N315" s="217"/>
      <c r="O315" s="254"/>
      <c r="P315" s="266">
        <v>46007</v>
      </c>
      <c r="Q315" s="271"/>
      <c r="R315" s="219" t="str">
        <f t="shared" si="10"/>
        <v/>
      </c>
      <c r="S315" s="188"/>
    </row>
    <row r="316" spans="1:19" ht="18" customHeight="1">
      <c r="A316" s="245"/>
      <c r="B316" s="246"/>
      <c r="C316" s="188"/>
      <c r="D316" s="245"/>
      <c r="E316" s="247"/>
      <c r="F316" s="245"/>
      <c r="G316" s="188"/>
      <c r="H316" s="267"/>
      <c r="J316" s="188"/>
      <c r="M316" s="252"/>
      <c r="N316" s="217"/>
      <c r="O316" s="254"/>
      <c r="P316" s="266"/>
      <c r="Q316" s="271"/>
      <c r="R316" s="219" t="str">
        <f t="shared" si="10"/>
        <v/>
      </c>
      <c r="S316" s="188"/>
    </row>
    <row r="317" spans="1:19" ht="18" customHeight="1">
      <c r="A317" s="245">
        <v>39146</v>
      </c>
      <c r="B317" s="246">
        <v>72944</v>
      </c>
      <c r="C317" s="188" t="s">
        <v>41</v>
      </c>
      <c r="D317" s="245">
        <v>1</v>
      </c>
      <c r="E317" s="247" t="s">
        <v>710</v>
      </c>
      <c r="F317" s="245">
        <v>2</v>
      </c>
      <c r="G317" s="188" t="s">
        <v>228</v>
      </c>
      <c r="H317" s="267">
        <v>45976</v>
      </c>
      <c r="I317" s="397" t="s">
        <v>711</v>
      </c>
      <c r="J317" s="188" t="s">
        <v>712</v>
      </c>
      <c r="K317" s="250">
        <v>18991</v>
      </c>
      <c r="L317" s="409" t="s">
        <v>954</v>
      </c>
      <c r="M317" s="252"/>
      <c r="N317" s="217"/>
      <c r="O317" s="254"/>
      <c r="P317" s="266">
        <v>46052</v>
      </c>
      <c r="Q317" s="271"/>
      <c r="R317" s="219" t="str">
        <f t="shared" si="10"/>
        <v/>
      </c>
      <c r="S317" s="188"/>
    </row>
    <row r="318" spans="1:19" ht="18" customHeight="1">
      <c r="A318" s="245"/>
      <c r="B318" s="246"/>
      <c r="C318" s="188"/>
      <c r="D318" s="245"/>
      <c r="E318" s="247"/>
      <c r="F318" s="245"/>
      <c r="G318" s="188"/>
      <c r="H318" s="267"/>
      <c r="J318" s="188"/>
      <c r="M318" s="252"/>
      <c r="N318" s="217"/>
      <c r="O318" s="254"/>
      <c r="P318" s="266"/>
      <c r="Q318" s="271"/>
      <c r="R318" s="219" t="str">
        <f t="shared" si="10"/>
        <v/>
      </c>
      <c r="S318" s="188"/>
    </row>
    <row r="319" spans="1:19" ht="18" customHeight="1">
      <c r="A319" s="245">
        <v>39147</v>
      </c>
      <c r="B319" s="246">
        <v>72945</v>
      </c>
      <c r="C319" s="188" t="s">
        <v>33</v>
      </c>
      <c r="D319" s="381">
        <v>58000</v>
      </c>
      <c r="E319" s="247" t="s">
        <v>45</v>
      </c>
      <c r="F319" s="245"/>
      <c r="G319" s="188" t="s">
        <v>258</v>
      </c>
      <c r="H319" s="267">
        <v>45978</v>
      </c>
      <c r="I319" s="217">
        <v>1</v>
      </c>
      <c r="J319" s="188" t="s">
        <v>716</v>
      </c>
      <c r="K319" s="250">
        <v>3.84</v>
      </c>
      <c r="L319" s="217" t="s">
        <v>715</v>
      </c>
      <c r="M319" s="252"/>
      <c r="N319" s="217"/>
      <c r="O319" s="254"/>
      <c r="P319" s="266">
        <v>46082</v>
      </c>
      <c r="Q319" s="271"/>
      <c r="R319" s="219" t="str">
        <f t="shared" si="10"/>
        <v/>
      </c>
      <c r="S319" s="188"/>
    </row>
    <row r="320" spans="1:19" ht="18" customHeight="1">
      <c r="A320" s="245"/>
      <c r="B320" s="246"/>
      <c r="C320" s="188"/>
      <c r="D320" s="245"/>
      <c r="E320" s="247"/>
      <c r="F320" s="245"/>
      <c r="G320" s="188"/>
      <c r="H320" s="267"/>
      <c r="J320" s="188"/>
      <c r="M320" s="252"/>
      <c r="N320" s="217"/>
      <c r="O320" s="254"/>
      <c r="P320" s="266"/>
      <c r="Q320" s="271"/>
      <c r="R320" s="219" t="str">
        <f t="shared" si="10"/>
        <v/>
      </c>
      <c r="S320" s="188"/>
    </row>
    <row r="321" spans="1:19" ht="18" customHeight="1">
      <c r="A321" s="245">
        <v>39151</v>
      </c>
      <c r="B321" s="246">
        <v>72950</v>
      </c>
      <c r="C321" s="188" t="s">
        <v>41</v>
      </c>
      <c r="D321" s="245">
        <v>1</v>
      </c>
      <c r="E321" s="247" t="s">
        <v>721</v>
      </c>
      <c r="F321" s="245">
        <v>3</v>
      </c>
      <c r="G321" s="188" t="s">
        <v>645</v>
      </c>
      <c r="H321" s="267">
        <v>45980</v>
      </c>
      <c r="I321" s="217">
        <v>1</v>
      </c>
      <c r="J321" s="188" t="s">
        <v>722</v>
      </c>
      <c r="K321" s="250">
        <v>1787</v>
      </c>
      <c r="L321" s="217" t="s">
        <v>723</v>
      </c>
      <c r="M321" s="252"/>
      <c r="N321" s="217"/>
      <c r="O321" s="254"/>
      <c r="P321" s="266">
        <v>46034</v>
      </c>
      <c r="Q321" s="271"/>
      <c r="R321" s="219" t="str">
        <f t="shared" si="10"/>
        <v/>
      </c>
      <c r="S321" s="188"/>
    </row>
    <row r="322" spans="1:19" ht="18" customHeight="1">
      <c r="A322" s="245">
        <v>39151</v>
      </c>
      <c r="B322" s="246">
        <v>72951</v>
      </c>
      <c r="C322" s="188" t="s">
        <v>41</v>
      </c>
      <c r="D322" s="245">
        <v>1</v>
      </c>
      <c r="E322" s="247" t="s">
        <v>724</v>
      </c>
      <c r="F322" s="245">
        <v>3</v>
      </c>
      <c r="G322" s="188" t="s">
        <v>645</v>
      </c>
      <c r="H322" s="267">
        <v>45980</v>
      </c>
      <c r="I322" s="217">
        <v>2</v>
      </c>
      <c r="J322" s="188" t="s">
        <v>725</v>
      </c>
      <c r="K322" s="250">
        <v>1967</v>
      </c>
      <c r="L322" s="217" t="s">
        <v>723</v>
      </c>
      <c r="M322" s="252"/>
      <c r="N322" s="217"/>
      <c r="O322" s="254"/>
      <c r="P322" s="266">
        <v>46034</v>
      </c>
      <c r="Q322" s="271"/>
      <c r="R322" s="219" t="str">
        <f t="shared" si="10"/>
        <v/>
      </c>
      <c r="S322" s="188"/>
    </row>
    <row r="323" spans="1:19" ht="18" customHeight="1">
      <c r="A323" s="245"/>
      <c r="B323" s="246"/>
      <c r="C323" s="188"/>
      <c r="D323" s="245"/>
      <c r="E323" s="247"/>
      <c r="F323" s="245"/>
      <c r="G323" s="188"/>
      <c r="H323" s="267"/>
      <c r="J323" s="188"/>
      <c r="M323" s="252"/>
      <c r="N323" s="217"/>
      <c r="O323" s="254"/>
      <c r="P323" s="266"/>
      <c r="Q323" s="271"/>
      <c r="R323" s="219" t="str">
        <f t="shared" si="10"/>
        <v/>
      </c>
      <c r="S323" s="188"/>
    </row>
    <row r="324" spans="1:19" ht="18" customHeight="1">
      <c r="A324" s="245">
        <v>39154</v>
      </c>
      <c r="B324" s="246">
        <v>72955</v>
      </c>
      <c r="C324" s="188" t="s">
        <v>0</v>
      </c>
      <c r="D324" s="245">
        <v>2</v>
      </c>
      <c r="E324" s="247" t="s">
        <v>592</v>
      </c>
      <c r="F324" s="245" t="s">
        <v>276</v>
      </c>
      <c r="G324" s="188" t="s">
        <v>388</v>
      </c>
      <c r="H324" s="267">
        <v>45986</v>
      </c>
      <c r="I324" s="217">
        <v>1</v>
      </c>
      <c r="J324" s="188" t="s">
        <v>728</v>
      </c>
      <c r="K324" s="250">
        <v>2290</v>
      </c>
      <c r="L324" s="217" t="s">
        <v>729</v>
      </c>
      <c r="M324" s="252">
        <v>44958</v>
      </c>
      <c r="N324" s="217">
        <v>2</v>
      </c>
      <c r="O324" s="254">
        <v>53206</v>
      </c>
      <c r="P324" s="266">
        <v>46014</v>
      </c>
      <c r="Q324" s="271">
        <v>46063</v>
      </c>
      <c r="R324" s="219">
        <f t="shared" si="10"/>
        <v>49</v>
      </c>
      <c r="S324" s="188"/>
    </row>
    <row r="325" spans="1:19" ht="18" customHeight="1">
      <c r="A325" s="245"/>
      <c r="B325" s="246"/>
      <c r="C325" s="188"/>
      <c r="D325" s="245"/>
      <c r="E325" s="247"/>
      <c r="F325" s="245"/>
      <c r="G325" s="188"/>
      <c r="H325" s="267"/>
      <c r="J325" s="188"/>
      <c r="M325" s="252"/>
      <c r="N325" s="217"/>
      <c r="O325" s="254"/>
      <c r="P325" s="266"/>
      <c r="Q325" s="271"/>
      <c r="R325" s="219" t="str">
        <f t="shared" si="10"/>
        <v/>
      </c>
      <c r="S325" s="188"/>
    </row>
    <row r="326" spans="1:19" ht="18" customHeight="1">
      <c r="A326" s="245">
        <v>39161</v>
      </c>
      <c r="B326" s="246">
        <v>72964</v>
      </c>
      <c r="C326" s="188" t="s">
        <v>4</v>
      </c>
      <c r="D326" s="245">
        <v>1</v>
      </c>
      <c r="E326" s="247" t="s">
        <v>850</v>
      </c>
      <c r="F326" s="245">
        <v>0</v>
      </c>
      <c r="G326" s="188" t="s">
        <v>851</v>
      </c>
      <c r="H326" s="267">
        <v>45995</v>
      </c>
      <c r="I326" s="217">
        <v>10</v>
      </c>
      <c r="J326" s="188" t="s">
        <v>852</v>
      </c>
      <c r="K326" s="250">
        <v>900</v>
      </c>
      <c r="L326" s="217">
        <v>280106227</v>
      </c>
      <c r="M326" s="252"/>
      <c r="N326" s="217">
        <v>1</v>
      </c>
      <c r="O326" s="254">
        <v>53142</v>
      </c>
      <c r="P326" s="272" t="s">
        <v>853</v>
      </c>
      <c r="Q326" s="271"/>
      <c r="R326" s="219" t="str">
        <f t="shared" si="10"/>
        <v/>
      </c>
      <c r="S326" s="188"/>
    </row>
    <row r="327" spans="1:19" ht="18" customHeight="1">
      <c r="A327" s="245"/>
      <c r="B327" s="246"/>
      <c r="C327" s="188"/>
      <c r="D327" s="245"/>
      <c r="E327" s="247"/>
      <c r="F327" s="245"/>
      <c r="G327" s="188"/>
      <c r="H327" s="267"/>
      <c r="J327" s="188"/>
      <c r="M327" s="252"/>
      <c r="N327" s="217"/>
      <c r="O327" s="254"/>
      <c r="P327" s="272"/>
      <c r="Q327" s="271"/>
      <c r="R327" s="219"/>
      <c r="S327" s="188"/>
    </row>
    <row r="328" spans="1:19" ht="18" customHeight="1">
      <c r="A328" s="245">
        <v>39162</v>
      </c>
      <c r="B328" s="246">
        <v>72965</v>
      </c>
      <c r="C328" s="188" t="s">
        <v>47</v>
      </c>
      <c r="D328" s="245" t="s">
        <v>733</v>
      </c>
      <c r="E328" s="247" t="s">
        <v>734</v>
      </c>
      <c r="F328" s="245"/>
      <c r="G328" s="188" t="s">
        <v>735</v>
      </c>
      <c r="H328" s="267">
        <v>45995</v>
      </c>
      <c r="I328" s="217">
        <v>1</v>
      </c>
      <c r="J328" s="188" t="s">
        <v>736</v>
      </c>
      <c r="K328" s="250">
        <v>2750</v>
      </c>
      <c r="L328" s="217" t="s">
        <v>737</v>
      </c>
      <c r="M328" s="252">
        <v>44966</v>
      </c>
      <c r="N328" s="217">
        <v>2</v>
      </c>
      <c r="O328" s="254">
        <v>53208</v>
      </c>
      <c r="P328" s="266">
        <v>46059</v>
      </c>
      <c r="Q328" s="271">
        <v>46065</v>
      </c>
      <c r="R328" s="219">
        <f t="shared" ref="R328:R359" si="11">IF(SUM(Q328)&gt;0,SUM(Q328-P328),"")</f>
        <v>6</v>
      </c>
      <c r="S328" s="188"/>
    </row>
    <row r="329" spans="1:19" ht="18" customHeight="1">
      <c r="A329" s="245"/>
      <c r="B329" s="246"/>
      <c r="C329" s="188"/>
      <c r="D329" s="245"/>
      <c r="E329" s="247"/>
      <c r="F329" s="245"/>
      <c r="G329" s="188"/>
      <c r="H329" s="267"/>
      <c r="J329" s="188"/>
      <c r="M329" s="252"/>
      <c r="N329" s="217"/>
      <c r="O329" s="254"/>
      <c r="P329" s="266"/>
      <c r="Q329" s="271"/>
      <c r="R329" s="219" t="str">
        <f t="shared" si="11"/>
        <v/>
      </c>
      <c r="S329" s="188"/>
    </row>
    <row r="330" spans="1:19" ht="18" customHeight="1">
      <c r="A330" s="245">
        <v>39163</v>
      </c>
      <c r="B330" s="246">
        <v>72966</v>
      </c>
      <c r="C330" s="188" t="s">
        <v>41</v>
      </c>
      <c r="D330" s="245">
        <v>3</v>
      </c>
      <c r="E330" s="247" t="s">
        <v>738</v>
      </c>
      <c r="F330" s="245">
        <v>0</v>
      </c>
      <c r="G330" s="287" t="s">
        <v>739</v>
      </c>
      <c r="H330" s="267">
        <v>45995</v>
      </c>
      <c r="I330" s="217">
        <v>1</v>
      </c>
      <c r="J330" s="188" t="s">
        <v>740</v>
      </c>
      <c r="K330" s="250">
        <v>1847</v>
      </c>
      <c r="L330" s="217" t="s">
        <v>766</v>
      </c>
      <c r="M330" s="252"/>
      <c r="N330" s="217"/>
      <c r="O330" s="254"/>
      <c r="P330" s="266">
        <v>46062</v>
      </c>
      <c r="Q330" s="271"/>
      <c r="R330" s="219" t="str">
        <f t="shared" si="11"/>
        <v/>
      </c>
      <c r="S330" s="188"/>
    </row>
    <row r="331" spans="1:19" ht="18" customHeight="1">
      <c r="A331" s="245"/>
      <c r="B331" s="246"/>
      <c r="C331" s="188"/>
      <c r="D331" s="245"/>
      <c r="E331" s="247"/>
      <c r="F331" s="245"/>
      <c r="G331" s="188"/>
      <c r="H331" s="267"/>
      <c r="J331" s="188"/>
      <c r="M331" s="252"/>
      <c r="N331" s="217"/>
      <c r="O331" s="254"/>
      <c r="P331" s="266"/>
      <c r="Q331" s="271"/>
      <c r="R331" s="219" t="str">
        <f t="shared" si="11"/>
        <v/>
      </c>
      <c r="S331" s="188"/>
    </row>
    <row r="332" spans="1:19" ht="18" customHeight="1">
      <c r="A332" s="245">
        <v>39165</v>
      </c>
      <c r="B332" s="246">
        <v>72969</v>
      </c>
      <c r="C332" s="188" t="s">
        <v>33</v>
      </c>
      <c r="D332" s="245">
        <v>1</v>
      </c>
      <c r="E332" s="247" t="s">
        <v>741</v>
      </c>
      <c r="F332" s="245"/>
      <c r="G332" s="188" t="s">
        <v>258</v>
      </c>
      <c r="H332" s="267">
        <v>45999</v>
      </c>
      <c r="I332" s="217">
        <v>1</v>
      </c>
      <c r="J332" s="188" t="s">
        <v>742</v>
      </c>
      <c r="K332" s="250">
        <v>5623</v>
      </c>
      <c r="L332" s="217" t="s">
        <v>743</v>
      </c>
      <c r="M332" s="252">
        <v>44957</v>
      </c>
      <c r="N332" s="217">
        <v>1</v>
      </c>
      <c r="O332" s="254">
        <v>53207</v>
      </c>
      <c r="P332" s="266">
        <v>46044</v>
      </c>
      <c r="Q332" s="271">
        <v>46063</v>
      </c>
      <c r="R332" s="219">
        <f t="shared" si="11"/>
        <v>19</v>
      </c>
      <c r="S332" s="188"/>
    </row>
    <row r="333" spans="1:19" ht="18" customHeight="1">
      <c r="A333" s="245"/>
      <c r="B333" s="246"/>
      <c r="C333" s="188"/>
      <c r="D333" s="245"/>
      <c r="E333" s="247"/>
      <c r="F333" s="245"/>
      <c r="G333" s="188"/>
      <c r="H333" s="267"/>
      <c r="J333" s="188"/>
      <c r="M333" s="252"/>
      <c r="N333" s="217"/>
      <c r="O333" s="254"/>
      <c r="P333" s="266"/>
      <c r="Q333" s="271"/>
      <c r="R333" s="219" t="str">
        <f t="shared" si="11"/>
        <v/>
      </c>
      <c r="S333" s="188"/>
    </row>
    <row r="334" spans="1:19" ht="18" customHeight="1">
      <c r="A334" s="245">
        <v>39169</v>
      </c>
      <c r="B334" s="246">
        <v>72984</v>
      </c>
      <c r="C334" s="188" t="s">
        <v>214</v>
      </c>
      <c r="D334" s="245">
        <v>1</v>
      </c>
      <c r="E334" s="247" t="s">
        <v>748</v>
      </c>
      <c r="F334" s="245" t="s">
        <v>211</v>
      </c>
      <c r="G334" s="188" t="s">
        <v>745</v>
      </c>
      <c r="H334" s="267">
        <v>46006</v>
      </c>
      <c r="I334" s="217">
        <v>1</v>
      </c>
      <c r="J334" s="188" t="s">
        <v>746</v>
      </c>
      <c r="K334" s="250">
        <v>375</v>
      </c>
      <c r="L334" s="217" t="s">
        <v>747</v>
      </c>
      <c r="M334" s="252"/>
      <c r="N334" s="217"/>
      <c r="O334" s="254"/>
      <c r="P334" s="266">
        <v>46079</v>
      </c>
      <c r="Q334" s="271"/>
      <c r="R334" s="219" t="str">
        <f t="shared" si="11"/>
        <v/>
      </c>
      <c r="S334" s="188"/>
    </row>
    <row r="335" spans="1:19" ht="18" customHeight="1">
      <c r="A335" s="245">
        <v>39169</v>
      </c>
      <c r="B335" s="246">
        <v>72985</v>
      </c>
      <c r="C335" s="188" t="s">
        <v>214</v>
      </c>
      <c r="D335" s="245">
        <v>2</v>
      </c>
      <c r="E335" s="247" t="s">
        <v>749</v>
      </c>
      <c r="F335" s="245" t="s">
        <v>579</v>
      </c>
      <c r="G335" s="188" t="s">
        <v>745</v>
      </c>
      <c r="H335" s="267">
        <v>46006</v>
      </c>
      <c r="I335" s="217">
        <v>2</v>
      </c>
      <c r="J335" s="188" t="s">
        <v>750</v>
      </c>
      <c r="K335" s="250">
        <v>375</v>
      </c>
      <c r="L335" s="217" t="s">
        <v>747</v>
      </c>
      <c r="M335" s="252"/>
      <c r="N335" s="217"/>
      <c r="O335" s="254"/>
      <c r="P335" s="266">
        <v>46079</v>
      </c>
      <c r="Q335" s="271"/>
      <c r="R335" s="219" t="str">
        <f t="shared" si="11"/>
        <v/>
      </c>
      <c r="S335" s="188"/>
    </row>
    <row r="336" spans="1:19" ht="18" customHeight="1">
      <c r="A336" s="245">
        <v>39169</v>
      </c>
      <c r="B336" s="246">
        <v>72986</v>
      </c>
      <c r="C336" s="188" t="s">
        <v>214</v>
      </c>
      <c r="D336" s="245">
        <v>2</v>
      </c>
      <c r="E336" s="247">
        <v>125528611</v>
      </c>
      <c r="F336" s="245" t="s">
        <v>633</v>
      </c>
      <c r="G336" s="188" t="s">
        <v>745</v>
      </c>
      <c r="H336" s="267">
        <v>46006</v>
      </c>
      <c r="I336" s="217">
        <v>3</v>
      </c>
      <c r="J336" s="188" t="s">
        <v>751</v>
      </c>
      <c r="K336" s="250">
        <v>2792</v>
      </c>
      <c r="L336" s="217" t="s">
        <v>747</v>
      </c>
      <c r="M336" s="252"/>
      <c r="N336" s="217"/>
      <c r="O336" s="254"/>
      <c r="P336" s="266">
        <v>46079</v>
      </c>
      <c r="Q336" s="271"/>
      <c r="R336" s="219" t="str">
        <f t="shared" si="11"/>
        <v/>
      </c>
      <c r="S336" s="188"/>
    </row>
    <row r="337" spans="1:19" ht="18" customHeight="1">
      <c r="A337" s="245">
        <v>39169</v>
      </c>
      <c r="B337" s="246">
        <v>72987</v>
      </c>
      <c r="C337" s="188" t="s">
        <v>214</v>
      </c>
      <c r="D337" s="245">
        <v>1</v>
      </c>
      <c r="E337" s="247">
        <v>125535735</v>
      </c>
      <c r="F337" s="245" t="s">
        <v>633</v>
      </c>
      <c r="G337" s="188" t="s">
        <v>745</v>
      </c>
      <c r="H337" s="267">
        <v>46006</v>
      </c>
      <c r="I337" s="217">
        <v>4</v>
      </c>
      <c r="J337" s="188" t="s">
        <v>752</v>
      </c>
      <c r="K337" s="250">
        <v>3273</v>
      </c>
      <c r="L337" s="217" t="s">
        <v>747</v>
      </c>
      <c r="M337" s="252"/>
      <c r="N337" s="217"/>
      <c r="O337" s="254"/>
      <c r="P337" s="266">
        <v>46079</v>
      </c>
      <c r="Q337" s="271"/>
      <c r="R337" s="219" t="str">
        <f t="shared" si="11"/>
        <v/>
      </c>
      <c r="S337" s="188"/>
    </row>
    <row r="338" spans="1:19" ht="18" customHeight="1">
      <c r="A338" s="245">
        <v>39169</v>
      </c>
      <c r="B338" s="246">
        <v>72988</v>
      </c>
      <c r="C338" s="188" t="s">
        <v>214</v>
      </c>
      <c r="D338" s="245">
        <v>2</v>
      </c>
      <c r="E338" s="247">
        <v>125535737</v>
      </c>
      <c r="F338" s="245" t="s">
        <v>633</v>
      </c>
      <c r="G338" s="188" t="s">
        <v>745</v>
      </c>
      <c r="H338" s="267">
        <v>46006</v>
      </c>
      <c r="I338" s="217">
        <v>5</v>
      </c>
      <c r="J338" s="188" t="s">
        <v>753</v>
      </c>
      <c r="K338" s="250">
        <v>3534</v>
      </c>
      <c r="L338" s="217" t="s">
        <v>747</v>
      </c>
      <c r="M338" s="252"/>
      <c r="N338" s="217"/>
      <c r="O338" s="254"/>
      <c r="P338" s="266">
        <v>46079</v>
      </c>
      <c r="Q338" s="271"/>
      <c r="R338" s="219" t="str">
        <f t="shared" si="11"/>
        <v/>
      </c>
      <c r="S338" s="188"/>
    </row>
    <row r="339" spans="1:19" ht="18" customHeight="1">
      <c r="A339" s="245">
        <v>39169</v>
      </c>
      <c r="B339" s="246">
        <v>72989</v>
      </c>
      <c r="C339" s="188" t="s">
        <v>214</v>
      </c>
      <c r="D339" s="245">
        <v>1</v>
      </c>
      <c r="E339" s="247">
        <v>125535906</v>
      </c>
      <c r="F339" s="245" t="s">
        <v>633</v>
      </c>
      <c r="G339" s="188" t="s">
        <v>745</v>
      </c>
      <c r="H339" s="267">
        <v>46006</v>
      </c>
      <c r="I339" s="217">
        <v>6</v>
      </c>
      <c r="J339" s="188" t="s">
        <v>752</v>
      </c>
      <c r="K339" s="250">
        <v>3369</v>
      </c>
      <c r="L339" s="217" t="s">
        <v>747</v>
      </c>
      <c r="M339" s="252"/>
      <c r="N339" s="217"/>
      <c r="O339" s="254"/>
      <c r="P339" s="266">
        <v>46079</v>
      </c>
      <c r="Q339" s="271"/>
      <c r="R339" s="219" t="str">
        <f t="shared" si="11"/>
        <v/>
      </c>
      <c r="S339" s="188"/>
    </row>
    <row r="340" spans="1:19" ht="18" customHeight="1">
      <c r="A340" s="245"/>
      <c r="B340" s="246"/>
      <c r="C340" s="188"/>
      <c r="D340" s="245"/>
      <c r="E340" s="247"/>
      <c r="F340" s="245"/>
      <c r="G340" s="188"/>
      <c r="H340" s="267"/>
      <c r="J340" s="188"/>
      <c r="M340" s="252"/>
      <c r="N340" s="217"/>
      <c r="O340" s="254"/>
      <c r="P340" s="266"/>
      <c r="Q340" s="271"/>
      <c r="R340" s="219" t="str">
        <f t="shared" si="11"/>
        <v/>
      </c>
      <c r="S340" s="188"/>
    </row>
    <row r="341" spans="1:19" ht="18" customHeight="1">
      <c r="A341" s="245">
        <v>39174</v>
      </c>
      <c r="B341" s="246">
        <v>73001</v>
      </c>
      <c r="C341" s="188" t="s">
        <v>41</v>
      </c>
      <c r="D341" s="245">
        <v>4</v>
      </c>
      <c r="E341" s="247" t="s">
        <v>757</v>
      </c>
      <c r="F341" s="245"/>
      <c r="G341" s="319" t="s">
        <v>303</v>
      </c>
      <c r="H341" s="267">
        <v>46014</v>
      </c>
      <c r="I341" s="217">
        <v>1</v>
      </c>
      <c r="J341" s="188" t="s">
        <v>758</v>
      </c>
      <c r="K341" s="250">
        <v>810</v>
      </c>
      <c r="L341" s="217" t="s">
        <v>759</v>
      </c>
      <c r="M341" s="252"/>
      <c r="N341" s="217"/>
      <c r="O341" s="254"/>
      <c r="P341" s="266">
        <v>46077</v>
      </c>
      <c r="Q341" s="271"/>
      <c r="R341" s="219" t="str">
        <f t="shared" si="11"/>
        <v/>
      </c>
      <c r="S341" s="188"/>
    </row>
    <row r="342" spans="1:19" ht="18" customHeight="1">
      <c r="A342" s="245">
        <v>39174</v>
      </c>
      <c r="B342" s="246">
        <v>73002</v>
      </c>
      <c r="C342" s="188" t="s">
        <v>41</v>
      </c>
      <c r="D342" s="245">
        <v>4</v>
      </c>
      <c r="E342" s="247" t="s">
        <v>760</v>
      </c>
      <c r="F342" s="245"/>
      <c r="G342" s="319" t="s">
        <v>303</v>
      </c>
      <c r="H342" s="267">
        <v>46014</v>
      </c>
      <c r="I342" s="217">
        <v>2</v>
      </c>
      <c r="J342" s="188" t="s">
        <v>761</v>
      </c>
      <c r="K342" s="250">
        <v>618</v>
      </c>
      <c r="L342" s="217" t="s">
        <v>759</v>
      </c>
      <c r="M342" s="252"/>
      <c r="N342" s="217"/>
      <c r="O342" s="254"/>
      <c r="P342" s="266">
        <v>46077</v>
      </c>
      <c r="Q342" s="271"/>
      <c r="R342" s="219" t="str">
        <f t="shared" si="11"/>
        <v/>
      </c>
      <c r="S342" s="188"/>
    </row>
    <row r="343" spans="1:19" ht="18" customHeight="1">
      <c r="A343" s="245">
        <v>39174</v>
      </c>
      <c r="B343" s="246">
        <v>73003</v>
      </c>
      <c r="C343" s="188" t="s">
        <v>41</v>
      </c>
      <c r="D343" s="245">
        <v>4</v>
      </c>
      <c r="E343" s="247" t="s">
        <v>762</v>
      </c>
      <c r="F343" s="245"/>
      <c r="G343" s="319" t="s">
        <v>303</v>
      </c>
      <c r="H343" s="267">
        <v>46014</v>
      </c>
      <c r="I343" s="217">
        <v>3</v>
      </c>
      <c r="J343" s="188" t="s">
        <v>763</v>
      </c>
      <c r="K343" s="250">
        <v>1737</v>
      </c>
      <c r="L343" s="217" t="s">
        <v>759</v>
      </c>
      <c r="M343" s="252"/>
      <c r="N343" s="217"/>
      <c r="O343" s="254"/>
      <c r="P343" s="266">
        <v>46077</v>
      </c>
      <c r="Q343" s="271"/>
      <c r="R343" s="219" t="str">
        <f t="shared" si="11"/>
        <v/>
      </c>
      <c r="S343" s="188"/>
    </row>
    <row r="344" spans="1:19" ht="18" customHeight="1">
      <c r="A344" s="245">
        <v>39174</v>
      </c>
      <c r="B344" s="246">
        <v>73004</v>
      </c>
      <c r="C344" s="188" t="s">
        <v>41</v>
      </c>
      <c r="D344" s="245">
        <v>8</v>
      </c>
      <c r="E344" s="247" t="s">
        <v>764</v>
      </c>
      <c r="F344" s="245"/>
      <c r="G344" s="319" t="s">
        <v>303</v>
      </c>
      <c r="H344" s="267">
        <v>46014</v>
      </c>
      <c r="I344" s="217">
        <v>4</v>
      </c>
      <c r="J344" s="188" t="s">
        <v>765</v>
      </c>
      <c r="K344" s="250">
        <v>112</v>
      </c>
      <c r="L344" s="217" t="s">
        <v>759</v>
      </c>
      <c r="M344" s="252"/>
      <c r="N344" s="217"/>
      <c r="O344" s="254"/>
      <c r="P344" s="266">
        <v>46077</v>
      </c>
      <c r="Q344" s="271"/>
      <c r="R344" s="219" t="str">
        <f t="shared" si="11"/>
        <v/>
      </c>
      <c r="S344" s="188"/>
    </row>
    <row r="345" spans="1:19" ht="18" customHeight="1">
      <c r="A345" s="245"/>
      <c r="B345" s="246"/>
      <c r="C345" s="188"/>
      <c r="D345" s="245"/>
      <c r="E345" s="247"/>
      <c r="F345" s="245"/>
      <c r="G345" s="188"/>
      <c r="H345" s="267"/>
      <c r="J345" s="188"/>
      <c r="M345" s="252"/>
      <c r="N345" s="217"/>
      <c r="O345" s="254"/>
      <c r="P345" s="266"/>
      <c r="Q345" s="271"/>
      <c r="R345" s="219" t="str">
        <f t="shared" si="11"/>
        <v/>
      </c>
      <c r="S345" s="188"/>
    </row>
    <row r="346" spans="1:19" ht="18" customHeight="1">
      <c r="A346" s="245">
        <v>39177</v>
      </c>
      <c r="B346" s="246">
        <v>73007</v>
      </c>
      <c r="C346" s="188" t="s">
        <v>41</v>
      </c>
      <c r="D346" s="245">
        <v>2</v>
      </c>
      <c r="E346" s="247" t="s">
        <v>769</v>
      </c>
      <c r="F346" s="245">
        <v>1</v>
      </c>
      <c r="G346" s="188" t="s">
        <v>770</v>
      </c>
      <c r="H346" s="267">
        <v>46015</v>
      </c>
      <c r="I346" s="397" t="s">
        <v>771</v>
      </c>
      <c r="J346" s="188" t="s">
        <v>772</v>
      </c>
      <c r="K346" s="250">
        <v>2998</v>
      </c>
      <c r="L346" s="408" t="s">
        <v>953</v>
      </c>
      <c r="M346" s="252"/>
      <c r="N346" s="217"/>
      <c r="O346" s="254"/>
      <c r="P346" s="266">
        <v>46073</v>
      </c>
      <c r="Q346" s="271"/>
      <c r="R346" s="219" t="str">
        <f t="shared" si="11"/>
        <v/>
      </c>
      <c r="S346" s="188"/>
    </row>
    <row r="347" spans="1:19" ht="18" customHeight="1">
      <c r="A347" s="245">
        <v>39177</v>
      </c>
      <c r="B347" s="246">
        <v>73008</v>
      </c>
      <c r="C347" s="188" t="s">
        <v>41</v>
      </c>
      <c r="D347" s="245">
        <v>16</v>
      </c>
      <c r="E347" s="247" t="s">
        <v>773</v>
      </c>
      <c r="F347" s="245"/>
      <c r="G347" s="188" t="s">
        <v>770</v>
      </c>
      <c r="H347" s="267">
        <v>46015</v>
      </c>
      <c r="I347" s="397" t="s">
        <v>774</v>
      </c>
      <c r="J347" s="188" t="s">
        <v>775</v>
      </c>
      <c r="K347" s="250">
        <v>456</v>
      </c>
      <c r="L347" s="408" t="s">
        <v>953</v>
      </c>
      <c r="M347" s="252"/>
      <c r="N347" s="217"/>
      <c r="O347" s="254"/>
      <c r="P347" s="266">
        <v>46073</v>
      </c>
      <c r="Q347" s="271"/>
      <c r="R347" s="219" t="str">
        <f t="shared" si="11"/>
        <v/>
      </c>
      <c r="S347" s="188"/>
    </row>
    <row r="348" spans="1:19" ht="18" customHeight="1">
      <c r="A348" s="245"/>
      <c r="B348" s="246"/>
      <c r="C348" s="188"/>
      <c r="D348" s="245"/>
      <c r="E348" s="247"/>
      <c r="F348" s="245"/>
      <c r="G348" s="188"/>
      <c r="H348" s="267"/>
      <c r="J348" s="188"/>
      <c r="M348" s="252"/>
      <c r="N348" s="217"/>
      <c r="O348" s="254"/>
      <c r="P348" s="266"/>
      <c r="Q348" s="271"/>
      <c r="R348" s="219" t="str">
        <f t="shared" si="11"/>
        <v/>
      </c>
      <c r="S348" s="188"/>
    </row>
    <row r="349" spans="1:19" ht="18" customHeight="1">
      <c r="A349" s="245">
        <v>39178</v>
      </c>
      <c r="B349" s="246">
        <v>73009</v>
      </c>
      <c r="C349" s="188" t="s">
        <v>41</v>
      </c>
      <c r="D349" s="245">
        <v>1</v>
      </c>
      <c r="E349" s="247" t="s">
        <v>776</v>
      </c>
      <c r="F349" s="245"/>
      <c r="G349" s="188" t="s">
        <v>770</v>
      </c>
      <c r="H349" s="267">
        <v>46015</v>
      </c>
      <c r="I349" s="397" t="s">
        <v>777</v>
      </c>
      <c r="J349" s="188" t="s">
        <v>778</v>
      </c>
      <c r="K349" s="250">
        <v>43580</v>
      </c>
      <c r="L349" s="408" t="s">
        <v>953</v>
      </c>
      <c r="M349" s="252"/>
      <c r="N349" s="217"/>
      <c r="O349" s="254"/>
      <c r="P349" s="272">
        <v>46150</v>
      </c>
      <c r="Q349" s="271"/>
      <c r="R349" s="219" t="str">
        <f t="shared" si="11"/>
        <v/>
      </c>
      <c r="S349" s="188"/>
    </row>
    <row r="350" spans="1:19" ht="18" customHeight="1">
      <c r="A350" s="245"/>
      <c r="B350" s="246"/>
      <c r="C350" s="188"/>
      <c r="D350" s="245"/>
      <c r="E350" s="247"/>
      <c r="F350" s="245"/>
      <c r="G350" s="188"/>
      <c r="H350" s="267"/>
      <c r="J350" s="188"/>
      <c r="M350" s="252"/>
      <c r="N350" s="217"/>
      <c r="O350" s="254"/>
      <c r="P350" s="266"/>
      <c r="Q350" s="271"/>
      <c r="R350" s="219" t="str">
        <f t="shared" si="11"/>
        <v/>
      </c>
      <c r="S350" s="188"/>
    </row>
    <row r="351" spans="1:19" ht="18" customHeight="1">
      <c r="A351" s="245">
        <v>39179</v>
      </c>
      <c r="B351" s="246">
        <v>73010</v>
      </c>
      <c r="C351" s="188" t="s">
        <v>62</v>
      </c>
      <c r="D351" s="245">
        <v>1</v>
      </c>
      <c r="E351" s="247" t="s">
        <v>779</v>
      </c>
      <c r="F351" s="245"/>
      <c r="G351" s="188" t="s">
        <v>780</v>
      </c>
      <c r="H351" s="267">
        <v>46020</v>
      </c>
      <c r="I351" s="217">
        <v>1</v>
      </c>
      <c r="J351" s="188" t="s">
        <v>781</v>
      </c>
      <c r="K351" s="250">
        <v>3165</v>
      </c>
      <c r="L351" s="217" t="s">
        <v>782</v>
      </c>
      <c r="M351" s="252"/>
      <c r="N351" s="217"/>
      <c r="O351" s="254"/>
      <c r="P351" s="266">
        <v>46073</v>
      </c>
      <c r="Q351" s="271"/>
      <c r="R351" s="219" t="str">
        <f t="shared" si="11"/>
        <v/>
      </c>
      <c r="S351" s="188"/>
    </row>
    <row r="352" spans="1:19" ht="18" customHeight="1">
      <c r="A352" s="245"/>
      <c r="B352" s="246"/>
      <c r="C352" s="188"/>
      <c r="D352" s="245"/>
      <c r="E352" s="247"/>
      <c r="F352" s="245"/>
      <c r="G352" s="188"/>
      <c r="H352" s="267"/>
      <c r="J352" s="188"/>
      <c r="M352" s="252"/>
      <c r="N352" s="217"/>
      <c r="O352" s="254"/>
      <c r="P352" s="266"/>
      <c r="Q352" s="271"/>
      <c r="R352" s="219" t="str">
        <f t="shared" si="11"/>
        <v/>
      </c>
      <c r="S352" s="188"/>
    </row>
    <row r="353" spans="1:19" ht="18" customHeight="1">
      <c r="A353" s="245">
        <v>39180</v>
      </c>
      <c r="B353" s="246">
        <v>73011</v>
      </c>
      <c r="C353" s="188" t="s">
        <v>62</v>
      </c>
      <c r="D353" s="245">
        <v>1</v>
      </c>
      <c r="E353" s="247" t="s">
        <v>783</v>
      </c>
      <c r="F353" s="245"/>
      <c r="G353" s="188" t="s">
        <v>780</v>
      </c>
      <c r="H353" s="267">
        <v>46020</v>
      </c>
      <c r="I353" s="217">
        <v>1</v>
      </c>
      <c r="J353" s="188" t="s">
        <v>784</v>
      </c>
      <c r="K353" s="250">
        <v>1092</v>
      </c>
      <c r="L353" s="217" t="s">
        <v>785</v>
      </c>
      <c r="M353" s="252"/>
      <c r="N353" s="217"/>
      <c r="O353" s="254"/>
      <c r="P353" s="266">
        <v>46066</v>
      </c>
      <c r="Q353" s="271"/>
      <c r="R353" s="219" t="str">
        <f t="shared" si="11"/>
        <v/>
      </c>
      <c r="S353" s="188"/>
    </row>
    <row r="354" spans="1:19" ht="18" customHeight="1">
      <c r="A354" s="245"/>
      <c r="B354" s="246"/>
      <c r="C354" s="188"/>
      <c r="D354" s="245"/>
      <c r="E354" s="247"/>
      <c r="F354" s="245"/>
      <c r="G354" s="188"/>
      <c r="H354" s="267"/>
      <c r="J354" s="188"/>
      <c r="M354" s="252"/>
      <c r="N354" s="217"/>
      <c r="O354" s="254"/>
      <c r="P354" s="266"/>
      <c r="Q354" s="271"/>
      <c r="R354" s="219" t="str">
        <f t="shared" si="11"/>
        <v/>
      </c>
      <c r="S354" s="188"/>
    </row>
    <row r="355" spans="1:19" ht="18" customHeight="1">
      <c r="A355" s="245">
        <v>39181</v>
      </c>
      <c r="B355" s="246">
        <v>73012</v>
      </c>
      <c r="C355" s="188" t="s">
        <v>62</v>
      </c>
      <c r="D355" s="245">
        <v>1</v>
      </c>
      <c r="E355" s="247" t="s">
        <v>786</v>
      </c>
      <c r="F355" s="245"/>
      <c r="G355" s="188" t="s">
        <v>780</v>
      </c>
      <c r="H355" s="267">
        <v>46020</v>
      </c>
      <c r="I355" s="217">
        <v>1</v>
      </c>
      <c r="J355" s="188" t="s">
        <v>787</v>
      </c>
      <c r="K355" s="250">
        <v>1179</v>
      </c>
      <c r="L355" s="217" t="s">
        <v>788</v>
      </c>
      <c r="M355" s="252">
        <v>44970</v>
      </c>
      <c r="N355" s="217">
        <v>1</v>
      </c>
      <c r="O355" s="254"/>
      <c r="P355" s="266">
        <v>46066</v>
      </c>
      <c r="Q355" s="271">
        <v>46065</v>
      </c>
      <c r="R355" s="219">
        <f t="shared" si="11"/>
        <v>-1</v>
      </c>
      <c r="S355" s="188"/>
    </row>
    <row r="356" spans="1:19" ht="18" customHeight="1">
      <c r="A356" s="245"/>
      <c r="B356" s="246"/>
      <c r="C356" s="188"/>
      <c r="D356" s="245"/>
      <c r="E356" s="247"/>
      <c r="F356" s="245"/>
      <c r="G356" s="188"/>
      <c r="H356" s="267"/>
      <c r="J356" s="188"/>
      <c r="M356" s="252"/>
      <c r="N356" s="217"/>
      <c r="O356" s="254"/>
      <c r="P356" s="266"/>
      <c r="Q356" s="271"/>
      <c r="R356" s="219" t="str">
        <f t="shared" si="11"/>
        <v/>
      </c>
      <c r="S356" s="188"/>
    </row>
    <row r="357" spans="1:19" ht="18" customHeight="1">
      <c r="A357" s="245">
        <v>39182</v>
      </c>
      <c r="B357" s="246">
        <v>73013</v>
      </c>
      <c r="C357" s="188" t="s">
        <v>62</v>
      </c>
      <c r="D357" s="245">
        <v>1</v>
      </c>
      <c r="E357" s="247" t="s">
        <v>789</v>
      </c>
      <c r="F357" s="245"/>
      <c r="G357" s="188" t="s">
        <v>780</v>
      </c>
      <c r="H357" s="267">
        <v>46020</v>
      </c>
      <c r="I357" s="217">
        <v>1</v>
      </c>
      <c r="J357" s="188" t="s">
        <v>790</v>
      </c>
      <c r="K357" s="250">
        <v>7911</v>
      </c>
      <c r="L357" s="217" t="s">
        <v>791</v>
      </c>
      <c r="M357" s="252"/>
      <c r="N357" s="217"/>
      <c r="O357" s="254"/>
      <c r="P357" s="266">
        <v>46073</v>
      </c>
      <c r="Q357" s="271"/>
      <c r="R357" s="219" t="str">
        <f t="shared" si="11"/>
        <v/>
      </c>
      <c r="S357" s="188"/>
    </row>
    <row r="358" spans="1:19" ht="18" customHeight="1">
      <c r="A358" s="245"/>
      <c r="B358" s="246"/>
      <c r="C358" s="188"/>
      <c r="D358" s="245"/>
      <c r="E358" s="247"/>
      <c r="F358" s="245"/>
      <c r="G358" s="188"/>
      <c r="H358" s="267"/>
      <c r="J358" s="188"/>
      <c r="M358" s="252"/>
      <c r="N358" s="217"/>
      <c r="O358" s="254"/>
      <c r="P358" s="266"/>
      <c r="Q358" s="271"/>
      <c r="R358" s="219" t="str">
        <f t="shared" si="11"/>
        <v/>
      </c>
      <c r="S358" s="188"/>
    </row>
    <row r="359" spans="1:19" ht="18" customHeight="1">
      <c r="A359" s="245">
        <v>39183</v>
      </c>
      <c r="B359" s="246">
        <v>73014</v>
      </c>
      <c r="C359" s="188" t="s">
        <v>62</v>
      </c>
      <c r="D359" s="245">
        <v>1</v>
      </c>
      <c r="E359" s="247" t="s">
        <v>792</v>
      </c>
      <c r="F359" s="245"/>
      <c r="G359" s="188" t="s">
        <v>780</v>
      </c>
      <c r="H359" s="267">
        <v>46020</v>
      </c>
      <c r="I359" s="217">
        <v>1</v>
      </c>
      <c r="J359" s="188" t="s">
        <v>793</v>
      </c>
      <c r="K359" s="250">
        <v>4070</v>
      </c>
      <c r="L359" s="217" t="s">
        <v>794</v>
      </c>
      <c r="M359" s="252"/>
      <c r="N359" s="217"/>
      <c r="O359" s="254"/>
      <c r="P359" s="266">
        <v>46073</v>
      </c>
      <c r="Q359" s="271"/>
      <c r="R359" s="219" t="str">
        <f t="shared" si="11"/>
        <v/>
      </c>
      <c r="S359" s="188"/>
    </row>
    <row r="360" spans="1:19" ht="18" customHeight="1">
      <c r="A360" s="245"/>
      <c r="B360" s="246"/>
      <c r="C360" s="188"/>
      <c r="D360" s="245"/>
      <c r="E360" s="247"/>
      <c r="F360" s="245"/>
      <c r="G360" s="188"/>
      <c r="H360" s="267"/>
      <c r="J360" s="188"/>
      <c r="M360" s="252"/>
      <c r="N360" s="217"/>
      <c r="O360" s="254"/>
      <c r="P360" s="266"/>
      <c r="Q360" s="271"/>
      <c r="R360" s="219" t="str">
        <f t="shared" ref="R360:R383" si="12">IF(SUM(Q360)&gt;0,SUM(Q360-P360),"")</f>
        <v/>
      </c>
      <c r="S360" s="188"/>
    </row>
    <row r="361" spans="1:19" ht="18" customHeight="1">
      <c r="A361" s="245">
        <v>39184</v>
      </c>
      <c r="B361" s="246">
        <v>73015</v>
      </c>
      <c r="C361" s="188" t="s">
        <v>62</v>
      </c>
      <c r="D361" s="245">
        <v>1</v>
      </c>
      <c r="E361" s="247" t="s">
        <v>795</v>
      </c>
      <c r="F361" s="245"/>
      <c r="G361" s="188" t="s">
        <v>780</v>
      </c>
      <c r="H361" s="267">
        <v>46020</v>
      </c>
      <c r="I361" s="217">
        <v>1</v>
      </c>
      <c r="J361" s="188" t="s">
        <v>796</v>
      </c>
      <c r="K361" s="250">
        <v>17546</v>
      </c>
      <c r="L361" s="217" t="s">
        <v>797</v>
      </c>
      <c r="M361" s="252"/>
      <c r="N361" s="217"/>
      <c r="O361" s="254"/>
      <c r="P361" s="266">
        <v>46080</v>
      </c>
      <c r="Q361" s="271"/>
      <c r="R361" s="219" t="str">
        <f t="shared" si="12"/>
        <v/>
      </c>
      <c r="S361" s="188"/>
    </row>
    <row r="362" spans="1:19" ht="18" customHeight="1">
      <c r="A362" s="245"/>
      <c r="B362" s="246"/>
      <c r="C362" s="188"/>
      <c r="D362" s="245"/>
      <c r="E362" s="247"/>
      <c r="F362" s="245"/>
      <c r="G362" s="188"/>
      <c r="H362" s="267"/>
      <c r="J362" s="188"/>
      <c r="M362" s="252"/>
      <c r="N362" s="217"/>
      <c r="O362" s="254"/>
      <c r="P362" s="266"/>
      <c r="Q362" s="271"/>
      <c r="R362" s="219" t="str">
        <f t="shared" si="12"/>
        <v/>
      </c>
      <c r="S362" s="188"/>
    </row>
    <row r="363" spans="1:19" ht="18" customHeight="1">
      <c r="A363" s="245">
        <v>39185</v>
      </c>
      <c r="B363" s="246">
        <v>73016</v>
      </c>
      <c r="C363" s="188" t="s">
        <v>62</v>
      </c>
      <c r="D363" s="245">
        <v>1</v>
      </c>
      <c r="E363" s="247" t="s">
        <v>798</v>
      </c>
      <c r="F363" s="252" t="s">
        <v>276</v>
      </c>
      <c r="G363" s="188" t="s">
        <v>780</v>
      </c>
      <c r="H363" s="267">
        <v>46020</v>
      </c>
      <c r="I363" s="217">
        <v>1</v>
      </c>
      <c r="J363" s="188" t="s">
        <v>799</v>
      </c>
      <c r="K363" s="250">
        <v>2096</v>
      </c>
      <c r="L363" s="217" t="s">
        <v>837</v>
      </c>
      <c r="M363" s="252"/>
      <c r="N363" s="217"/>
      <c r="O363" s="254"/>
      <c r="P363" s="266">
        <v>46066</v>
      </c>
      <c r="Q363" s="271"/>
      <c r="R363" s="219" t="str">
        <f t="shared" si="12"/>
        <v/>
      </c>
      <c r="S363" s="188"/>
    </row>
    <row r="364" spans="1:19" ht="18" customHeight="1">
      <c r="A364" s="245"/>
      <c r="B364" s="246"/>
      <c r="C364" s="188"/>
      <c r="D364" s="245"/>
      <c r="E364" s="247"/>
      <c r="F364" s="245"/>
      <c r="G364" s="188"/>
      <c r="H364" s="267"/>
      <c r="J364" s="188"/>
      <c r="M364" s="252"/>
      <c r="N364" s="217"/>
      <c r="O364" s="254"/>
      <c r="P364" s="266"/>
      <c r="Q364" s="271"/>
      <c r="R364" s="219" t="str">
        <f t="shared" si="12"/>
        <v/>
      </c>
      <c r="S364" s="188"/>
    </row>
    <row r="365" spans="1:19" ht="18" customHeight="1">
      <c r="A365" s="245">
        <v>39186</v>
      </c>
      <c r="B365" s="246">
        <v>73017</v>
      </c>
      <c r="C365" s="188" t="s">
        <v>62</v>
      </c>
      <c r="D365" s="245">
        <v>1</v>
      </c>
      <c r="E365" s="247" t="s">
        <v>800</v>
      </c>
      <c r="F365" s="245"/>
      <c r="G365" s="188" t="s">
        <v>780</v>
      </c>
      <c r="H365" s="267">
        <v>46020</v>
      </c>
      <c r="I365" s="217">
        <v>1</v>
      </c>
      <c r="J365" s="188" t="s">
        <v>801</v>
      </c>
      <c r="K365" s="250">
        <v>2856</v>
      </c>
      <c r="L365" s="217" t="s">
        <v>802</v>
      </c>
      <c r="M365" s="252"/>
      <c r="N365" s="217"/>
      <c r="O365" s="254"/>
      <c r="P365" s="266">
        <v>46066</v>
      </c>
      <c r="Q365" s="271"/>
      <c r="R365" s="219" t="str">
        <f t="shared" si="12"/>
        <v/>
      </c>
      <c r="S365" s="188"/>
    </row>
    <row r="366" spans="1:19" ht="18" customHeight="1">
      <c r="A366" s="245"/>
      <c r="B366" s="246"/>
      <c r="C366" s="188"/>
      <c r="D366" s="245"/>
      <c r="E366" s="247"/>
      <c r="F366" s="245"/>
      <c r="G366" s="188"/>
      <c r="H366" s="267"/>
      <c r="J366" s="188"/>
      <c r="M366" s="252"/>
      <c r="N366" s="217"/>
      <c r="O366" s="254"/>
      <c r="P366" s="266"/>
      <c r="Q366" s="271"/>
      <c r="R366" s="219" t="str">
        <f t="shared" si="12"/>
        <v/>
      </c>
      <c r="S366" s="188"/>
    </row>
    <row r="367" spans="1:19" ht="18" customHeight="1">
      <c r="A367" s="245">
        <v>39187</v>
      </c>
      <c r="B367" s="246">
        <v>73018</v>
      </c>
      <c r="C367" s="188" t="s">
        <v>62</v>
      </c>
      <c r="D367" s="245">
        <v>1</v>
      </c>
      <c r="E367" s="247" t="s">
        <v>803</v>
      </c>
      <c r="F367" s="245"/>
      <c r="G367" s="188" t="s">
        <v>780</v>
      </c>
      <c r="H367" s="267">
        <v>46020</v>
      </c>
      <c r="I367" s="217">
        <v>1</v>
      </c>
      <c r="J367" s="188" t="s">
        <v>804</v>
      </c>
      <c r="K367" s="250">
        <v>1272</v>
      </c>
      <c r="L367" s="217" t="s">
        <v>805</v>
      </c>
      <c r="M367" s="252"/>
      <c r="N367" s="217"/>
      <c r="O367" s="254"/>
      <c r="P367" s="266">
        <v>46066</v>
      </c>
      <c r="Q367" s="271"/>
      <c r="R367" s="219" t="str">
        <f t="shared" si="12"/>
        <v/>
      </c>
      <c r="S367" s="188"/>
    </row>
    <row r="368" spans="1:19" ht="18" customHeight="1">
      <c r="A368" s="245"/>
      <c r="B368" s="246"/>
      <c r="C368" s="188"/>
      <c r="D368" s="245"/>
      <c r="E368" s="247"/>
      <c r="F368" s="245"/>
      <c r="G368" s="188"/>
      <c r="H368" s="267"/>
      <c r="J368" s="188"/>
      <c r="M368" s="252"/>
      <c r="N368" s="217"/>
      <c r="O368" s="254"/>
      <c r="P368" s="266"/>
      <c r="Q368" s="271"/>
      <c r="R368" s="219" t="str">
        <f t="shared" si="12"/>
        <v/>
      </c>
      <c r="S368" s="188"/>
    </row>
    <row r="369" spans="1:19" ht="18" customHeight="1">
      <c r="A369" s="245">
        <v>39188</v>
      </c>
      <c r="B369" s="246">
        <v>73019</v>
      </c>
      <c r="C369" s="188" t="s">
        <v>62</v>
      </c>
      <c r="D369" s="245">
        <v>1</v>
      </c>
      <c r="E369" s="247" t="s">
        <v>806</v>
      </c>
      <c r="F369" s="245"/>
      <c r="G369" s="188" t="s">
        <v>780</v>
      </c>
      <c r="H369" s="267">
        <v>46020</v>
      </c>
      <c r="I369" s="217">
        <v>1</v>
      </c>
      <c r="J369" s="188" t="s">
        <v>807</v>
      </c>
      <c r="K369" s="250">
        <v>2820</v>
      </c>
      <c r="L369" s="217" t="s">
        <v>808</v>
      </c>
      <c r="M369" s="252"/>
      <c r="N369" s="217"/>
      <c r="O369" s="254"/>
      <c r="P369" s="266">
        <v>46073</v>
      </c>
      <c r="Q369" s="271"/>
      <c r="R369" s="219" t="str">
        <f t="shared" si="12"/>
        <v/>
      </c>
      <c r="S369" s="188"/>
    </row>
    <row r="370" spans="1:19" ht="18" customHeight="1">
      <c r="A370" s="245"/>
      <c r="B370" s="246"/>
      <c r="C370" s="188"/>
      <c r="D370" s="245"/>
      <c r="E370" s="247"/>
      <c r="F370" s="245"/>
      <c r="G370" s="188"/>
      <c r="H370" s="267"/>
      <c r="J370" s="188"/>
      <c r="M370" s="252"/>
      <c r="N370" s="217"/>
      <c r="O370" s="254"/>
      <c r="P370" s="266"/>
      <c r="Q370" s="271"/>
      <c r="R370" s="219" t="str">
        <f t="shared" si="12"/>
        <v/>
      </c>
      <c r="S370" s="188"/>
    </row>
    <row r="371" spans="1:19" ht="18" customHeight="1">
      <c r="A371" s="245">
        <v>39189</v>
      </c>
      <c r="B371" s="246">
        <v>73020</v>
      </c>
      <c r="C371" s="188" t="s">
        <v>62</v>
      </c>
      <c r="D371" s="245">
        <v>1</v>
      </c>
      <c r="E371" s="247" t="s">
        <v>809</v>
      </c>
      <c r="F371" s="245"/>
      <c r="G371" s="188" t="s">
        <v>780</v>
      </c>
      <c r="H371" s="267">
        <v>46020</v>
      </c>
      <c r="I371" s="217">
        <v>1</v>
      </c>
      <c r="J371" s="188" t="s">
        <v>810</v>
      </c>
      <c r="K371" s="250">
        <v>9208</v>
      </c>
      <c r="L371" s="217" t="s">
        <v>811</v>
      </c>
      <c r="M371" s="252"/>
      <c r="N371" s="217"/>
      <c r="O371" s="254"/>
      <c r="P371" s="266">
        <v>46080</v>
      </c>
      <c r="Q371" s="271"/>
      <c r="R371" s="219" t="str">
        <f t="shared" si="12"/>
        <v/>
      </c>
      <c r="S371" s="188"/>
    </row>
    <row r="372" spans="1:19" ht="18" customHeight="1">
      <c r="A372" s="245"/>
      <c r="B372" s="246"/>
      <c r="C372" s="188"/>
      <c r="D372" s="245"/>
      <c r="E372" s="247"/>
      <c r="F372" s="245"/>
      <c r="G372" s="188"/>
      <c r="H372" s="267"/>
      <c r="J372" s="188"/>
      <c r="M372" s="252"/>
      <c r="N372" s="217"/>
      <c r="O372" s="254"/>
      <c r="P372" s="266"/>
      <c r="Q372" s="271"/>
      <c r="R372" s="219" t="str">
        <f t="shared" si="12"/>
        <v/>
      </c>
      <c r="S372" s="188"/>
    </row>
    <row r="373" spans="1:19" ht="18" customHeight="1">
      <c r="A373" s="245">
        <v>39190</v>
      </c>
      <c r="B373" s="246">
        <v>73021</v>
      </c>
      <c r="C373" s="188" t="s">
        <v>62</v>
      </c>
      <c r="D373" s="245">
        <v>1</v>
      </c>
      <c r="E373" s="247" t="s">
        <v>812</v>
      </c>
      <c r="F373" s="245"/>
      <c r="G373" s="188" t="s">
        <v>780</v>
      </c>
      <c r="H373" s="267">
        <v>46020</v>
      </c>
      <c r="I373" s="217">
        <v>1</v>
      </c>
      <c r="J373" s="188" t="s">
        <v>813</v>
      </c>
      <c r="K373" s="250">
        <v>5739</v>
      </c>
      <c r="L373" s="217" t="s">
        <v>814</v>
      </c>
      <c r="M373" s="252"/>
      <c r="N373" s="217"/>
      <c r="O373" s="254"/>
      <c r="P373" s="266">
        <v>46080</v>
      </c>
      <c r="Q373" s="271"/>
      <c r="R373" s="219" t="str">
        <f t="shared" si="12"/>
        <v/>
      </c>
      <c r="S373" s="188"/>
    </row>
    <row r="374" spans="1:19" ht="18" customHeight="1">
      <c r="A374" s="245"/>
      <c r="B374" s="246"/>
      <c r="C374" s="188"/>
      <c r="D374" s="245"/>
      <c r="E374" s="247"/>
      <c r="F374" s="245"/>
      <c r="G374" s="188"/>
      <c r="H374" s="267"/>
      <c r="J374" s="188"/>
      <c r="M374" s="252"/>
      <c r="N374" s="217"/>
      <c r="O374" s="254"/>
      <c r="P374" s="266"/>
      <c r="Q374" s="271"/>
      <c r="R374" s="219" t="str">
        <f t="shared" si="12"/>
        <v/>
      </c>
      <c r="S374" s="188"/>
    </row>
    <row r="375" spans="1:19" ht="18" customHeight="1">
      <c r="A375" s="245">
        <v>39191</v>
      </c>
      <c r="B375" s="246">
        <v>73022</v>
      </c>
      <c r="C375" s="188" t="s">
        <v>62</v>
      </c>
      <c r="D375" s="245">
        <v>1</v>
      </c>
      <c r="E375" s="247" t="s">
        <v>815</v>
      </c>
      <c r="F375" s="245"/>
      <c r="G375" s="188" t="s">
        <v>780</v>
      </c>
      <c r="H375" s="267">
        <v>46020</v>
      </c>
      <c r="I375" s="217">
        <v>1</v>
      </c>
      <c r="J375" s="188" t="s">
        <v>816</v>
      </c>
      <c r="K375" s="250">
        <v>1542</v>
      </c>
      <c r="L375" s="217" t="s">
        <v>817</v>
      </c>
      <c r="M375" s="252"/>
      <c r="N375" s="217"/>
      <c r="O375" s="254"/>
      <c r="P375" s="266">
        <v>46066</v>
      </c>
      <c r="Q375" s="271"/>
      <c r="R375" s="219" t="str">
        <f t="shared" si="12"/>
        <v/>
      </c>
      <c r="S375" s="188"/>
    </row>
    <row r="376" spans="1:19" ht="18" customHeight="1">
      <c r="A376" s="245"/>
      <c r="B376" s="246"/>
      <c r="C376" s="188"/>
      <c r="D376" s="245"/>
      <c r="E376" s="247"/>
      <c r="F376" s="245"/>
      <c r="G376" s="188"/>
      <c r="H376" s="267"/>
      <c r="J376" s="188"/>
      <c r="M376" s="252"/>
      <c r="N376" s="217"/>
      <c r="O376" s="254"/>
      <c r="P376" s="266"/>
      <c r="Q376" s="271"/>
      <c r="R376" s="219" t="str">
        <f t="shared" si="12"/>
        <v/>
      </c>
      <c r="S376" s="188"/>
    </row>
    <row r="377" spans="1:19" ht="18" customHeight="1">
      <c r="A377" s="245">
        <v>39192</v>
      </c>
      <c r="B377" s="246">
        <v>73023</v>
      </c>
      <c r="C377" s="188" t="s">
        <v>41</v>
      </c>
      <c r="D377" s="245">
        <v>260</v>
      </c>
      <c r="E377" s="247" t="s">
        <v>981</v>
      </c>
      <c r="F377" s="245"/>
      <c r="G377" s="188" t="s">
        <v>818</v>
      </c>
      <c r="H377" s="267">
        <v>46020</v>
      </c>
      <c r="I377" s="217">
        <v>1</v>
      </c>
      <c r="J377" s="188" t="s">
        <v>819</v>
      </c>
      <c r="K377" s="250">
        <v>706.1</v>
      </c>
      <c r="L377" s="217" t="s">
        <v>824</v>
      </c>
      <c r="M377" s="252"/>
      <c r="N377" s="217"/>
      <c r="O377" s="254"/>
      <c r="P377" s="396">
        <v>46153</v>
      </c>
      <c r="Q377" s="271"/>
      <c r="R377" s="219" t="str">
        <f t="shared" si="12"/>
        <v/>
      </c>
      <c r="S377" s="188"/>
    </row>
    <row r="378" spans="1:19" ht="18" customHeight="1">
      <c r="A378" s="245">
        <v>39192</v>
      </c>
      <c r="B378" s="246">
        <v>73024</v>
      </c>
      <c r="C378" s="188" t="s">
        <v>41</v>
      </c>
      <c r="D378" s="245">
        <v>30</v>
      </c>
      <c r="E378" s="247" t="s">
        <v>762</v>
      </c>
      <c r="F378" s="245"/>
      <c r="G378" s="188" t="s">
        <v>818</v>
      </c>
      <c r="H378" s="267">
        <v>46020</v>
      </c>
      <c r="I378" s="217">
        <v>2</v>
      </c>
      <c r="J378" s="188" t="s">
        <v>820</v>
      </c>
      <c r="K378" s="250">
        <v>1112</v>
      </c>
      <c r="L378" s="217" t="s">
        <v>824</v>
      </c>
      <c r="M378" s="252"/>
      <c r="N378" s="217"/>
      <c r="O378" s="254"/>
      <c r="P378" s="396">
        <v>46153</v>
      </c>
      <c r="Q378" s="271"/>
      <c r="R378" s="219" t="str">
        <f t="shared" si="12"/>
        <v/>
      </c>
      <c r="S378" s="188"/>
    </row>
    <row r="379" spans="1:19" ht="18" customHeight="1">
      <c r="A379" s="245">
        <v>39192</v>
      </c>
      <c r="B379" s="246">
        <v>73025</v>
      </c>
      <c r="C379" s="188" t="s">
        <v>41</v>
      </c>
      <c r="D379" s="245">
        <v>30</v>
      </c>
      <c r="E379" s="247" t="s">
        <v>760</v>
      </c>
      <c r="F379" s="245"/>
      <c r="G379" s="188" t="s">
        <v>818</v>
      </c>
      <c r="H379" s="267">
        <v>46020</v>
      </c>
      <c r="I379" s="217">
        <v>3</v>
      </c>
      <c r="J379" s="188" t="s">
        <v>821</v>
      </c>
      <c r="K379" s="250">
        <v>473</v>
      </c>
      <c r="L379" s="217" t="s">
        <v>824</v>
      </c>
      <c r="M379" s="252"/>
      <c r="N379" s="217"/>
      <c r="O379" s="254"/>
      <c r="P379" s="396">
        <v>46153</v>
      </c>
      <c r="Q379" s="271"/>
      <c r="R379" s="219" t="str">
        <f t="shared" si="12"/>
        <v/>
      </c>
      <c r="S379" s="188"/>
    </row>
    <row r="380" spans="1:19" ht="18" customHeight="1">
      <c r="A380" s="245">
        <v>39192</v>
      </c>
      <c r="B380" s="246">
        <v>73026</v>
      </c>
      <c r="C380" s="188" t="s">
        <v>41</v>
      </c>
      <c r="D380" s="245">
        <v>95</v>
      </c>
      <c r="E380" s="247" t="s">
        <v>822</v>
      </c>
      <c r="F380" s="245"/>
      <c r="G380" s="188" t="s">
        <v>818</v>
      </c>
      <c r="H380" s="267">
        <v>46020</v>
      </c>
      <c r="I380" s="217">
        <v>4</v>
      </c>
      <c r="J380" s="188" t="s">
        <v>823</v>
      </c>
      <c r="K380" s="250">
        <v>456</v>
      </c>
      <c r="L380" s="217" t="s">
        <v>824</v>
      </c>
      <c r="M380" s="252"/>
      <c r="N380" s="217"/>
      <c r="O380" s="254"/>
      <c r="P380" s="396">
        <v>46153</v>
      </c>
      <c r="Q380" s="271"/>
      <c r="R380" s="219" t="str">
        <f t="shared" si="12"/>
        <v/>
      </c>
      <c r="S380" s="188"/>
    </row>
    <row r="381" spans="1:19" ht="18" customHeight="1">
      <c r="A381" s="245"/>
      <c r="B381" s="246"/>
      <c r="C381" s="188"/>
      <c r="D381" s="245"/>
      <c r="E381" s="247"/>
      <c r="F381" s="245"/>
      <c r="G381" s="188"/>
      <c r="H381" s="267"/>
      <c r="J381" s="188"/>
      <c r="M381" s="252"/>
      <c r="N381" s="217"/>
      <c r="O381" s="254"/>
      <c r="P381" s="266"/>
      <c r="Q381" s="271"/>
      <c r="R381" s="219" t="str">
        <f t="shared" si="12"/>
        <v/>
      </c>
      <c r="S381" s="188"/>
    </row>
    <row r="382" spans="1:19" ht="18" customHeight="1">
      <c r="A382" s="245">
        <v>39193</v>
      </c>
      <c r="B382" s="246">
        <v>73027</v>
      </c>
      <c r="C382" s="188" t="s">
        <v>41</v>
      </c>
      <c r="D382" s="245" t="s">
        <v>560</v>
      </c>
      <c r="E382" s="247" t="s">
        <v>826</v>
      </c>
      <c r="F382" s="245">
        <v>1</v>
      </c>
      <c r="G382" s="287" t="s">
        <v>364</v>
      </c>
      <c r="H382" s="267">
        <v>46021</v>
      </c>
      <c r="I382" s="217" t="s">
        <v>828</v>
      </c>
      <c r="J382" s="188" t="s">
        <v>827</v>
      </c>
      <c r="K382" s="400" t="s">
        <v>829</v>
      </c>
      <c r="L382" s="217" t="s">
        <v>830</v>
      </c>
      <c r="M382" s="252"/>
      <c r="N382" s="217"/>
      <c r="O382" s="254"/>
      <c r="P382" s="266">
        <v>46134</v>
      </c>
      <c r="Q382" s="271"/>
      <c r="R382" s="219" t="str">
        <f t="shared" si="12"/>
        <v/>
      </c>
      <c r="S382" s="188"/>
    </row>
    <row r="383" spans="1:19" ht="18" customHeight="1">
      <c r="A383" s="245"/>
      <c r="B383" s="246"/>
      <c r="C383" s="188"/>
      <c r="D383" s="245"/>
      <c r="E383" s="247"/>
      <c r="F383" s="245"/>
      <c r="G383" s="188"/>
      <c r="H383" s="267"/>
      <c r="J383" s="188"/>
      <c r="M383" s="252"/>
      <c r="N383" s="217"/>
      <c r="O383" s="254"/>
      <c r="P383" s="266"/>
      <c r="Q383" s="271"/>
      <c r="R383" s="219" t="str">
        <f t="shared" si="12"/>
        <v/>
      </c>
      <c r="S383" s="188"/>
    </row>
    <row r="384" spans="1:19" ht="18" customHeight="1">
      <c r="A384" s="245">
        <v>39194</v>
      </c>
      <c r="B384" s="246">
        <v>73028</v>
      </c>
      <c r="C384" s="188" t="s">
        <v>214</v>
      </c>
      <c r="D384" s="245">
        <v>4</v>
      </c>
      <c r="E384" s="247">
        <v>700478914</v>
      </c>
      <c r="F384" s="245" t="s">
        <v>211</v>
      </c>
      <c r="G384" s="188" t="s">
        <v>618</v>
      </c>
      <c r="H384" s="267">
        <v>46021</v>
      </c>
      <c r="I384" s="353" t="s">
        <v>831</v>
      </c>
      <c r="J384" s="188" t="s">
        <v>832</v>
      </c>
      <c r="K384" s="250">
        <v>2925</v>
      </c>
      <c r="L384" s="217" t="s">
        <v>833</v>
      </c>
      <c r="M384" s="252"/>
      <c r="N384" s="217"/>
      <c r="O384" s="254"/>
      <c r="P384" s="266">
        <v>46066</v>
      </c>
      <c r="Q384" s="271"/>
      <c r="R384" s="219"/>
      <c r="S384" s="188"/>
    </row>
    <row r="385" spans="1:19" ht="18" customHeight="1">
      <c r="A385" s="245">
        <v>39194</v>
      </c>
      <c r="B385" s="246">
        <v>73029</v>
      </c>
      <c r="C385" s="188" t="s">
        <v>214</v>
      </c>
      <c r="D385" s="245">
        <v>4</v>
      </c>
      <c r="E385" s="247">
        <v>700478912</v>
      </c>
      <c r="F385" s="252" t="s">
        <v>579</v>
      </c>
      <c r="G385" s="188" t="s">
        <v>618</v>
      </c>
      <c r="H385" s="267">
        <v>46021</v>
      </c>
      <c r="I385" s="353" t="s">
        <v>834</v>
      </c>
      <c r="J385" s="188" t="s">
        <v>835</v>
      </c>
      <c r="K385" s="250">
        <v>13935</v>
      </c>
      <c r="L385" s="217" t="s">
        <v>833</v>
      </c>
      <c r="M385" s="252"/>
      <c r="N385" s="217"/>
      <c r="O385" s="254"/>
      <c r="P385" s="266">
        <v>46101</v>
      </c>
      <c r="Q385" s="271"/>
      <c r="R385" s="219" t="str">
        <f t="shared" ref="R385:R412" si="13">IF(SUM(Q385)&gt;0,SUM(Q385-P385),"")</f>
        <v/>
      </c>
      <c r="S385" s="188"/>
    </row>
    <row r="386" spans="1:19" ht="18" customHeight="1">
      <c r="A386" s="245"/>
      <c r="B386" s="246"/>
      <c r="C386" s="188"/>
      <c r="D386" s="245"/>
      <c r="E386" s="247"/>
      <c r="F386" s="245"/>
      <c r="G386" s="188"/>
      <c r="H386" s="267"/>
      <c r="J386" s="188"/>
      <c r="M386" s="252"/>
      <c r="N386" s="217"/>
      <c r="O386" s="254"/>
      <c r="P386" s="266"/>
      <c r="Q386" s="271"/>
      <c r="R386" s="219" t="str">
        <f t="shared" si="13"/>
        <v/>
      </c>
      <c r="S386" s="188"/>
    </row>
    <row r="387" spans="1:19" ht="18" customHeight="1">
      <c r="A387" s="245">
        <v>39196</v>
      </c>
      <c r="B387" s="246">
        <v>73031</v>
      </c>
      <c r="C387" s="188" t="s">
        <v>23</v>
      </c>
      <c r="D387" s="245">
        <v>1</v>
      </c>
      <c r="E387" s="247" t="s">
        <v>839</v>
      </c>
      <c r="F387" s="245"/>
      <c r="G387" s="188" t="s">
        <v>754</v>
      </c>
      <c r="H387" s="267">
        <v>46028</v>
      </c>
      <c r="I387" s="217">
        <v>1</v>
      </c>
      <c r="J387" s="402" t="s">
        <v>840</v>
      </c>
      <c r="L387" s="217">
        <v>19680</v>
      </c>
      <c r="M387" s="252"/>
      <c r="N387" s="217"/>
      <c r="O387" s="254"/>
      <c r="P387" s="266">
        <v>46052</v>
      </c>
      <c r="Q387" s="271"/>
      <c r="R387" s="219" t="str">
        <f t="shared" si="13"/>
        <v/>
      </c>
      <c r="S387" s="188"/>
    </row>
    <row r="388" spans="1:19" ht="18" customHeight="1">
      <c r="A388" s="245">
        <v>39196</v>
      </c>
      <c r="B388" s="246">
        <v>73032</v>
      </c>
      <c r="C388" s="188" t="s">
        <v>23</v>
      </c>
      <c r="D388" s="245">
        <v>1</v>
      </c>
      <c r="E388" s="247" t="s">
        <v>838</v>
      </c>
      <c r="F388" s="245"/>
      <c r="G388" s="188" t="s">
        <v>754</v>
      </c>
      <c r="H388" s="267">
        <v>46028</v>
      </c>
      <c r="I388" s="217">
        <v>2</v>
      </c>
      <c r="J388" s="287" t="s">
        <v>841</v>
      </c>
      <c r="L388" s="217">
        <v>19680</v>
      </c>
      <c r="M388" s="252"/>
      <c r="N388" s="217"/>
      <c r="O388" s="254"/>
      <c r="P388" s="266">
        <v>46052</v>
      </c>
      <c r="Q388" s="271"/>
      <c r="R388" s="219" t="str">
        <f t="shared" si="13"/>
        <v/>
      </c>
      <c r="S388" s="188"/>
    </row>
    <row r="389" spans="1:19" ht="18" customHeight="1">
      <c r="A389" s="245">
        <v>39196</v>
      </c>
      <c r="B389" s="246">
        <v>73033</v>
      </c>
      <c r="C389" s="188" t="s">
        <v>23</v>
      </c>
      <c r="D389" s="245">
        <v>1</v>
      </c>
      <c r="E389" s="247" t="s">
        <v>838</v>
      </c>
      <c r="F389" s="245"/>
      <c r="G389" s="188" t="s">
        <v>754</v>
      </c>
      <c r="H389" s="267">
        <v>46028</v>
      </c>
      <c r="I389" s="217">
        <v>3</v>
      </c>
      <c r="J389" s="287" t="s">
        <v>842</v>
      </c>
      <c r="L389" s="217">
        <v>19680</v>
      </c>
      <c r="M389" s="252"/>
      <c r="N389" s="217"/>
      <c r="O389" s="254"/>
      <c r="P389" s="266">
        <v>46052</v>
      </c>
      <c r="Q389" s="271"/>
      <c r="R389" s="219" t="str">
        <f t="shared" si="13"/>
        <v/>
      </c>
      <c r="S389" s="188"/>
    </row>
    <row r="390" spans="1:19" ht="18" customHeight="1">
      <c r="A390" s="245"/>
      <c r="B390" s="246"/>
      <c r="C390" s="188"/>
      <c r="D390" s="245"/>
      <c r="E390" s="247"/>
      <c r="F390" s="245"/>
      <c r="G390" s="188"/>
      <c r="H390" s="267"/>
      <c r="J390" s="188"/>
      <c r="M390" s="252"/>
      <c r="N390" s="217"/>
      <c r="O390" s="254"/>
      <c r="P390" s="266"/>
      <c r="Q390" s="271"/>
      <c r="R390" s="219" t="str">
        <f t="shared" si="13"/>
        <v/>
      </c>
      <c r="S390" s="188"/>
    </row>
    <row r="391" spans="1:19" ht="18" customHeight="1">
      <c r="A391" s="245">
        <v>39197</v>
      </c>
      <c r="B391" s="246">
        <v>73034</v>
      </c>
      <c r="C391" s="188" t="s">
        <v>23</v>
      </c>
      <c r="D391" s="245">
        <v>1</v>
      </c>
      <c r="E391" s="247" t="s">
        <v>838</v>
      </c>
      <c r="F391" s="245"/>
      <c r="G391" s="188" t="s">
        <v>754</v>
      </c>
      <c r="H391" s="267">
        <v>46028</v>
      </c>
      <c r="I391" s="217">
        <v>1</v>
      </c>
      <c r="J391" s="287" t="s">
        <v>843</v>
      </c>
      <c r="L391" s="217">
        <v>19680</v>
      </c>
      <c r="M391" s="252"/>
      <c r="N391" s="217"/>
      <c r="O391" s="254"/>
      <c r="P391" s="266">
        <v>46052</v>
      </c>
      <c r="Q391" s="271"/>
      <c r="R391" s="219" t="str">
        <f t="shared" si="13"/>
        <v/>
      </c>
      <c r="S391" s="188"/>
    </row>
    <row r="392" spans="1:19" ht="18" customHeight="1">
      <c r="A392" s="245">
        <v>39197</v>
      </c>
      <c r="B392" s="246">
        <v>73035</v>
      </c>
      <c r="C392" s="188" t="s">
        <v>23</v>
      </c>
      <c r="D392" s="245">
        <v>1</v>
      </c>
      <c r="E392" s="247" t="s">
        <v>838</v>
      </c>
      <c r="F392" s="245"/>
      <c r="G392" s="188" t="s">
        <v>754</v>
      </c>
      <c r="H392" s="267">
        <v>46028</v>
      </c>
      <c r="I392" s="217">
        <v>2</v>
      </c>
      <c r="J392" s="287" t="s">
        <v>844</v>
      </c>
      <c r="L392" s="217">
        <v>19680</v>
      </c>
      <c r="M392" s="252"/>
      <c r="N392" s="217"/>
      <c r="O392" s="254"/>
      <c r="P392" s="266">
        <v>46052</v>
      </c>
      <c r="Q392" s="271"/>
      <c r="R392" s="219" t="str">
        <f t="shared" si="13"/>
        <v/>
      </c>
      <c r="S392" s="188"/>
    </row>
    <row r="393" spans="1:19" ht="18" customHeight="1">
      <c r="A393" s="245">
        <v>39197</v>
      </c>
      <c r="B393" s="246">
        <v>73036</v>
      </c>
      <c r="C393" s="188" t="s">
        <v>23</v>
      </c>
      <c r="D393" s="245">
        <v>1</v>
      </c>
      <c r="E393" s="247" t="s">
        <v>838</v>
      </c>
      <c r="F393" s="245"/>
      <c r="G393" s="188" t="s">
        <v>754</v>
      </c>
      <c r="H393" s="267">
        <v>46028</v>
      </c>
      <c r="I393" s="217">
        <v>3</v>
      </c>
      <c r="J393" s="287" t="s">
        <v>845</v>
      </c>
      <c r="L393" s="217">
        <v>19680</v>
      </c>
      <c r="M393" s="252"/>
      <c r="N393" s="217"/>
      <c r="O393" s="254"/>
      <c r="P393" s="266">
        <v>46052</v>
      </c>
      <c r="Q393" s="271"/>
      <c r="R393" s="219" t="str">
        <f t="shared" si="13"/>
        <v/>
      </c>
      <c r="S393" s="188"/>
    </row>
    <row r="394" spans="1:19" ht="18" customHeight="1">
      <c r="A394" s="245">
        <v>39197</v>
      </c>
      <c r="B394" s="246">
        <v>73037</v>
      </c>
      <c r="C394" s="188" t="s">
        <v>23</v>
      </c>
      <c r="D394" s="245">
        <v>1</v>
      </c>
      <c r="E394" s="247" t="s">
        <v>838</v>
      </c>
      <c r="F394" s="245"/>
      <c r="G394" s="188" t="s">
        <v>754</v>
      </c>
      <c r="H394" s="267">
        <v>46028</v>
      </c>
      <c r="I394" s="217">
        <v>4</v>
      </c>
      <c r="J394" s="403" t="s">
        <v>846</v>
      </c>
      <c r="L394" s="217">
        <v>19680</v>
      </c>
      <c r="M394" s="252"/>
      <c r="N394" s="217"/>
      <c r="O394" s="254"/>
      <c r="P394" s="266">
        <v>46052</v>
      </c>
      <c r="Q394" s="271"/>
      <c r="R394" s="219" t="str">
        <f t="shared" si="13"/>
        <v/>
      </c>
      <c r="S394" s="188"/>
    </row>
    <row r="395" spans="1:19" ht="18" customHeight="1">
      <c r="A395" s="245"/>
      <c r="B395" s="246"/>
      <c r="C395" s="188"/>
      <c r="D395" s="245"/>
      <c r="E395" s="247"/>
      <c r="F395" s="245"/>
      <c r="G395" s="188"/>
      <c r="H395" s="267"/>
      <c r="J395" s="188"/>
      <c r="M395" s="252"/>
      <c r="N395" s="217"/>
      <c r="O395" s="254"/>
      <c r="P395" s="266"/>
      <c r="Q395" s="271"/>
      <c r="R395" s="219" t="str">
        <f t="shared" si="13"/>
        <v/>
      </c>
      <c r="S395" s="188"/>
    </row>
    <row r="396" spans="1:19" ht="18" customHeight="1">
      <c r="A396" s="245">
        <v>39198</v>
      </c>
      <c r="B396" s="246">
        <v>73038</v>
      </c>
      <c r="C396" s="188" t="s">
        <v>41</v>
      </c>
      <c r="D396" s="245">
        <v>3</v>
      </c>
      <c r="E396" s="247" t="s">
        <v>738</v>
      </c>
      <c r="F396" s="245"/>
      <c r="G396" s="188" t="s">
        <v>739</v>
      </c>
      <c r="H396" s="267">
        <v>46029</v>
      </c>
      <c r="I396" s="217">
        <v>1</v>
      </c>
      <c r="J396" s="188" t="s">
        <v>740</v>
      </c>
      <c r="K396" s="250">
        <v>1847</v>
      </c>
      <c r="L396" s="217" t="s">
        <v>921</v>
      </c>
      <c r="M396" s="252"/>
      <c r="N396" s="217"/>
      <c r="O396" s="254"/>
      <c r="P396" s="266">
        <v>46111</v>
      </c>
      <c r="Q396" s="271"/>
      <c r="R396" s="219" t="str">
        <f t="shared" si="13"/>
        <v/>
      </c>
      <c r="S396" s="188"/>
    </row>
    <row r="397" spans="1:19" ht="18" customHeight="1">
      <c r="A397" s="245">
        <v>39198</v>
      </c>
      <c r="B397" s="246">
        <v>73039</v>
      </c>
      <c r="C397" s="188" t="s">
        <v>41</v>
      </c>
      <c r="D397" s="245">
        <v>7</v>
      </c>
      <c r="E397" s="247" t="s">
        <v>905</v>
      </c>
      <c r="F397" s="245"/>
      <c r="G397" s="188" t="s">
        <v>739</v>
      </c>
      <c r="H397" s="267">
        <v>46029</v>
      </c>
      <c r="I397" s="217">
        <v>2</v>
      </c>
      <c r="J397" s="188" t="s">
        <v>847</v>
      </c>
      <c r="K397" s="250">
        <v>449</v>
      </c>
      <c r="L397" s="217" t="s">
        <v>921</v>
      </c>
      <c r="M397" s="252"/>
      <c r="N397" s="217"/>
      <c r="O397" s="254"/>
      <c r="P397" s="266">
        <v>46111</v>
      </c>
      <c r="Q397" s="271"/>
      <c r="R397" s="219" t="str">
        <f t="shared" si="13"/>
        <v/>
      </c>
      <c r="S397" s="188"/>
    </row>
    <row r="398" spans="1:19" ht="18" customHeight="1">
      <c r="A398" s="245">
        <v>39198</v>
      </c>
      <c r="B398" s="246">
        <v>73040</v>
      </c>
      <c r="C398" s="188" t="s">
        <v>41</v>
      </c>
      <c r="D398" s="245">
        <v>7</v>
      </c>
      <c r="E398" s="247" t="s">
        <v>848</v>
      </c>
      <c r="F398" s="245"/>
      <c r="G398" s="188" t="s">
        <v>739</v>
      </c>
      <c r="H398" s="267">
        <v>46029</v>
      </c>
      <c r="I398" s="217">
        <v>3</v>
      </c>
      <c r="J398" s="188" t="s">
        <v>849</v>
      </c>
      <c r="K398" s="250">
        <v>50</v>
      </c>
      <c r="L398" s="217" t="s">
        <v>921</v>
      </c>
      <c r="M398" s="252"/>
      <c r="N398" s="217"/>
      <c r="O398" s="254"/>
      <c r="P398" s="266">
        <v>46111</v>
      </c>
      <c r="Q398" s="271"/>
      <c r="R398" s="219" t="str">
        <f t="shared" si="13"/>
        <v/>
      </c>
      <c r="S398" s="188"/>
    </row>
    <row r="399" spans="1:19" ht="18" customHeight="1">
      <c r="A399" s="245"/>
      <c r="B399" s="246"/>
      <c r="C399" s="188"/>
      <c r="D399" s="245"/>
      <c r="E399" s="247"/>
      <c r="F399" s="245"/>
      <c r="G399" s="188"/>
      <c r="H399" s="267"/>
      <c r="J399" s="188"/>
      <c r="M399" s="252"/>
      <c r="N399" s="217"/>
      <c r="O399" s="254"/>
      <c r="P399" s="266"/>
      <c r="Q399" s="271"/>
      <c r="R399" s="219" t="str">
        <f t="shared" si="13"/>
        <v/>
      </c>
      <c r="S399" s="188"/>
    </row>
    <row r="400" spans="1:19" ht="18" customHeight="1">
      <c r="A400" s="245">
        <v>39199</v>
      </c>
      <c r="B400" s="246">
        <v>73041</v>
      </c>
      <c r="C400" s="188" t="s">
        <v>32</v>
      </c>
      <c r="D400" s="245">
        <v>5</v>
      </c>
      <c r="E400" s="247" t="s">
        <v>874</v>
      </c>
      <c r="F400" s="245"/>
      <c r="G400" s="188" t="s">
        <v>755</v>
      </c>
      <c r="H400" s="267">
        <v>46030</v>
      </c>
      <c r="I400" s="217">
        <v>1</v>
      </c>
      <c r="J400" s="188" t="s">
        <v>854</v>
      </c>
      <c r="L400" s="217" t="s">
        <v>855</v>
      </c>
      <c r="M400" s="252"/>
      <c r="N400" s="217"/>
      <c r="O400" s="254"/>
      <c r="P400" s="266">
        <v>46034</v>
      </c>
      <c r="Q400" s="271"/>
      <c r="R400" s="219" t="str">
        <f t="shared" si="13"/>
        <v/>
      </c>
      <c r="S400" s="188"/>
    </row>
    <row r="401" spans="1:19" ht="18" customHeight="1">
      <c r="A401" s="245"/>
      <c r="B401" s="246"/>
      <c r="C401" s="188"/>
      <c r="D401" s="245"/>
      <c r="E401" s="247"/>
      <c r="F401" s="245"/>
      <c r="G401" s="188"/>
      <c r="H401" s="267"/>
      <c r="J401" s="188"/>
      <c r="M401" s="252"/>
      <c r="N401" s="217"/>
      <c r="O401" s="254"/>
      <c r="P401" s="266"/>
      <c r="Q401" s="271"/>
      <c r="R401" s="219" t="str">
        <f t="shared" si="13"/>
        <v/>
      </c>
      <c r="S401" s="188"/>
    </row>
    <row r="402" spans="1:19" ht="18" customHeight="1">
      <c r="A402" s="245">
        <v>39201</v>
      </c>
      <c r="B402" s="246">
        <v>73043</v>
      </c>
      <c r="C402" s="188" t="s">
        <v>33</v>
      </c>
      <c r="D402" s="245">
        <v>2</v>
      </c>
      <c r="E402" s="247" t="s">
        <v>856</v>
      </c>
      <c r="F402" s="245"/>
      <c r="G402" s="188" t="s">
        <v>258</v>
      </c>
      <c r="H402" s="267">
        <v>46034</v>
      </c>
      <c r="I402" s="217">
        <v>1</v>
      </c>
      <c r="J402" s="188" t="s">
        <v>857</v>
      </c>
      <c r="K402" s="250">
        <v>2240</v>
      </c>
      <c r="L402" s="217" t="s">
        <v>858</v>
      </c>
      <c r="M402" s="252"/>
      <c r="N402" s="217"/>
      <c r="O402" s="254"/>
      <c r="P402" s="266">
        <v>46059</v>
      </c>
      <c r="Q402" s="271"/>
      <c r="R402" s="219" t="str">
        <f t="shared" si="13"/>
        <v/>
      </c>
      <c r="S402" s="188"/>
    </row>
    <row r="403" spans="1:19" ht="18" customHeight="1">
      <c r="A403" s="245"/>
      <c r="B403" s="246"/>
      <c r="C403" s="188"/>
      <c r="D403" s="245"/>
      <c r="E403" s="247"/>
      <c r="F403" s="245"/>
      <c r="G403" s="188"/>
      <c r="H403" s="267"/>
      <c r="J403" s="188"/>
      <c r="M403" s="252"/>
      <c r="N403" s="217"/>
      <c r="O403" s="254"/>
      <c r="P403" s="266"/>
      <c r="Q403" s="271"/>
      <c r="R403" s="219" t="str">
        <f t="shared" si="13"/>
        <v/>
      </c>
      <c r="S403" s="188"/>
    </row>
    <row r="404" spans="1:19" ht="18" customHeight="1">
      <c r="A404" s="245">
        <v>39202</v>
      </c>
      <c r="B404" s="246">
        <v>73044</v>
      </c>
      <c r="C404" s="188" t="s">
        <v>24</v>
      </c>
      <c r="D404" s="245" t="s">
        <v>859</v>
      </c>
      <c r="E404" s="247" t="s">
        <v>860</v>
      </c>
      <c r="F404" s="245"/>
      <c r="G404" s="188"/>
      <c r="H404" s="267">
        <v>46035</v>
      </c>
      <c r="I404" s="217">
        <v>1</v>
      </c>
      <c r="J404" s="188" t="s">
        <v>861</v>
      </c>
      <c r="M404" s="252"/>
      <c r="N404" s="217"/>
      <c r="O404" s="254"/>
      <c r="P404" s="266">
        <v>46052</v>
      </c>
      <c r="Q404" s="271"/>
      <c r="R404" s="219" t="str">
        <f t="shared" si="13"/>
        <v/>
      </c>
      <c r="S404" s="188"/>
    </row>
    <row r="405" spans="1:19" ht="18" customHeight="1">
      <c r="A405" s="245"/>
      <c r="B405" s="246"/>
      <c r="C405" s="188"/>
      <c r="D405" s="245"/>
      <c r="E405" s="247"/>
      <c r="F405" s="245"/>
      <c r="G405" s="188"/>
      <c r="H405" s="267"/>
      <c r="J405" s="188"/>
      <c r="M405" s="252"/>
      <c r="N405" s="217"/>
      <c r="O405" s="254"/>
      <c r="P405" s="266"/>
      <c r="Q405" s="271"/>
      <c r="R405" s="219" t="str">
        <f t="shared" si="13"/>
        <v/>
      </c>
      <c r="S405" s="188"/>
    </row>
    <row r="406" spans="1:19" ht="18" customHeight="1">
      <c r="A406" s="245">
        <v>39203</v>
      </c>
      <c r="B406" s="246">
        <v>73045</v>
      </c>
      <c r="C406" s="188" t="s">
        <v>32</v>
      </c>
      <c r="D406" s="245">
        <v>20</v>
      </c>
      <c r="E406" s="247">
        <v>235802</v>
      </c>
      <c r="F406" s="245"/>
      <c r="G406" s="188" t="s">
        <v>755</v>
      </c>
      <c r="H406" s="267">
        <v>46036</v>
      </c>
      <c r="I406" s="217">
        <v>1</v>
      </c>
      <c r="J406" s="188" t="s">
        <v>862</v>
      </c>
      <c r="K406" s="250" t="s">
        <v>864</v>
      </c>
      <c r="M406" s="252"/>
      <c r="N406" s="217"/>
      <c r="O406" s="254"/>
      <c r="P406" s="266">
        <v>46036</v>
      </c>
      <c r="Q406" s="271"/>
      <c r="R406" s="219" t="str">
        <f t="shared" si="13"/>
        <v/>
      </c>
      <c r="S406" s="188"/>
    </row>
    <row r="407" spans="1:19" ht="18" customHeight="1">
      <c r="A407" s="245">
        <v>39203</v>
      </c>
      <c r="B407" s="246">
        <v>73045</v>
      </c>
      <c r="C407" s="188" t="s">
        <v>32</v>
      </c>
      <c r="D407" s="245">
        <v>5</v>
      </c>
      <c r="E407" s="247">
        <v>202302</v>
      </c>
      <c r="F407" s="245"/>
      <c r="G407" s="188" t="s">
        <v>755</v>
      </c>
      <c r="H407" s="267">
        <v>46036</v>
      </c>
      <c r="I407" s="217">
        <v>1</v>
      </c>
      <c r="J407" s="188" t="s">
        <v>863</v>
      </c>
      <c r="K407" s="250">
        <v>72.209999999999994</v>
      </c>
      <c r="M407" s="252"/>
      <c r="N407" s="217"/>
      <c r="O407" s="254"/>
      <c r="P407" s="266">
        <v>46036</v>
      </c>
      <c r="Q407" s="271"/>
      <c r="R407" s="219" t="str">
        <f t="shared" si="13"/>
        <v/>
      </c>
      <c r="S407" s="188"/>
    </row>
    <row r="408" spans="1:19" ht="18" customHeight="1">
      <c r="A408" s="245"/>
      <c r="B408" s="246"/>
      <c r="C408" s="188"/>
      <c r="D408" s="245"/>
      <c r="E408" s="247"/>
      <c r="F408" s="245"/>
      <c r="G408" s="188"/>
      <c r="H408" s="267"/>
      <c r="J408" s="188"/>
      <c r="M408" s="252"/>
      <c r="N408" s="217"/>
      <c r="O408" s="254"/>
      <c r="P408" s="266"/>
      <c r="Q408" s="271"/>
      <c r="R408" s="219" t="str">
        <f t="shared" si="13"/>
        <v/>
      </c>
      <c r="S408" s="188"/>
    </row>
    <row r="409" spans="1:19" ht="18" customHeight="1">
      <c r="A409" s="245">
        <v>39204</v>
      </c>
      <c r="B409" s="246">
        <v>73046</v>
      </c>
      <c r="C409" s="188" t="s">
        <v>62</v>
      </c>
      <c r="D409" s="245">
        <v>3</v>
      </c>
      <c r="E409" s="247" t="s">
        <v>865</v>
      </c>
      <c r="F409" s="245"/>
      <c r="G409" s="188" t="s">
        <v>641</v>
      </c>
      <c r="H409" s="267">
        <v>46036</v>
      </c>
      <c r="I409" s="217">
        <v>1</v>
      </c>
      <c r="J409" s="188" t="s">
        <v>866</v>
      </c>
      <c r="K409" s="250">
        <v>4902</v>
      </c>
      <c r="L409" s="217" t="s">
        <v>867</v>
      </c>
      <c r="M409" s="252"/>
      <c r="N409" s="217"/>
      <c r="O409" s="254"/>
      <c r="P409" s="266">
        <v>46059</v>
      </c>
      <c r="Q409" s="271"/>
      <c r="R409" s="219" t="str">
        <f t="shared" si="13"/>
        <v/>
      </c>
      <c r="S409" s="188"/>
    </row>
    <row r="410" spans="1:19" ht="18" customHeight="1">
      <c r="A410" s="245"/>
      <c r="B410" s="246"/>
      <c r="C410" s="188"/>
      <c r="D410" s="245"/>
      <c r="E410" s="247"/>
      <c r="F410" s="245"/>
      <c r="G410" s="188"/>
      <c r="H410" s="267"/>
      <c r="J410" s="188"/>
      <c r="M410" s="252"/>
      <c r="N410" s="217"/>
      <c r="O410" s="254"/>
      <c r="P410" s="266"/>
      <c r="Q410" s="271"/>
      <c r="R410" s="219" t="str">
        <f t="shared" si="13"/>
        <v/>
      </c>
      <c r="S410" s="188"/>
    </row>
    <row r="411" spans="1:19" ht="18" customHeight="1">
      <c r="A411" s="245">
        <v>39205</v>
      </c>
      <c r="B411" s="246">
        <v>73047</v>
      </c>
      <c r="C411" s="188" t="s">
        <v>62</v>
      </c>
      <c r="D411" s="245">
        <v>1</v>
      </c>
      <c r="E411" s="247" t="s">
        <v>868</v>
      </c>
      <c r="F411" s="245"/>
      <c r="G411" s="188" t="s">
        <v>394</v>
      </c>
      <c r="H411" s="267">
        <v>46036</v>
      </c>
      <c r="I411" s="217">
        <v>1</v>
      </c>
      <c r="J411" s="188" t="s">
        <v>869</v>
      </c>
      <c r="K411" s="250">
        <v>30904</v>
      </c>
      <c r="L411" s="217" t="s">
        <v>870</v>
      </c>
      <c r="M411" s="252"/>
      <c r="N411" s="217"/>
      <c r="O411" s="254"/>
      <c r="P411" s="266">
        <v>46080</v>
      </c>
      <c r="Q411" s="271"/>
      <c r="R411" s="219" t="str">
        <f t="shared" si="13"/>
        <v/>
      </c>
      <c r="S411" s="188"/>
    </row>
    <row r="412" spans="1:19" ht="18" customHeight="1">
      <c r="A412" s="245"/>
      <c r="B412" s="246"/>
      <c r="C412" s="188"/>
      <c r="D412" s="245"/>
      <c r="E412" s="247"/>
      <c r="F412" s="245"/>
      <c r="G412" s="188"/>
      <c r="H412" s="267"/>
      <c r="J412" s="188"/>
      <c r="M412" s="252"/>
      <c r="N412" s="217"/>
      <c r="O412" s="254"/>
      <c r="P412" s="266"/>
      <c r="Q412" s="271"/>
      <c r="R412" s="219" t="str">
        <f t="shared" si="13"/>
        <v/>
      </c>
      <c r="S412" s="188"/>
    </row>
    <row r="413" spans="1:19" ht="18" customHeight="1">
      <c r="A413" s="245">
        <v>39206</v>
      </c>
      <c r="B413" s="246">
        <v>73048</v>
      </c>
      <c r="C413" s="188" t="s">
        <v>62</v>
      </c>
      <c r="D413" s="245">
        <v>1</v>
      </c>
      <c r="E413" s="247" t="s">
        <v>871</v>
      </c>
      <c r="F413" s="245"/>
      <c r="G413" s="188" t="s">
        <v>780</v>
      </c>
      <c r="H413" s="267">
        <v>46036</v>
      </c>
      <c r="I413" s="217">
        <v>1</v>
      </c>
      <c r="J413" s="188" t="s">
        <v>872</v>
      </c>
      <c r="K413" s="250">
        <v>2026</v>
      </c>
      <c r="L413" s="217" t="s">
        <v>873</v>
      </c>
      <c r="M413" s="252"/>
      <c r="N413" s="217"/>
      <c r="O413" s="254"/>
      <c r="P413" s="266">
        <v>46091</v>
      </c>
      <c r="Q413" s="271"/>
      <c r="R413" s="219"/>
      <c r="S413" s="188"/>
    </row>
    <row r="414" spans="1:19" ht="18" customHeight="1">
      <c r="A414" s="245"/>
      <c r="B414" s="246"/>
      <c r="C414" s="188"/>
      <c r="D414" s="245"/>
      <c r="E414" s="247"/>
      <c r="F414" s="245"/>
      <c r="G414" s="188"/>
      <c r="H414" s="267"/>
      <c r="J414" s="188"/>
      <c r="M414" s="252"/>
      <c r="N414" s="217"/>
      <c r="O414" s="254"/>
      <c r="P414" s="266"/>
      <c r="Q414" s="271"/>
      <c r="R414" s="219" t="str">
        <f>IF(SUM(Q414)&gt;0,SUM(Q414-P414),"")</f>
        <v/>
      </c>
      <c r="S414" s="188"/>
    </row>
    <row r="415" spans="1:19" ht="18" customHeight="1">
      <c r="A415" s="245">
        <v>39209</v>
      </c>
      <c r="B415" s="246">
        <v>73050</v>
      </c>
      <c r="C415" s="188" t="s">
        <v>41</v>
      </c>
      <c r="D415" s="245">
        <v>6</v>
      </c>
      <c r="E415" s="247" t="s">
        <v>875</v>
      </c>
      <c r="F415" s="245">
        <v>3</v>
      </c>
      <c r="G415" s="188" t="s">
        <v>275</v>
      </c>
      <c r="H415" s="267">
        <v>46041</v>
      </c>
      <c r="I415" s="397" t="s">
        <v>777</v>
      </c>
      <c r="J415" s="188" t="s">
        <v>876</v>
      </c>
      <c r="K415" s="250">
        <v>1799</v>
      </c>
      <c r="L415" s="408" t="s">
        <v>948</v>
      </c>
      <c r="M415" s="252"/>
      <c r="N415" s="217"/>
      <c r="O415" s="254"/>
      <c r="P415" s="266">
        <v>46115</v>
      </c>
      <c r="Q415" s="271"/>
      <c r="R415" s="219" t="str">
        <f>IF(SUM(Q415)&gt;0,SUM(Q415-P415),"")</f>
        <v/>
      </c>
      <c r="S415" s="188"/>
    </row>
    <row r="416" spans="1:19" ht="18" customHeight="1">
      <c r="A416" s="245"/>
      <c r="B416" s="246"/>
      <c r="C416" s="188"/>
      <c r="D416" s="245"/>
      <c r="E416" s="247"/>
      <c r="F416" s="245"/>
      <c r="G416" s="188"/>
      <c r="H416" s="267"/>
      <c r="J416" s="188"/>
      <c r="M416" s="252"/>
      <c r="N416" s="217"/>
      <c r="O416" s="254"/>
      <c r="P416" s="266"/>
      <c r="Q416" s="271"/>
      <c r="R416" s="219" t="str">
        <f>IF(SUM(Q416)&gt;0,SUM(Q416-P416),"")</f>
        <v/>
      </c>
      <c r="S416" s="188"/>
    </row>
    <row r="417" spans="1:19" ht="18" customHeight="1">
      <c r="A417" s="245">
        <v>39210</v>
      </c>
      <c r="B417" s="246">
        <v>73051</v>
      </c>
      <c r="C417" s="188" t="s">
        <v>214</v>
      </c>
      <c r="D417" s="245">
        <v>2</v>
      </c>
      <c r="E417" s="247">
        <v>700710150</v>
      </c>
      <c r="F417" s="245" t="s">
        <v>211</v>
      </c>
      <c r="G417" s="188" t="s">
        <v>595</v>
      </c>
      <c r="H417" s="267">
        <v>46041</v>
      </c>
      <c r="I417" s="217">
        <v>1</v>
      </c>
      <c r="J417" s="188" t="s">
        <v>877</v>
      </c>
      <c r="K417" s="250">
        <v>8435</v>
      </c>
      <c r="L417" s="217" t="s">
        <v>878</v>
      </c>
      <c r="M417" s="252"/>
      <c r="N417" s="217"/>
      <c r="O417" s="254"/>
      <c r="P417" s="266">
        <v>46069</v>
      </c>
      <c r="Q417" s="271"/>
      <c r="R417" s="219" t="str">
        <f>IF(SUM(Q417)&gt;0,SUM(Q417-P417),"")</f>
        <v/>
      </c>
      <c r="S417" s="188"/>
    </row>
    <row r="418" spans="1:19" ht="18" customHeight="1">
      <c r="A418" s="245">
        <v>39210</v>
      </c>
      <c r="B418" s="246">
        <v>73051</v>
      </c>
      <c r="C418" s="188" t="s">
        <v>214</v>
      </c>
      <c r="D418" s="245">
        <v>8</v>
      </c>
      <c r="E418" s="247">
        <v>700710150</v>
      </c>
      <c r="F418" s="245" t="s">
        <v>211</v>
      </c>
      <c r="G418" s="188" t="s">
        <v>595</v>
      </c>
      <c r="H418" s="267">
        <v>46042</v>
      </c>
      <c r="I418" s="217" t="s">
        <v>880</v>
      </c>
      <c r="J418" s="188" t="s">
        <v>877</v>
      </c>
      <c r="K418" s="250">
        <v>8182</v>
      </c>
      <c r="L418" s="217" t="s">
        <v>878</v>
      </c>
      <c r="M418" s="252"/>
      <c r="N418" s="217"/>
      <c r="O418" s="254"/>
      <c r="P418" s="266">
        <v>46090</v>
      </c>
      <c r="Q418" s="271"/>
      <c r="R418" s="219"/>
      <c r="S418" s="188"/>
    </row>
    <row r="419" spans="1:19" ht="18" customHeight="1">
      <c r="A419" s="245">
        <v>39210</v>
      </c>
      <c r="B419" s="246">
        <v>73052</v>
      </c>
      <c r="C419" s="188" t="s">
        <v>214</v>
      </c>
      <c r="D419" s="245">
        <v>1</v>
      </c>
      <c r="E419" s="247">
        <v>700713692</v>
      </c>
      <c r="F419" s="245" t="s">
        <v>211</v>
      </c>
      <c r="G419" s="188" t="s">
        <v>595</v>
      </c>
      <c r="H419" s="267">
        <v>46041</v>
      </c>
      <c r="I419" s="217">
        <v>6</v>
      </c>
      <c r="J419" s="188" t="s">
        <v>879</v>
      </c>
      <c r="K419" s="250">
        <v>3722</v>
      </c>
      <c r="L419" s="217" t="s">
        <v>878</v>
      </c>
      <c r="M419" s="252"/>
      <c r="N419" s="217"/>
      <c r="O419" s="254"/>
      <c r="P419" s="266">
        <v>46069</v>
      </c>
      <c r="Q419" s="271"/>
      <c r="R419" s="219" t="str">
        <f t="shared" ref="R419:R482" si="14">IF(SUM(Q419)&gt;0,SUM(Q419-P419),"")</f>
        <v/>
      </c>
      <c r="S419" s="188"/>
    </row>
    <row r="420" spans="1:19" ht="18" customHeight="1">
      <c r="A420" s="245">
        <v>39210</v>
      </c>
      <c r="B420" s="246">
        <v>73052</v>
      </c>
      <c r="C420" s="188" t="s">
        <v>214</v>
      </c>
      <c r="D420" s="245">
        <v>5</v>
      </c>
      <c r="E420" s="247">
        <v>700713692</v>
      </c>
      <c r="F420" s="245" t="s">
        <v>211</v>
      </c>
      <c r="G420" s="188" t="s">
        <v>595</v>
      </c>
      <c r="H420" s="267">
        <v>46042</v>
      </c>
      <c r="I420" s="217" t="s">
        <v>881</v>
      </c>
      <c r="J420" s="188" t="s">
        <v>879</v>
      </c>
      <c r="K420" s="250">
        <v>3498</v>
      </c>
      <c r="L420" s="217" t="s">
        <v>878</v>
      </c>
      <c r="M420" s="252"/>
      <c r="N420" s="217"/>
      <c r="O420" s="254"/>
      <c r="P420" s="266">
        <v>46090</v>
      </c>
      <c r="Q420" s="271"/>
      <c r="R420" s="219" t="str">
        <f t="shared" si="14"/>
        <v/>
      </c>
      <c r="S420" s="188"/>
    </row>
    <row r="421" spans="1:19" ht="18" customHeight="1">
      <c r="A421" s="245"/>
      <c r="B421" s="246"/>
      <c r="C421" s="188"/>
      <c r="D421" s="245"/>
      <c r="E421" s="247"/>
      <c r="F421" s="245"/>
      <c r="G421" s="188"/>
      <c r="H421" s="267"/>
      <c r="J421" s="188"/>
      <c r="M421" s="252"/>
      <c r="N421" s="217"/>
      <c r="O421" s="254"/>
      <c r="P421" s="266"/>
      <c r="Q421" s="271"/>
      <c r="R421" s="219" t="str">
        <f t="shared" si="14"/>
        <v/>
      </c>
      <c r="S421" s="188"/>
    </row>
    <row r="422" spans="1:19" ht="18" customHeight="1">
      <c r="A422" s="245">
        <v>39211</v>
      </c>
      <c r="B422" s="246">
        <v>73053</v>
      </c>
      <c r="C422" s="287" t="s">
        <v>168</v>
      </c>
      <c r="D422" s="245">
        <v>1</v>
      </c>
      <c r="E422" s="247" t="s">
        <v>882</v>
      </c>
      <c r="F422" s="245"/>
      <c r="G422" s="188" t="s">
        <v>381</v>
      </c>
      <c r="H422" s="267">
        <v>46041</v>
      </c>
      <c r="I422" s="217">
        <v>10</v>
      </c>
      <c r="J422" s="188" t="s">
        <v>883</v>
      </c>
      <c r="K422" s="250">
        <v>1195</v>
      </c>
      <c r="L422" s="217">
        <v>4590039484</v>
      </c>
      <c r="M422" s="252"/>
      <c r="N422" s="217"/>
      <c r="O422" s="254"/>
      <c r="P422" s="266">
        <v>46071</v>
      </c>
      <c r="Q422" s="271"/>
      <c r="R422" s="219" t="str">
        <f t="shared" si="14"/>
        <v/>
      </c>
      <c r="S422" s="188"/>
    </row>
    <row r="423" spans="1:19" ht="18" customHeight="1">
      <c r="A423" s="245">
        <v>39211</v>
      </c>
      <c r="B423" s="246">
        <v>73054</v>
      </c>
      <c r="C423" s="287" t="s">
        <v>168</v>
      </c>
      <c r="D423" s="245">
        <v>8</v>
      </c>
      <c r="E423" s="247" t="s">
        <v>884</v>
      </c>
      <c r="F423" s="245"/>
      <c r="G423" s="188" t="s">
        <v>381</v>
      </c>
      <c r="H423" s="267">
        <v>46041</v>
      </c>
      <c r="I423" s="217">
        <v>20</v>
      </c>
      <c r="J423" s="188" t="s">
        <v>885</v>
      </c>
      <c r="K423" s="250">
        <v>465</v>
      </c>
      <c r="L423" s="217">
        <v>4590039484</v>
      </c>
      <c r="M423" s="252"/>
      <c r="N423" s="217"/>
      <c r="O423" s="254"/>
      <c r="P423" s="266">
        <v>46071</v>
      </c>
      <c r="Q423" s="271"/>
      <c r="R423" s="219" t="str">
        <f t="shared" si="14"/>
        <v/>
      </c>
      <c r="S423" s="188"/>
    </row>
    <row r="424" spans="1:19" ht="18" customHeight="1">
      <c r="A424" s="245">
        <v>39211</v>
      </c>
      <c r="B424" s="246">
        <v>73055</v>
      </c>
      <c r="C424" s="287" t="s">
        <v>168</v>
      </c>
      <c r="D424" s="245">
        <v>1</v>
      </c>
      <c r="E424" s="247" t="s">
        <v>886</v>
      </c>
      <c r="F424" s="245"/>
      <c r="G424" s="188" t="s">
        <v>381</v>
      </c>
      <c r="H424" s="267">
        <v>46041</v>
      </c>
      <c r="I424" s="217">
        <v>30</v>
      </c>
      <c r="J424" s="188" t="s">
        <v>887</v>
      </c>
      <c r="K424" s="250">
        <v>669</v>
      </c>
      <c r="L424" s="217">
        <v>4590039484</v>
      </c>
      <c r="M424" s="252"/>
      <c r="N424" s="217"/>
      <c r="O424" s="254"/>
      <c r="P424" s="266">
        <v>46071</v>
      </c>
      <c r="Q424" s="271"/>
      <c r="R424" s="219" t="str">
        <f t="shared" si="14"/>
        <v/>
      </c>
      <c r="S424" s="188"/>
    </row>
    <row r="425" spans="1:19" ht="18" customHeight="1">
      <c r="A425" s="245">
        <v>39211</v>
      </c>
      <c r="B425" s="246">
        <v>73056</v>
      </c>
      <c r="C425" s="287" t="s">
        <v>168</v>
      </c>
      <c r="D425" s="245">
        <v>1</v>
      </c>
      <c r="E425" s="247" t="s">
        <v>888</v>
      </c>
      <c r="F425" s="245"/>
      <c r="G425" s="188" t="s">
        <v>381</v>
      </c>
      <c r="H425" s="267">
        <v>46041</v>
      </c>
      <c r="I425" s="217">
        <v>40</v>
      </c>
      <c r="J425" s="188" t="s">
        <v>889</v>
      </c>
      <c r="K425" s="250">
        <v>2599</v>
      </c>
      <c r="L425" s="217">
        <v>4590039484</v>
      </c>
      <c r="M425" s="252"/>
      <c r="N425" s="217"/>
      <c r="O425" s="254"/>
      <c r="P425" s="266">
        <v>46071</v>
      </c>
      <c r="Q425" s="271"/>
      <c r="R425" s="219" t="str">
        <f t="shared" si="14"/>
        <v/>
      </c>
      <c r="S425" s="188"/>
    </row>
    <row r="426" spans="1:19" ht="18" customHeight="1">
      <c r="A426" s="245"/>
      <c r="B426" s="246"/>
      <c r="C426" s="188"/>
      <c r="D426" s="245"/>
      <c r="E426" s="247"/>
      <c r="F426" s="245"/>
      <c r="G426" s="188"/>
      <c r="H426" s="267"/>
      <c r="J426" s="188"/>
      <c r="M426" s="252"/>
      <c r="N426" s="217"/>
      <c r="O426" s="254"/>
      <c r="P426" s="266"/>
      <c r="Q426" s="271"/>
      <c r="R426" s="219" t="str">
        <f t="shared" si="14"/>
        <v/>
      </c>
      <c r="S426" s="188"/>
    </row>
    <row r="427" spans="1:19" ht="18" customHeight="1">
      <c r="A427" s="245">
        <v>39212</v>
      </c>
      <c r="B427" s="246">
        <v>73057</v>
      </c>
      <c r="C427" s="188" t="s">
        <v>214</v>
      </c>
      <c r="D427" s="245">
        <v>1</v>
      </c>
      <c r="E427" s="247">
        <v>125777129</v>
      </c>
      <c r="F427" s="245" t="s">
        <v>890</v>
      </c>
      <c r="G427" s="188" t="s">
        <v>745</v>
      </c>
      <c r="H427" s="267">
        <v>46041</v>
      </c>
      <c r="I427" s="217">
        <v>1</v>
      </c>
      <c r="J427" s="188" t="s">
        <v>891</v>
      </c>
      <c r="K427" s="250">
        <v>3900</v>
      </c>
      <c r="L427" s="217" t="s">
        <v>892</v>
      </c>
      <c r="M427" s="252"/>
      <c r="N427" s="217"/>
      <c r="O427" s="254"/>
      <c r="P427" s="266">
        <v>46090</v>
      </c>
      <c r="Q427" s="271"/>
      <c r="R427" s="219" t="str">
        <f t="shared" si="14"/>
        <v/>
      </c>
      <c r="S427" s="188"/>
    </row>
    <row r="428" spans="1:19" ht="18" customHeight="1">
      <c r="A428" s="245">
        <v>39212</v>
      </c>
      <c r="B428" s="246">
        <v>73058</v>
      </c>
      <c r="C428" s="188" t="s">
        <v>214</v>
      </c>
      <c r="D428" s="245">
        <v>1</v>
      </c>
      <c r="E428" s="247">
        <v>125777130</v>
      </c>
      <c r="F428" s="245" t="s">
        <v>893</v>
      </c>
      <c r="G428" s="188" t="s">
        <v>745</v>
      </c>
      <c r="H428" s="267">
        <v>46041</v>
      </c>
      <c r="I428" s="217">
        <v>2</v>
      </c>
      <c r="J428" s="188" t="s">
        <v>894</v>
      </c>
      <c r="K428" s="250">
        <v>5316</v>
      </c>
      <c r="L428" s="217" t="s">
        <v>892</v>
      </c>
      <c r="M428" s="252"/>
      <c r="N428" s="217"/>
      <c r="O428" s="254"/>
      <c r="P428" s="266">
        <v>46090</v>
      </c>
      <c r="Q428" s="271"/>
      <c r="R428" s="219" t="str">
        <f t="shared" si="14"/>
        <v/>
      </c>
      <c r="S428" s="188"/>
    </row>
    <row r="429" spans="1:19" ht="18" customHeight="1">
      <c r="A429" s="245">
        <v>39212</v>
      </c>
      <c r="B429" s="246">
        <v>73059</v>
      </c>
      <c r="C429" s="188" t="s">
        <v>214</v>
      </c>
      <c r="D429" s="245">
        <v>1</v>
      </c>
      <c r="E429" s="247">
        <v>125777135</v>
      </c>
      <c r="F429" s="245" t="s">
        <v>895</v>
      </c>
      <c r="G429" s="188" t="s">
        <v>745</v>
      </c>
      <c r="H429" s="267">
        <v>46041</v>
      </c>
      <c r="I429" s="217">
        <v>3</v>
      </c>
      <c r="J429" s="188" t="s">
        <v>896</v>
      </c>
      <c r="K429" s="250">
        <v>5450</v>
      </c>
      <c r="L429" s="217" t="s">
        <v>892</v>
      </c>
      <c r="M429" s="252"/>
      <c r="N429" s="217"/>
      <c r="O429" s="254"/>
      <c r="P429" s="266">
        <v>46090</v>
      </c>
      <c r="Q429" s="271"/>
      <c r="R429" s="219" t="str">
        <f t="shared" si="14"/>
        <v/>
      </c>
      <c r="S429" s="188"/>
    </row>
    <row r="430" spans="1:19" ht="18" customHeight="1">
      <c r="A430" s="245"/>
      <c r="B430" s="246"/>
      <c r="C430" s="188"/>
      <c r="D430" s="245"/>
      <c r="E430" s="247"/>
      <c r="F430" s="245"/>
      <c r="G430" s="188"/>
      <c r="H430" s="267"/>
      <c r="J430" s="188"/>
      <c r="M430" s="252"/>
      <c r="N430" s="217"/>
      <c r="O430" s="254"/>
      <c r="P430" s="266"/>
      <c r="Q430" s="271"/>
      <c r="R430" s="219" t="str">
        <f t="shared" si="14"/>
        <v/>
      </c>
      <c r="S430" s="188"/>
    </row>
    <row r="431" spans="1:19" ht="18" customHeight="1">
      <c r="A431" s="245">
        <v>39214</v>
      </c>
      <c r="B431" s="246">
        <v>73063</v>
      </c>
      <c r="C431" s="188" t="s">
        <v>41</v>
      </c>
      <c r="D431" s="245">
        <v>1</v>
      </c>
      <c r="E431" s="247" t="s">
        <v>898</v>
      </c>
      <c r="F431" s="245">
        <v>0</v>
      </c>
      <c r="G431" s="281" t="s">
        <v>303</v>
      </c>
      <c r="H431" s="267">
        <v>46049</v>
      </c>
      <c r="I431" s="217">
        <v>1</v>
      </c>
      <c r="J431" s="188" t="s">
        <v>899</v>
      </c>
      <c r="K431" s="250">
        <v>29696</v>
      </c>
      <c r="L431" s="217" t="s">
        <v>920</v>
      </c>
      <c r="M431" s="252"/>
      <c r="N431" s="217"/>
      <c r="O431" s="254"/>
      <c r="P431" s="266">
        <v>46129</v>
      </c>
      <c r="Q431" s="271"/>
      <c r="R431" s="219" t="str">
        <f t="shared" si="14"/>
        <v/>
      </c>
      <c r="S431" s="188"/>
    </row>
    <row r="432" spans="1:19" ht="18" customHeight="1">
      <c r="A432" s="245"/>
      <c r="B432" s="246"/>
      <c r="C432" s="188"/>
      <c r="D432" s="245"/>
      <c r="E432" s="247"/>
      <c r="F432" s="245"/>
      <c r="G432" s="188"/>
      <c r="H432" s="267"/>
      <c r="J432" s="188"/>
      <c r="M432" s="252"/>
      <c r="N432" s="217"/>
      <c r="O432" s="254"/>
      <c r="P432" s="266"/>
      <c r="Q432" s="271"/>
      <c r="R432" s="219" t="str">
        <f t="shared" si="14"/>
        <v/>
      </c>
      <c r="S432" s="188"/>
    </row>
    <row r="433" spans="1:19" ht="18" customHeight="1">
      <c r="A433" s="245">
        <v>39215</v>
      </c>
      <c r="B433" s="246">
        <v>73064</v>
      </c>
      <c r="C433" s="188" t="s">
        <v>47</v>
      </c>
      <c r="D433" s="245">
        <v>4</v>
      </c>
      <c r="E433" s="247" t="s">
        <v>900</v>
      </c>
      <c r="F433" s="245"/>
      <c r="G433" s="188" t="s">
        <v>735</v>
      </c>
      <c r="H433" s="267">
        <v>46050</v>
      </c>
      <c r="I433" s="217">
        <v>1</v>
      </c>
      <c r="J433" s="188" t="s">
        <v>901</v>
      </c>
      <c r="L433" s="217" t="s">
        <v>902</v>
      </c>
      <c r="M433" s="252"/>
      <c r="N433" s="217"/>
      <c r="O433" s="254"/>
      <c r="P433" s="266">
        <v>46059</v>
      </c>
      <c r="Q433" s="271"/>
      <c r="R433" s="219" t="str">
        <f t="shared" si="14"/>
        <v/>
      </c>
      <c r="S433" s="188"/>
    </row>
    <row r="434" spans="1:19" ht="18" customHeight="1">
      <c r="A434" s="245">
        <v>39215</v>
      </c>
      <c r="B434" s="246">
        <v>73064</v>
      </c>
      <c r="C434" s="188" t="s">
        <v>47</v>
      </c>
      <c r="D434" s="245">
        <v>4</v>
      </c>
      <c r="E434" s="247" t="s">
        <v>903</v>
      </c>
      <c r="F434" s="245"/>
      <c r="G434" s="188" t="s">
        <v>735</v>
      </c>
      <c r="H434" s="267">
        <v>46050</v>
      </c>
      <c r="I434" s="217">
        <v>2</v>
      </c>
      <c r="J434" s="188" t="s">
        <v>904</v>
      </c>
      <c r="L434" s="217" t="s">
        <v>902</v>
      </c>
      <c r="M434" s="252"/>
      <c r="N434" s="217"/>
      <c r="O434" s="254"/>
      <c r="P434" s="266">
        <v>46059</v>
      </c>
      <c r="Q434" s="271"/>
      <c r="R434" s="219" t="str">
        <f t="shared" si="14"/>
        <v/>
      </c>
      <c r="S434" s="188"/>
    </row>
    <row r="435" spans="1:19" ht="18" customHeight="1">
      <c r="A435" s="245"/>
      <c r="B435" s="246"/>
      <c r="C435" s="188"/>
      <c r="D435" s="245"/>
      <c r="E435" s="247"/>
      <c r="F435" s="245"/>
      <c r="G435" s="188"/>
      <c r="H435" s="267"/>
      <c r="J435" s="188"/>
      <c r="M435" s="252"/>
      <c r="N435" s="217"/>
      <c r="O435" s="254"/>
      <c r="P435" s="272"/>
      <c r="Q435" s="271"/>
      <c r="R435" s="219" t="str">
        <f t="shared" si="14"/>
        <v/>
      </c>
      <c r="S435" s="188"/>
    </row>
    <row r="436" spans="1:19" ht="18" customHeight="1">
      <c r="A436" s="245">
        <v>39216</v>
      </c>
      <c r="B436" s="246">
        <v>73065</v>
      </c>
      <c r="C436" s="188" t="s">
        <v>32</v>
      </c>
      <c r="D436" s="245">
        <v>4</v>
      </c>
      <c r="E436" s="247" t="s">
        <v>906</v>
      </c>
      <c r="F436" s="245"/>
      <c r="G436" s="188" t="s">
        <v>755</v>
      </c>
      <c r="H436" s="267">
        <v>46050</v>
      </c>
      <c r="I436" s="217">
        <v>1</v>
      </c>
      <c r="J436" s="188" t="s">
        <v>907</v>
      </c>
      <c r="M436" s="252"/>
      <c r="N436" s="217"/>
      <c r="O436" s="254"/>
      <c r="P436" s="266">
        <v>46056</v>
      </c>
      <c r="Q436" s="271"/>
      <c r="R436" s="219" t="str">
        <f t="shared" si="14"/>
        <v/>
      </c>
      <c r="S436" s="188"/>
    </row>
    <row r="437" spans="1:19" ht="18" customHeight="1">
      <c r="A437" s="245"/>
      <c r="B437" s="246"/>
      <c r="C437" s="188"/>
      <c r="D437" s="245"/>
      <c r="E437" s="247"/>
      <c r="F437" s="245"/>
      <c r="G437" s="188"/>
      <c r="H437" s="267"/>
      <c r="J437" s="188"/>
      <c r="M437" s="252"/>
      <c r="N437" s="217"/>
      <c r="O437" s="254"/>
      <c r="P437" s="266"/>
      <c r="Q437" s="271"/>
      <c r="R437" s="219" t="str">
        <f t="shared" si="14"/>
        <v/>
      </c>
      <c r="S437" s="188"/>
    </row>
    <row r="438" spans="1:19" ht="18" customHeight="1">
      <c r="A438" s="245">
        <v>39217</v>
      </c>
      <c r="B438" s="246">
        <v>73066</v>
      </c>
      <c r="C438" s="188" t="s">
        <v>4</v>
      </c>
      <c r="D438" s="245">
        <v>10</v>
      </c>
      <c r="E438" s="247" t="s">
        <v>908</v>
      </c>
      <c r="F438" s="245">
        <v>1</v>
      </c>
      <c r="G438" s="188" t="s">
        <v>909</v>
      </c>
      <c r="H438" s="267">
        <v>46050</v>
      </c>
      <c r="I438" s="217">
        <v>10</v>
      </c>
      <c r="J438" s="188" t="s">
        <v>910</v>
      </c>
      <c r="K438" s="250">
        <v>988</v>
      </c>
      <c r="L438" s="217">
        <v>280107298</v>
      </c>
      <c r="M438" s="252"/>
      <c r="N438" s="217"/>
      <c r="O438" s="254"/>
      <c r="P438" s="266">
        <v>46086</v>
      </c>
      <c r="Q438" s="271"/>
      <c r="R438" s="219" t="str">
        <f t="shared" si="14"/>
        <v/>
      </c>
      <c r="S438" s="188"/>
    </row>
    <row r="439" spans="1:19" ht="18" customHeight="1">
      <c r="A439" s="245">
        <v>39217</v>
      </c>
      <c r="B439" s="246">
        <v>73067</v>
      </c>
      <c r="C439" s="188" t="s">
        <v>4</v>
      </c>
      <c r="D439" s="245">
        <v>10</v>
      </c>
      <c r="E439" s="247" t="s">
        <v>911</v>
      </c>
      <c r="F439" s="245">
        <v>1</v>
      </c>
      <c r="G439" s="188" t="s">
        <v>909</v>
      </c>
      <c r="H439" s="267">
        <v>46050</v>
      </c>
      <c r="I439" s="217">
        <v>20</v>
      </c>
      <c r="J439" s="188" t="s">
        <v>912</v>
      </c>
      <c r="K439" s="250">
        <v>1150</v>
      </c>
      <c r="L439" s="217">
        <v>280107298</v>
      </c>
      <c r="M439" s="252"/>
      <c r="N439" s="217"/>
      <c r="O439" s="254"/>
      <c r="P439" s="266">
        <v>46086</v>
      </c>
      <c r="Q439" s="271"/>
      <c r="R439" s="219" t="str">
        <f t="shared" si="14"/>
        <v/>
      </c>
      <c r="S439" s="188"/>
    </row>
    <row r="440" spans="1:19" ht="18" customHeight="1">
      <c r="A440" s="245"/>
      <c r="B440" s="246"/>
      <c r="C440" s="188"/>
      <c r="D440" s="245"/>
      <c r="E440" s="247"/>
      <c r="F440" s="245"/>
      <c r="G440" s="188"/>
      <c r="H440" s="267"/>
      <c r="J440" s="188"/>
      <c r="M440" s="252"/>
      <c r="N440" s="217"/>
      <c r="O440" s="254"/>
      <c r="P440" s="266"/>
      <c r="Q440" s="271"/>
      <c r="R440" s="219" t="str">
        <f t="shared" si="14"/>
        <v/>
      </c>
      <c r="S440" s="188"/>
    </row>
    <row r="441" spans="1:19" ht="18" customHeight="1">
      <c r="A441" s="245">
        <v>39218</v>
      </c>
      <c r="B441" s="246">
        <v>73068</v>
      </c>
      <c r="C441" s="188" t="s">
        <v>41</v>
      </c>
      <c r="D441" s="245">
        <v>1</v>
      </c>
      <c r="E441" s="247" t="s">
        <v>913</v>
      </c>
      <c r="F441" s="245"/>
      <c r="G441" s="188" t="s">
        <v>275</v>
      </c>
      <c r="H441" s="267">
        <v>46051</v>
      </c>
      <c r="I441" s="397" t="s">
        <v>777</v>
      </c>
      <c r="J441" s="188" t="s">
        <v>914</v>
      </c>
      <c r="K441" s="250">
        <v>43580</v>
      </c>
      <c r="L441" s="408" t="s">
        <v>947</v>
      </c>
      <c r="M441" s="252"/>
      <c r="N441" s="217"/>
      <c r="O441" s="254"/>
      <c r="P441" s="266">
        <v>46156</v>
      </c>
      <c r="Q441" s="271"/>
      <c r="R441" s="219" t="str">
        <f t="shared" si="14"/>
        <v/>
      </c>
      <c r="S441" s="188"/>
    </row>
    <row r="442" spans="1:19" ht="18" customHeight="1">
      <c r="A442" s="245"/>
      <c r="B442" s="246"/>
      <c r="C442" s="188"/>
      <c r="D442" s="245"/>
      <c r="E442" s="247"/>
      <c r="F442" s="245"/>
      <c r="G442" s="188"/>
      <c r="H442" s="267"/>
      <c r="J442" s="188"/>
      <c r="M442" s="252"/>
      <c r="N442" s="217"/>
      <c r="O442" s="254"/>
      <c r="P442" s="266"/>
      <c r="Q442" s="271"/>
      <c r="R442" s="219" t="str">
        <f t="shared" si="14"/>
        <v/>
      </c>
      <c r="S442" s="188"/>
    </row>
    <row r="443" spans="1:19" ht="18" customHeight="1">
      <c r="A443" s="245">
        <v>39220</v>
      </c>
      <c r="B443" s="246">
        <v>73070</v>
      </c>
      <c r="C443" s="188" t="s">
        <v>31</v>
      </c>
      <c r="D443" s="245">
        <v>8</v>
      </c>
      <c r="E443" s="247">
        <v>3077540</v>
      </c>
      <c r="F443" s="245">
        <v>1</v>
      </c>
      <c r="G443" s="188" t="s">
        <v>915</v>
      </c>
      <c r="H443" s="267">
        <v>46052</v>
      </c>
      <c r="I443" s="217">
        <v>1</v>
      </c>
      <c r="J443" s="188" t="s">
        <v>916</v>
      </c>
      <c r="K443" s="250">
        <v>1490</v>
      </c>
      <c r="L443" s="217">
        <v>211260943</v>
      </c>
      <c r="M443" s="252">
        <v>44959</v>
      </c>
      <c r="N443" s="217">
        <v>8</v>
      </c>
      <c r="O443" s="254"/>
      <c r="P443" s="266">
        <v>46099</v>
      </c>
      <c r="Q443" s="271">
        <v>46063</v>
      </c>
      <c r="R443" s="219">
        <f t="shared" si="14"/>
        <v>-36</v>
      </c>
      <c r="S443" s="188"/>
    </row>
    <row r="444" spans="1:19" ht="18" customHeight="1">
      <c r="A444" s="245"/>
      <c r="B444" s="246"/>
      <c r="C444" s="188"/>
      <c r="D444" s="245"/>
      <c r="E444" s="247"/>
      <c r="F444" s="245"/>
      <c r="G444" s="188"/>
      <c r="H444" s="267"/>
      <c r="J444" s="188"/>
      <c r="M444" s="252"/>
      <c r="N444" s="217"/>
      <c r="O444" s="254"/>
      <c r="P444" s="266"/>
      <c r="Q444" s="271"/>
      <c r="R444" s="219" t="str">
        <f t="shared" si="14"/>
        <v/>
      </c>
      <c r="S444" s="188"/>
    </row>
    <row r="445" spans="1:19" ht="18" customHeight="1">
      <c r="A445" s="245">
        <v>39221</v>
      </c>
      <c r="B445" s="246">
        <v>73071</v>
      </c>
      <c r="C445" s="188" t="s">
        <v>41</v>
      </c>
      <c r="D445" s="245">
        <v>2</v>
      </c>
      <c r="E445" s="247" t="s">
        <v>917</v>
      </c>
      <c r="F445" s="245">
        <v>0</v>
      </c>
      <c r="G445" s="188" t="s">
        <v>275</v>
      </c>
      <c r="H445" s="267">
        <v>46055</v>
      </c>
      <c r="I445" s="217">
        <v>1</v>
      </c>
      <c r="J445" s="188" t="s">
        <v>918</v>
      </c>
      <c r="K445" s="250">
        <v>1967</v>
      </c>
      <c r="L445" s="217" t="s">
        <v>919</v>
      </c>
      <c r="M445" s="252"/>
      <c r="N445" s="217"/>
      <c r="O445" s="254"/>
      <c r="P445" s="266">
        <v>46097</v>
      </c>
      <c r="Q445" s="271"/>
      <c r="R445" s="219" t="str">
        <f t="shared" si="14"/>
        <v/>
      </c>
      <c r="S445" s="188"/>
    </row>
    <row r="446" spans="1:19" ht="18" customHeight="1">
      <c r="A446" s="245"/>
      <c r="B446" s="246"/>
      <c r="C446" s="188"/>
      <c r="D446" s="245"/>
      <c r="E446" s="247"/>
      <c r="F446" s="245"/>
      <c r="G446" s="188"/>
      <c r="H446" s="267"/>
      <c r="J446" s="188"/>
      <c r="M446" s="252"/>
      <c r="N446" s="217"/>
      <c r="O446" s="254"/>
      <c r="P446" s="266"/>
      <c r="Q446" s="271"/>
      <c r="R446" s="219" t="str">
        <f t="shared" si="14"/>
        <v/>
      </c>
      <c r="S446" s="188"/>
    </row>
    <row r="447" spans="1:19" ht="18" customHeight="1">
      <c r="A447" s="252" t="s">
        <v>307</v>
      </c>
      <c r="B447" s="246">
        <v>73072</v>
      </c>
      <c r="C447" s="188" t="s">
        <v>109</v>
      </c>
      <c r="D447" s="245">
        <v>1</v>
      </c>
      <c r="E447" s="247" t="s">
        <v>922</v>
      </c>
      <c r="F447" s="245"/>
      <c r="G447" s="188" t="s">
        <v>923</v>
      </c>
      <c r="H447" s="267">
        <v>46056</v>
      </c>
      <c r="I447" s="217">
        <v>1</v>
      </c>
      <c r="J447" s="188" t="s">
        <v>924</v>
      </c>
      <c r="K447" s="250">
        <v>1790</v>
      </c>
      <c r="L447" s="217" t="s">
        <v>423</v>
      </c>
      <c r="M447" s="252"/>
      <c r="N447" s="217"/>
      <c r="O447" s="254"/>
      <c r="P447" s="266">
        <v>46079</v>
      </c>
      <c r="Q447" s="271"/>
      <c r="R447" s="219" t="str">
        <f t="shared" si="14"/>
        <v/>
      </c>
      <c r="S447" s="188"/>
    </row>
    <row r="448" spans="1:19" ht="18" customHeight="1">
      <c r="A448" s="252" t="s">
        <v>307</v>
      </c>
      <c r="B448" s="246">
        <v>73073</v>
      </c>
      <c r="C448" s="188" t="s">
        <v>109</v>
      </c>
      <c r="D448" s="245">
        <v>1</v>
      </c>
      <c r="E448" s="247" t="s">
        <v>925</v>
      </c>
      <c r="F448" s="245"/>
      <c r="G448" s="188" t="s">
        <v>923</v>
      </c>
      <c r="H448" s="267">
        <v>46056</v>
      </c>
      <c r="I448" s="217">
        <v>2</v>
      </c>
      <c r="J448" s="188" t="s">
        <v>926</v>
      </c>
      <c r="K448" s="250">
        <v>1610</v>
      </c>
      <c r="L448" s="217" t="s">
        <v>423</v>
      </c>
      <c r="M448" s="252"/>
      <c r="N448" s="217"/>
      <c r="O448" s="254"/>
      <c r="P448" s="266">
        <v>46079</v>
      </c>
      <c r="Q448" s="271"/>
      <c r="R448" s="219" t="str">
        <f t="shared" si="14"/>
        <v/>
      </c>
      <c r="S448" s="188"/>
    </row>
    <row r="449" spans="1:19" ht="18" customHeight="1">
      <c r="A449" s="245"/>
      <c r="B449" s="246"/>
      <c r="C449" s="188"/>
      <c r="D449" s="245"/>
      <c r="E449" s="247"/>
      <c r="F449" s="245"/>
      <c r="G449" s="188"/>
      <c r="H449" s="267"/>
      <c r="J449" s="188"/>
      <c r="M449" s="252"/>
      <c r="N449" s="217"/>
      <c r="O449" s="254"/>
      <c r="P449" s="266"/>
      <c r="Q449" s="271"/>
      <c r="R449" s="219" t="str">
        <f t="shared" si="14"/>
        <v/>
      </c>
      <c r="S449" s="188"/>
    </row>
    <row r="450" spans="1:19" ht="18" customHeight="1">
      <c r="A450" s="245">
        <v>39222</v>
      </c>
      <c r="B450" s="246">
        <v>73074</v>
      </c>
      <c r="C450" s="188" t="s">
        <v>4</v>
      </c>
      <c r="D450" s="245">
        <v>20</v>
      </c>
      <c r="E450" s="247" t="s">
        <v>927</v>
      </c>
      <c r="F450" s="245"/>
      <c r="G450" s="188" t="s">
        <v>928</v>
      </c>
      <c r="H450" s="267">
        <v>46057</v>
      </c>
      <c r="I450" s="217">
        <v>10</v>
      </c>
      <c r="J450" s="188" t="s">
        <v>929</v>
      </c>
      <c r="K450" s="250">
        <v>41.5</v>
      </c>
      <c r="L450" s="217">
        <v>280107737</v>
      </c>
      <c r="M450" s="252"/>
      <c r="N450" s="217"/>
      <c r="O450" s="254"/>
      <c r="P450" s="365">
        <v>46085</v>
      </c>
      <c r="Q450" s="271"/>
      <c r="R450" s="219" t="str">
        <f t="shared" si="14"/>
        <v/>
      </c>
      <c r="S450" s="188"/>
    </row>
    <row r="451" spans="1:19" ht="18" customHeight="1">
      <c r="A451" s="245"/>
      <c r="B451" s="246"/>
      <c r="C451" s="188"/>
      <c r="D451" s="245"/>
      <c r="E451" s="247"/>
      <c r="F451" s="245"/>
      <c r="G451" s="188"/>
      <c r="H451" s="267"/>
      <c r="J451" s="188"/>
      <c r="M451" s="252"/>
      <c r="N451" s="217"/>
      <c r="O451" s="254"/>
      <c r="P451" s="266"/>
      <c r="Q451" s="271"/>
      <c r="R451" s="219" t="str">
        <f t="shared" si="14"/>
        <v/>
      </c>
      <c r="S451" s="188"/>
    </row>
    <row r="452" spans="1:19" ht="18" customHeight="1">
      <c r="A452" s="245">
        <v>39223</v>
      </c>
      <c r="B452" s="246">
        <v>73075</v>
      </c>
      <c r="C452" s="188" t="s">
        <v>4</v>
      </c>
      <c r="D452" s="245">
        <v>2</v>
      </c>
      <c r="E452" s="247" t="s">
        <v>930</v>
      </c>
      <c r="F452" s="245"/>
      <c r="G452" s="188" t="s">
        <v>909</v>
      </c>
      <c r="H452" s="267">
        <v>46057</v>
      </c>
      <c r="I452" s="217">
        <v>10</v>
      </c>
      <c r="J452" s="188" t="s">
        <v>931</v>
      </c>
      <c r="K452" s="250">
        <v>2424</v>
      </c>
      <c r="L452" s="217">
        <v>280107655</v>
      </c>
      <c r="M452" s="252"/>
      <c r="N452" s="217"/>
      <c r="O452" s="254"/>
      <c r="P452" s="266">
        <v>46087</v>
      </c>
      <c r="Q452" s="271"/>
      <c r="R452" s="219" t="str">
        <f t="shared" si="14"/>
        <v/>
      </c>
      <c r="S452" s="188"/>
    </row>
    <row r="453" spans="1:19" ht="18" customHeight="1">
      <c r="A453" s="245">
        <v>39223</v>
      </c>
      <c r="B453" s="246">
        <v>73076</v>
      </c>
      <c r="C453" s="188" t="s">
        <v>4</v>
      </c>
      <c r="D453" s="245">
        <v>1</v>
      </c>
      <c r="E453" s="247" t="s">
        <v>932</v>
      </c>
      <c r="F453" s="245"/>
      <c r="G453" s="188" t="s">
        <v>909</v>
      </c>
      <c r="H453" s="267">
        <v>46057</v>
      </c>
      <c r="I453" s="217">
        <v>10</v>
      </c>
      <c r="J453" s="188" t="s">
        <v>938</v>
      </c>
      <c r="K453" s="250">
        <v>960</v>
      </c>
      <c r="L453" s="217">
        <v>280107655</v>
      </c>
      <c r="M453" s="252"/>
      <c r="N453" s="217"/>
      <c r="O453" s="254"/>
      <c r="P453" s="266">
        <v>46087</v>
      </c>
      <c r="Q453" s="271"/>
      <c r="R453" s="219" t="str">
        <f t="shared" si="14"/>
        <v/>
      </c>
      <c r="S453" s="188"/>
    </row>
    <row r="454" spans="1:19" ht="18" customHeight="1">
      <c r="A454" s="245">
        <v>39223</v>
      </c>
      <c r="B454" s="246">
        <v>73077</v>
      </c>
      <c r="C454" s="188" t="s">
        <v>4</v>
      </c>
      <c r="D454" s="245">
        <v>1</v>
      </c>
      <c r="E454" s="247" t="s">
        <v>933</v>
      </c>
      <c r="F454" s="245"/>
      <c r="G454" s="188" t="s">
        <v>909</v>
      </c>
      <c r="H454" s="267">
        <v>46057</v>
      </c>
      <c r="I454" s="217">
        <v>10</v>
      </c>
      <c r="J454" s="188" t="s">
        <v>939</v>
      </c>
      <c r="K454" s="250">
        <v>3830</v>
      </c>
      <c r="L454" s="217">
        <v>280107655</v>
      </c>
      <c r="M454" s="252"/>
      <c r="N454" s="217"/>
      <c r="O454" s="254"/>
      <c r="P454" s="266">
        <v>46087</v>
      </c>
      <c r="Q454" s="271"/>
      <c r="R454" s="219" t="str">
        <f t="shared" si="14"/>
        <v/>
      </c>
      <c r="S454" s="188"/>
    </row>
    <row r="455" spans="1:19" ht="18" customHeight="1">
      <c r="A455" s="245">
        <v>39223</v>
      </c>
      <c r="B455" s="246">
        <v>73078</v>
      </c>
      <c r="C455" s="188" t="s">
        <v>4</v>
      </c>
      <c r="D455" s="245">
        <v>1</v>
      </c>
      <c r="E455" s="247" t="s">
        <v>934</v>
      </c>
      <c r="F455" s="245"/>
      <c r="G455" s="188" t="s">
        <v>909</v>
      </c>
      <c r="H455" s="267">
        <v>46057</v>
      </c>
      <c r="I455" s="217">
        <v>10</v>
      </c>
      <c r="J455" s="188" t="s">
        <v>940</v>
      </c>
      <c r="K455" s="250">
        <v>886</v>
      </c>
      <c r="L455" s="217">
        <v>280107655</v>
      </c>
      <c r="M455" s="252"/>
      <c r="N455" s="217"/>
      <c r="O455" s="254"/>
      <c r="P455" s="266">
        <v>46087</v>
      </c>
      <c r="Q455" s="271"/>
      <c r="R455" s="219" t="str">
        <f t="shared" si="14"/>
        <v/>
      </c>
      <c r="S455" s="188"/>
    </row>
    <row r="456" spans="1:19" ht="18" customHeight="1">
      <c r="A456" s="245">
        <v>39223</v>
      </c>
      <c r="B456" s="246">
        <v>73079</v>
      </c>
      <c r="C456" s="188" t="s">
        <v>4</v>
      </c>
      <c r="D456" s="245">
        <v>1</v>
      </c>
      <c r="E456" s="247" t="s">
        <v>935</v>
      </c>
      <c r="F456" s="245"/>
      <c r="G456" s="188" t="s">
        <v>909</v>
      </c>
      <c r="H456" s="267">
        <v>46057</v>
      </c>
      <c r="I456" s="217">
        <v>10</v>
      </c>
      <c r="J456" s="188" t="s">
        <v>940</v>
      </c>
      <c r="K456" s="250">
        <v>416</v>
      </c>
      <c r="L456" s="217">
        <v>280107655</v>
      </c>
      <c r="M456" s="252"/>
      <c r="N456" s="217"/>
      <c r="O456" s="254"/>
      <c r="P456" s="266">
        <v>46087</v>
      </c>
      <c r="Q456" s="271"/>
      <c r="R456" s="219" t="str">
        <f t="shared" si="14"/>
        <v/>
      </c>
      <c r="S456" s="188"/>
    </row>
    <row r="457" spans="1:19" ht="18" customHeight="1">
      <c r="A457" s="245">
        <v>39223</v>
      </c>
      <c r="B457" s="246">
        <v>73080</v>
      </c>
      <c r="C457" s="188" t="s">
        <v>4</v>
      </c>
      <c r="D457" s="245">
        <v>1</v>
      </c>
      <c r="E457" s="247" t="s">
        <v>936</v>
      </c>
      <c r="F457" s="245"/>
      <c r="G457" s="188" t="s">
        <v>909</v>
      </c>
      <c r="H457" s="267">
        <v>46057</v>
      </c>
      <c r="I457" s="217">
        <v>10</v>
      </c>
      <c r="J457" s="188" t="s">
        <v>941</v>
      </c>
      <c r="K457" s="250">
        <v>737</v>
      </c>
      <c r="L457" s="217">
        <v>280107655</v>
      </c>
      <c r="M457" s="252"/>
      <c r="N457" s="217"/>
      <c r="O457" s="254"/>
      <c r="P457" s="266">
        <v>46087</v>
      </c>
      <c r="Q457" s="271"/>
      <c r="R457" s="219" t="str">
        <f t="shared" si="14"/>
        <v/>
      </c>
      <c r="S457" s="188"/>
    </row>
    <row r="458" spans="1:19" ht="18" customHeight="1">
      <c r="A458" s="245">
        <v>39223</v>
      </c>
      <c r="B458" s="246">
        <v>73081</v>
      </c>
      <c r="C458" s="188" t="s">
        <v>4</v>
      </c>
      <c r="D458" s="245">
        <v>1</v>
      </c>
      <c r="E458" s="247" t="s">
        <v>937</v>
      </c>
      <c r="F458" s="245"/>
      <c r="G458" s="188" t="s">
        <v>909</v>
      </c>
      <c r="H458" s="267">
        <v>46057</v>
      </c>
      <c r="I458" s="217">
        <v>10</v>
      </c>
      <c r="J458" s="188" t="s">
        <v>942</v>
      </c>
      <c r="K458" s="250">
        <v>3990</v>
      </c>
      <c r="L458" s="217">
        <v>280107655</v>
      </c>
      <c r="M458" s="252"/>
      <c r="N458" s="217"/>
      <c r="O458" s="254"/>
      <c r="P458" s="266">
        <v>46087</v>
      </c>
      <c r="Q458" s="271"/>
      <c r="R458" s="219" t="str">
        <f t="shared" si="14"/>
        <v/>
      </c>
      <c r="S458" s="188"/>
    </row>
    <row r="459" spans="1:19" ht="18" customHeight="1">
      <c r="A459" s="245"/>
      <c r="B459" s="246"/>
      <c r="C459" s="188"/>
      <c r="D459" s="245"/>
      <c r="E459" s="247"/>
      <c r="F459" s="245"/>
      <c r="G459" s="188"/>
      <c r="H459" s="267"/>
      <c r="J459" s="188"/>
      <c r="M459" s="252"/>
      <c r="N459" s="217"/>
      <c r="O459" s="254"/>
      <c r="P459" s="266"/>
      <c r="Q459" s="271"/>
      <c r="R459" s="219" t="str">
        <f t="shared" si="14"/>
        <v/>
      </c>
      <c r="S459" s="188"/>
    </row>
    <row r="460" spans="1:19" ht="18" customHeight="1">
      <c r="A460" s="245">
        <v>39224</v>
      </c>
      <c r="B460" s="246">
        <v>73082</v>
      </c>
      <c r="C460" s="188" t="s">
        <v>0</v>
      </c>
      <c r="D460" s="245">
        <v>1</v>
      </c>
      <c r="E460" s="247" t="s">
        <v>296</v>
      </c>
      <c r="F460" s="245"/>
      <c r="G460" s="188" t="s">
        <v>243</v>
      </c>
      <c r="H460" s="267">
        <v>46059</v>
      </c>
      <c r="I460" s="217">
        <v>1</v>
      </c>
      <c r="J460" s="188" t="s">
        <v>943</v>
      </c>
      <c r="M460" s="252"/>
      <c r="N460" s="217"/>
      <c r="O460" s="254"/>
      <c r="P460" s="266">
        <v>46066</v>
      </c>
      <c r="Q460" s="271"/>
      <c r="R460" s="219" t="str">
        <f t="shared" si="14"/>
        <v/>
      </c>
      <c r="S460" s="188"/>
    </row>
    <row r="461" spans="1:19" ht="18" customHeight="1">
      <c r="A461" s="245"/>
      <c r="B461" s="246"/>
      <c r="C461" s="188"/>
      <c r="D461" s="245"/>
      <c r="E461" s="247"/>
      <c r="F461" s="245"/>
      <c r="G461" s="188"/>
      <c r="H461" s="267"/>
      <c r="J461" s="188"/>
      <c r="M461" s="252"/>
      <c r="N461" s="217"/>
      <c r="O461" s="254"/>
      <c r="P461" s="266"/>
      <c r="Q461" s="271"/>
      <c r="R461" s="219" t="str">
        <f t="shared" si="14"/>
        <v/>
      </c>
      <c r="S461" s="188"/>
    </row>
    <row r="462" spans="1:19" ht="18" customHeight="1">
      <c r="A462" s="245">
        <v>39225</v>
      </c>
      <c r="B462" s="246">
        <v>73083</v>
      </c>
      <c r="C462" s="188" t="s">
        <v>0</v>
      </c>
      <c r="D462" s="245">
        <v>1</v>
      </c>
      <c r="E462" s="247" t="s">
        <v>253</v>
      </c>
      <c r="F462" s="245"/>
      <c r="G462" s="188" t="s">
        <v>243</v>
      </c>
      <c r="H462" s="267">
        <v>46059</v>
      </c>
      <c r="I462" s="217">
        <v>1</v>
      </c>
      <c r="J462" s="188" t="s">
        <v>944</v>
      </c>
      <c r="M462" s="252"/>
      <c r="N462" s="217"/>
      <c r="O462" s="254"/>
      <c r="P462" s="266">
        <v>46066</v>
      </c>
      <c r="Q462" s="271"/>
      <c r="R462" s="219" t="str">
        <f t="shared" si="14"/>
        <v/>
      </c>
      <c r="S462" s="188"/>
    </row>
    <row r="463" spans="1:19" ht="18" customHeight="1">
      <c r="A463" s="245"/>
      <c r="B463" s="246"/>
      <c r="C463" s="188"/>
      <c r="D463" s="245"/>
      <c r="E463" s="247"/>
      <c r="F463" s="245"/>
      <c r="G463" s="188"/>
      <c r="H463" s="267"/>
      <c r="J463" s="188"/>
      <c r="M463" s="252"/>
      <c r="N463" s="217"/>
      <c r="O463" s="254"/>
      <c r="P463" s="266"/>
      <c r="Q463" s="271"/>
      <c r="R463" s="219" t="str">
        <f t="shared" si="14"/>
        <v/>
      </c>
      <c r="S463" s="188"/>
    </row>
    <row r="464" spans="1:19" ht="18" customHeight="1">
      <c r="A464" s="245">
        <v>39226</v>
      </c>
      <c r="B464" s="246">
        <v>73084</v>
      </c>
      <c r="C464" s="188" t="s">
        <v>224</v>
      </c>
      <c r="D464" s="245">
        <v>1</v>
      </c>
      <c r="E464" s="247" t="s">
        <v>946</v>
      </c>
      <c r="F464" s="245"/>
      <c r="G464" s="188" t="s">
        <v>690</v>
      </c>
      <c r="H464" s="267">
        <v>46059</v>
      </c>
      <c r="I464" s="217">
        <v>1</v>
      </c>
      <c r="J464" s="188" t="s">
        <v>945</v>
      </c>
      <c r="K464" s="250">
        <v>980</v>
      </c>
      <c r="L464" s="217" t="s">
        <v>973</v>
      </c>
      <c r="M464" s="252">
        <v>44956</v>
      </c>
      <c r="N464" s="217">
        <v>1</v>
      </c>
      <c r="O464" s="254">
        <v>53203</v>
      </c>
      <c r="P464" s="266">
        <v>46064</v>
      </c>
      <c r="Q464" s="271">
        <v>46062</v>
      </c>
      <c r="R464" s="219">
        <f t="shared" si="14"/>
        <v>-2</v>
      </c>
      <c r="S464" s="188"/>
    </row>
    <row r="465" spans="1:19" ht="18" customHeight="1">
      <c r="A465" s="245"/>
      <c r="B465" s="246"/>
      <c r="C465" s="188"/>
      <c r="D465" s="245"/>
      <c r="E465" s="247"/>
      <c r="F465" s="245"/>
      <c r="G465" s="188"/>
      <c r="H465" s="267"/>
      <c r="J465" s="188"/>
      <c r="M465" s="252"/>
      <c r="N465" s="217"/>
      <c r="O465" s="254"/>
      <c r="P465" s="266"/>
      <c r="Q465" s="271"/>
      <c r="R465" s="219" t="str">
        <f t="shared" si="14"/>
        <v/>
      </c>
      <c r="S465" s="188"/>
    </row>
    <row r="466" spans="1:19" ht="18" customHeight="1">
      <c r="A466" s="245">
        <v>39227</v>
      </c>
      <c r="B466" s="246">
        <v>73085</v>
      </c>
      <c r="C466" s="188" t="s">
        <v>41</v>
      </c>
      <c r="D466" s="245">
        <v>4</v>
      </c>
      <c r="E466" s="247" t="s">
        <v>949</v>
      </c>
      <c r="F466" s="245">
        <v>0</v>
      </c>
      <c r="G466" s="285" t="s">
        <v>282</v>
      </c>
      <c r="H466" s="267">
        <v>46059</v>
      </c>
      <c r="I466" s="217">
        <v>1</v>
      </c>
      <c r="J466" s="188" t="s">
        <v>950</v>
      </c>
      <c r="K466" s="250">
        <v>2154</v>
      </c>
      <c r="L466" s="217" t="s">
        <v>952</v>
      </c>
      <c r="M466" s="252"/>
      <c r="N466" s="217"/>
      <c r="O466" s="254"/>
      <c r="P466" s="266">
        <v>46157</v>
      </c>
      <c r="Q466" s="271"/>
      <c r="R466" s="219" t="str">
        <f t="shared" si="14"/>
        <v/>
      </c>
      <c r="S466" s="188"/>
    </row>
    <row r="467" spans="1:19" ht="18" customHeight="1">
      <c r="A467" s="245">
        <v>39227</v>
      </c>
      <c r="B467" s="246">
        <v>73086</v>
      </c>
      <c r="C467" s="188" t="s">
        <v>41</v>
      </c>
      <c r="D467" s="245">
        <v>1</v>
      </c>
      <c r="E467" s="247" t="s">
        <v>485</v>
      </c>
      <c r="F467" s="245">
        <v>1</v>
      </c>
      <c r="G467" s="285" t="s">
        <v>282</v>
      </c>
      <c r="H467" s="267">
        <v>46059</v>
      </c>
      <c r="I467" s="217">
        <v>2</v>
      </c>
      <c r="J467" s="188" t="s">
        <v>951</v>
      </c>
      <c r="K467" s="250">
        <v>17784</v>
      </c>
      <c r="L467" s="217" t="s">
        <v>952</v>
      </c>
      <c r="M467" s="252"/>
      <c r="N467" s="217"/>
      <c r="O467" s="254"/>
      <c r="P467" s="266">
        <v>46157</v>
      </c>
      <c r="Q467" s="271"/>
      <c r="R467" s="219" t="str">
        <f t="shared" si="14"/>
        <v/>
      </c>
      <c r="S467" s="188"/>
    </row>
    <row r="468" spans="1:19" ht="18" customHeight="1">
      <c r="A468" s="245"/>
      <c r="B468" s="246"/>
      <c r="C468" s="188"/>
      <c r="D468" s="245"/>
      <c r="E468" s="247"/>
      <c r="F468" s="245"/>
      <c r="G468" s="188"/>
      <c r="H468" s="267"/>
      <c r="J468" s="188"/>
      <c r="M468" s="252"/>
      <c r="N468" s="217"/>
      <c r="O468" s="254"/>
      <c r="P468" s="266"/>
      <c r="Q468" s="271"/>
      <c r="R468" s="219" t="str">
        <f t="shared" si="14"/>
        <v/>
      </c>
      <c r="S468" s="188"/>
    </row>
    <row r="469" spans="1:19" ht="18" customHeight="1">
      <c r="A469" s="245">
        <v>39228</v>
      </c>
      <c r="B469" s="246">
        <v>73087</v>
      </c>
      <c r="C469" s="188" t="s">
        <v>24</v>
      </c>
      <c r="D469" s="245">
        <v>3</v>
      </c>
      <c r="E469" s="247" t="s">
        <v>966</v>
      </c>
      <c r="F469" s="245"/>
      <c r="G469" s="188" t="s">
        <v>967</v>
      </c>
      <c r="H469" s="267">
        <v>46062</v>
      </c>
      <c r="I469" s="217">
        <v>1</v>
      </c>
      <c r="J469" s="188" t="s">
        <v>969</v>
      </c>
      <c r="M469" s="252"/>
      <c r="N469" s="217"/>
      <c r="O469" s="254"/>
      <c r="P469" s="266">
        <v>46071</v>
      </c>
      <c r="Q469" s="271"/>
      <c r="R469" s="219" t="str">
        <f t="shared" si="14"/>
        <v/>
      </c>
      <c r="S469" s="188"/>
    </row>
    <row r="470" spans="1:19" ht="18" customHeight="1">
      <c r="A470" s="245"/>
      <c r="B470" s="246"/>
      <c r="C470" s="188"/>
      <c r="D470" s="245"/>
      <c r="E470" s="247"/>
      <c r="F470" s="245"/>
      <c r="G470" s="188"/>
      <c r="H470" s="267"/>
      <c r="J470" s="188"/>
      <c r="M470" s="252"/>
      <c r="N470" s="217"/>
      <c r="O470" s="254"/>
      <c r="P470" s="266"/>
      <c r="Q470" s="271"/>
      <c r="R470" s="219" t="str">
        <f t="shared" si="14"/>
        <v/>
      </c>
      <c r="S470" s="188"/>
    </row>
    <row r="471" spans="1:19" ht="18" customHeight="1">
      <c r="A471" s="245">
        <v>39229</v>
      </c>
      <c r="B471" s="246">
        <v>73088</v>
      </c>
      <c r="C471" s="188" t="s">
        <v>32</v>
      </c>
      <c r="D471" s="245">
        <v>12</v>
      </c>
      <c r="E471" s="247" t="s">
        <v>972</v>
      </c>
      <c r="F471" s="245"/>
      <c r="G471" s="188" t="s">
        <v>970</v>
      </c>
      <c r="H471" s="267">
        <v>46062</v>
      </c>
      <c r="I471" s="217">
        <v>1</v>
      </c>
      <c r="J471" s="188" t="s">
        <v>971</v>
      </c>
      <c r="M471" s="252"/>
      <c r="N471" s="217"/>
      <c r="O471" s="254"/>
      <c r="P471" s="266">
        <v>46064</v>
      </c>
      <c r="Q471" s="271"/>
      <c r="R471" s="219" t="str">
        <f t="shared" si="14"/>
        <v/>
      </c>
      <c r="S471" s="188"/>
    </row>
    <row r="472" spans="1:19" ht="18" customHeight="1">
      <c r="A472" s="245"/>
      <c r="B472" s="246"/>
      <c r="C472" s="188"/>
      <c r="D472" s="245"/>
      <c r="E472" s="247"/>
      <c r="F472" s="245"/>
      <c r="G472" s="188"/>
      <c r="H472" s="267"/>
      <c r="J472" s="188"/>
      <c r="M472" s="252"/>
      <c r="N472" s="217"/>
      <c r="O472" s="254"/>
      <c r="P472" s="266"/>
      <c r="Q472" s="271"/>
      <c r="R472" s="219" t="str">
        <f t="shared" si="14"/>
        <v/>
      </c>
      <c r="S472" s="188"/>
    </row>
    <row r="473" spans="1:19" ht="18" customHeight="1">
      <c r="A473" s="245">
        <v>39230</v>
      </c>
      <c r="B473" s="246">
        <v>73089</v>
      </c>
      <c r="C473" s="188" t="s">
        <v>0</v>
      </c>
      <c r="D473" s="245">
        <v>2</v>
      </c>
      <c r="E473" s="247">
        <v>73089</v>
      </c>
      <c r="F473" s="245"/>
      <c r="G473" s="188" t="s">
        <v>388</v>
      </c>
      <c r="H473" s="267">
        <v>46065</v>
      </c>
      <c r="I473" s="217">
        <v>1</v>
      </c>
      <c r="J473" s="188" t="s">
        <v>974</v>
      </c>
      <c r="K473" s="250">
        <v>1478</v>
      </c>
      <c r="L473" s="217" t="s">
        <v>975</v>
      </c>
      <c r="M473" s="252"/>
      <c r="N473" s="217"/>
      <c r="O473" s="254"/>
      <c r="P473" s="266">
        <v>46086</v>
      </c>
      <c r="Q473" s="271"/>
      <c r="R473" s="219" t="str">
        <f t="shared" si="14"/>
        <v/>
      </c>
      <c r="S473" s="188"/>
    </row>
    <row r="474" spans="1:19" ht="18" customHeight="1">
      <c r="A474" s="245"/>
      <c r="B474" s="246"/>
      <c r="C474" s="188"/>
      <c r="D474" s="245"/>
      <c r="E474" s="247"/>
      <c r="F474" s="245"/>
      <c r="G474" s="188"/>
      <c r="H474" s="267"/>
      <c r="J474" s="188"/>
      <c r="M474" s="252"/>
      <c r="N474" s="217"/>
      <c r="O474" s="254"/>
      <c r="P474" s="266"/>
      <c r="Q474" s="271"/>
      <c r="R474" s="219" t="str">
        <f t="shared" si="14"/>
        <v/>
      </c>
      <c r="S474" s="188"/>
    </row>
    <row r="475" spans="1:19" ht="18" customHeight="1">
      <c r="A475" s="245">
        <v>39231</v>
      </c>
      <c r="B475" s="246">
        <v>73090</v>
      </c>
      <c r="C475" s="188" t="s">
        <v>36</v>
      </c>
      <c r="D475" s="245">
        <v>4</v>
      </c>
      <c r="E475" s="247">
        <v>6959940</v>
      </c>
      <c r="F475" s="245">
        <v>0</v>
      </c>
      <c r="G475" s="188" t="s">
        <v>976</v>
      </c>
      <c r="H475" s="267">
        <v>46065</v>
      </c>
      <c r="I475" s="217">
        <v>1</v>
      </c>
      <c r="J475" s="188" t="s">
        <v>977</v>
      </c>
      <c r="K475" s="250">
        <v>150</v>
      </c>
      <c r="L475" s="217">
        <v>101285526</v>
      </c>
      <c r="M475" s="252"/>
      <c r="N475" s="217"/>
      <c r="O475" s="254"/>
      <c r="P475" s="266">
        <v>46107</v>
      </c>
      <c r="Q475" s="271"/>
      <c r="R475" s="219" t="str">
        <f t="shared" si="14"/>
        <v/>
      </c>
      <c r="S475" s="188"/>
    </row>
    <row r="476" spans="1:19" ht="18" customHeight="1">
      <c r="A476" s="245"/>
      <c r="B476" s="246"/>
      <c r="C476" s="188"/>
      <c r="D476" s="245"/>
      <c r="E476" s="247"/>
      <c r="F476" s="245"/>
      <c r="G476" s="188"/>
      <c r="H476" s="267"/>
      <c r="J476" s="188"/>
      <c r="M476" s="252"/>
      <c r="N476" s="217"/>
      <c r="O476" s="254"/>
      <c r="P476" s="266"/>
      <c r="Q476" s="271"/>
      <c r="R476" s="219" t="str">
        <f t="shared" si="14"/>
        <v/>
      </c>
      <c r="S476" s="188"/>
    </row>
    <row r="477" spans="1:19" ht="18" customHeight="1">
      <c r="A477" s="245">
        <v>39232</v>
      </c>
      <c r="B477" s="246">
        <v>73091</v>
      </c>
      <c r="C477" s="188" t="s">
        <v>62</v>
      </c>
      <c r="D477" s="245">
        <v>1</v>
      </c>
      <c r="E477" s="247" t="s">
        <v>978</v>
      </c>
      <c r="F477" s="245"/>
      <c r="G477" s="188" t="s">
        <v>780</v>
      </c>
      <c r="H477" s="267">
        <v>46065</v>
      </c>
      <c r="I477" s="217">
        <v>1</v>
      </c>
      <c r="J477" s="188" t="s">
        <v>979</v>
      </c>
      <c r="K477" s="250">
        <v>6663</v>
      </c>
      <c r="L477" s="217" t="s">
        <v>980</v>
      </c>
      <c r="M477" s="252"/>
      <c r="N477" s="217"/>
      <c r="O477" s="254"/>
      <c r="P477" s="266">
        <v>46122</v>
      </c>
      <c r="Q477" s="271"/>
      <c r="R477" s="219" t="str">
        <f t="shared" si="14"/>
        <v/>
      </c>
      <c r="S477" s="188"/>
    </row>
    <row r="478" spans="1:19" ht="18" customHeight="1">
      <c r="A478" s="245"/>
      <c r="B478" s="246"/>
      <c r="C478" s="188"/>
      <c r="D478" s="245"/>
      <c r="E478" s="247"/>
      <c r="F478" s="245"/>
      <c r="G478" s="188"/>
      <c r="H478" s="267"/>
      <c r="J478" s="188"/>
      <c r="M478" s="252"/>
      <c r="N478" s="217"/>
      <c r="O478" s="254"/>
      <c r="P478" s="266"/>
      <c r="Q478" s="271"/>
      <c r="R478" s="219" t="str">
        <f t="shared" si="14"/>
        <v/>
      </c>
      <c r="S478" s="188"/>
    </row>
    <row r="479" spans="1:19" ht="18" customHeight="1">
      <c r="A479" s="245">
        <v>39233</v>
      </c>
      <c r="B479" s="246">
        <v>73092</v>
      </c>
      <c r="C479" s="188" t="s">
        <v>32</v>
      </c>
      <c r="D479" s="245" t="s">
        <v>983</v>
      </c>
      <c r="E479" s="247" t="s">
        <v>253</v>
      </c>
      <c r="F479" s="245"/>
      <c r="G479" s="188" t="s">
        <v>982</v>
      </c>
      <c r="H479" s="267">
        <v>46066</v>
      </c>
      <c r="I479" s="217">
        <v>1</v>
      </c>
      <c r="J479" s="188" t="s">
        <v>984</v>
      </c>
      <c r="M479" s="252"/>
      <c r="N479" s="217"/>
      <c r="O479" s="254"/>
      <c r="P479" s="266">
        <v>46071</v>
      </c>
      <c r="Q479" s="271"/>
      <c r="R479" s="219" t="str">
        <f t="shared" si="14"/>
        <v/>
      </c>
      <c r="S479" s="188"/>
    </row>
    <row r="480" spans="1:19" ht="18" customHeight="1">
      <c r="A480" s="245"/>
      <c r="B480" s="246"/>
      <c r="C480" s="188"/>
      <c r="D480" s="245"/>
      <c r="E480" s="247"/>
      <c r="F480" s="245"/>
      <c r="G480" s="188"/>
      <c r="H480" s="267"/>
      <c r="J480" s="188"/>
      <c r="M480" s="252"/>
      <c r="N480" s="217"/>
      <c r="O480" s="254"/>
      <c r="P480" s="266"/>
      <c r="Q480" s="271"/>
      <c r="R480" s="219" t="str">
        <f t="shared" si="14"/>
        <v/>
      </c>
      <c r="S480" s="188"/>
    </row>
    <row r="481" spans="1:19" ht="18" customHeight="1">
      <c r="A481" s="245"/>
      <c r="B481" s="246"/>
      <c r="C481" s="188"/>
      <c r="D481" s="245"/>
      <c r="E481" s="247"/>
      <c r="F481" s="245"/>
      <c r="G481" s="188"/>
      <c r="H481" s="267"/>
      <c r="J481" s="188"/>
      <c r="M481" s="252"/>
      <c r="N481" s="217"/>
      <c r="O481" s="254"/>
      <c r="P481" s="266"/>
      <c r="Q481" s="271"/>
      <c r="R481" s="219" t="str">
        <f t="shared" si="14"/>
        <v/>
      </c>
      <c r="S481" s="188"/>
    </row>
    <row r="482" spans="1:19" ht="18" customHeight="1">
      <c r="A482" s="245"/>
      <c r="B482" s="246"/>
      <c r="C482" s="188"/>
      <c r="D482" s="245"/>
      <c r="E482" s="247"/>
      <c r="F482" s="245"/>
      <c r="G482" s="188"/>
      <c r="H482" s="267"/>
      <c r="J482" s="188"/>
      <c r="M482" s="252"/>
      <c r="N482" s="217"/>
      <c r="O482" s="254"/>
      <c r="P482" s="266"/>
      <c r="Q482" s="271"/>
      <c r="R482" s="219" t="str">
        <f t="shared" si="14"/>
        <v/>
      </c>
      <c r="S482" s="188"/>
    </row>
    <row r="483" spans="1:19" ht="18" customHeight="1">
      <c r="A483" s="245"/>
      <c r="B483" s="246"/>
      <c r="C483" s="188"/>
      <c r="D483" s="245"/>
      <c r="E483" s="247"/>
      <c r="F483" s="245"/>
      <c r="G483" s="188"/>
      <c r="H483" s="267"/>
      <c r="J483" s="188"/>
      <c r="M483" s="252"/>
      <c r="N483" s="217"/>
      <c r="O483" s="254"/>
      <c r="P483" s="266"/>
      <c r="Q483" s="271"/>
      <c r="R483" s="219" t="str">
        <f t="shared" ref="R483:R546" si="15">IF(SUM(Q483)&gt;0,SUM(Q483-P483),"")</f>
        <v/>
      </c>
      <c r="S483" s="188"/>
    </row>
    <row r="484" spans="1:19" ht="18" customHeight="1">
      <c r="A484" s="245"/>
      <c r="B484" s="246"/>
      <c r="C484" s="188"/>
      <c r="D484" s="245"/>
      <c r="E484" s="247"/>
      <c r="F484" s="245"/>
      <c r="G484" s="188"/>
      <c r="H484" s="267"/>
      <c r="J484" s="188"/>
      <c r="M484" s="252"/>
      <c r="N484" s="217"/>
      <c r="O484" s="254"/>
      <c r="P484" s="266"/>
      <c r="Q484" s="271"/>
      <c r="R484" s="219" t="str">
        <f t="shared" si="15"/>
        <v/>
      </c>
      <c r="S484" s="188"/>
    </row>
    <row r="485" spans="1:19" ht="18" customHeight="1">
      <c r="A485" s="245"/>
      <c r="B485" s="246"/>
      <c r="C485" s="188"/>
      <c r="D485" s="245"/>
      <c r="E485" s="247"/>
      <c r="F485" s="245"/>
      <c r="G485" s="188"/>
      <c r="H485" s="267"/>
      <c r="J485" s="188"/>
      <c r="M485" s="252"/>
      <c r="N485" s="217"/>
      <c r="O485" s="254"/>
      <c r="P485" s="266"/>
      <c r="Q485" s="271"/>
      <c r="R485" s="219" t="str">
        <f t="shared" si="15"/>
        <v/>
      </c>
      <c r="S485" s="188"/>
    </row>
    <row r="486" spans="1:19" ht="18" customHeight="1">
      <c r="A486" s="245"/>
      <c r="B486" s="246"/>
      <c r="C486" s="188"/>
      <c r="D486" s="245"/>
      <c r="E486" s="247"/>
      <c r="F486" s="245"/>
      <c r="G486" s="188"/>
      <c r="H486" s="267"/>
      <c r="J486" s="188"/>
      <c r="M486" s="252"/>
      <c r="N486" s="217"/>
      <c r="O486" s="254"/>
      <c r="P486" s="266"/>
      <c r="Q486" s="271"/>
      <c r="R486" s="219" t="str">
        <f t="shared" si="15"/>
        <v/>
      </c>
      <c r="S486" s="188"/>
    </row>
    <row r="487" spans="1:19" ht="18" customHeight="1">
      <c r="A487" s="245"/>
      <c r="B487" s="246"/>
      <c r="C487" s="188"/>
      <c r="D487" s="245"/>
      <c r="E487" s="247"/>
      <c r="F487" s="245"/>
      <c r="G487" s="188"/>
      <c r="H487" s="267"/>
      <c r="J487" s="188"/>
      <c r="M487" s="252"/>
      <c r="N487" s="217"/>
      <c r="O487" s="254"/>
      <c r="P487" s="266"/>
      <c r="Q487" s="271"/>
      <c r="R487" s="219" t="str">
        <f t="shared" si="15"/>
        <v/>
      </c>
      <c r="S487" s="188"/>
    </row>
    <row r="488" spans="1:19" ht="18" customHeight="1">
      <c r="A488" s="245"/>
      <c r="B488" s="246"/>
      <c r="C488" s="188"/>
      <c r="D488" s="245"/>
      <c r="E488" s="247"/>
      <c r="F488" s="245"/>
      <c r="G488" s="188"/>
      <c r="H488" s="267"/>
      <c r="J488" s="188"/>
      <c r="M488" s="252"/>
      <c r="N488" s="217"/>
      <c r="O488" s="254"/>
      <c r="P488" s="266"/>
      <c r="Q488" s="271"/>
      <c r="R488" s="219" t="str">
        <f t="shared" si="15"/>
        <v/>
      </c>
      <c r="S488" s="188"/>
    </row>
    <row r="489" spans="1:19" ht="18" customHeight="1">
      <c r="A489" s="245"/>
      <c r="B489" s="246"/>
      <c r="C489" s="188"/>
      <c r="D489" s="245"/>
      <c r="E489" s="247"/>
      <c r="F489" s="245"/>
      <c r="G489" s="188"/>
      <c r="H489" s="267"/>
      <c r="J489" s="188"/>
      <c r="M489" s="252"/>
      <c r="N489" s="217"/>
      <c r="O489" s="254"/>
      <c r="P489" s="266"/>
      <c r="Q489" s="271"/>
      <c r="R489" s="219" t="str">
        <f t="shared" si="15"/>
        <v/>
      </c>
      <c r="S489" s="188"/>
    </row>
    <row r="490" spans="1:19" ht="18" customHeight="1">
      <c r="A490" s="245"/>
      <c r="B490" s="246"/>
      <c r="C490" s="188"/>
      <c r="D490" s="245"/>
      <c r="E490" s="247"/>
      <c r="F490" s="245"/>
      <c r="G490" s="188"/>
      <c r="H490" s="267"/>
      <c r="J490" s="188"/>
      <c r="M490" s="252"/>
      <c r="N490" s="217"/>
      <c r="O490" s="254"/>
      <c r="P490" s="266"/>
      <c r="Q490" s="271"/>
      <c r="R490" s="219" t="str">
        <f t="shared" si="15"/>
        <v/>
      </c>
      <c r="S490" s="188"/>
    </row>
    <row r="491" spans="1:19" ht="18" customHeight="1">
      <c r="A491" s="245"/>
      <c r="B491" s="246"/>
      <c r="C491" s="188"/>
      <c r="D491" s="245"/>
      <c r="E491" s="247"/>
      <c r="F491" s="245"/>
      <c r="G491" s="188"/>
      <c r="H491" s="267"/>
      <c r="J491" s="188"/>
      <c r="M491" s="252"/>
      <c r="N491" s="217"/>
      <c r="O491" s="254"/>
      <c r="P491" s="266"/>
      <c r="Q491" s="271"/>
      <c r="R491" s="219" t="str">
        <f t="shared" si="15"/>
        <v/>
      </c>
      <c r="S491" s="188"/>
    </row>
    <row r="492" spans="1:19" ht="18" customHeight="1">
      <c r="A492" s="245"/>
      <c r="B492" s="246"/>
      <c r="C492" s="188"/>
      <c r="D492" s="245"/>
      <c r="E492" s="247"/>
      <c r="F492" s="245"/>
      <c r="G492" s="188"/>
      <c r="H492" s="267"/>
      <c r="J492" s="188"/>
      <c r="M492" s="252"/>
      <c r="N492" s="217"/>
      <c r="O492" s="254"/>
      <c r="P492" s="266"/>
      <c r="Q492" s="271"/>
      <c r="R492" s="219" t="str">
        <f t="shared" si="15"/>
        <v/>
      </c>
      <c r="S492" s="188"/>
    </row>
    <row r="493" spans="1:19" ht="18" customHeight="1">
      <c r="A493" s="245"/>
      <c r="B493" s="246"/>
      <c r="C493" s="188"/>
      <c r="D493" s="245"/>
      <c r="E493" s="247"/>
      <c r="F493" s="245"/>
      <c r="G493" s="188"/>
      <c r="H493" s="267"/>
      <c r="J493" s="188"/>
      <c r="M493" s="252"/>
      <c r="N493" s="217"/>
      <c r="O493" s="254"/>
      <c r="P493" s="266"/>
      <c r="Q493" s="271"/>
      <c r="R493" s="219" t="str">
        <f t="shared" si="15"/>
        <v/>
      </c>
      <c r="S493" s="188"/>
    </row>
    <row r="494" spans="1:19" ht="18" customHeight="1">
      <c r="A494" s="245"/>
      <c r="B494" s="246"/>
      <c r="C494" s="188"/>
      <c r="D494" s="245"/>
      <c r="E494" s="247"/>
      <c r="F494" s="245"/>
      <c r="G494" s="188"/>
      <c r="H494" s="267"/>
      <c r="J494" s="188"/>
      <c r="M494" s="252"/>
      <c r="N494" s="217"/>
      <c r="O494" s="254"/>
      <c r="P494" s="266"/>
      <c r="Q494" s="271"/>
      <c r="R494" s="219" t="str">
        <f t="shared" si="15"/>
        <v/>
      </c>
      <c r="S494" s="188"/>
    </row>
    <row r="495" spans="1:19" ht="18" customHeight="1">
      <c r="A495" s="245"/>
      <c r="B495" s="246"/>
      <c r="C495" s="188"/>
      <c r="D495" s="245"/>
      <c r="E495" s="247"/>
      <c r="F495" s="245"/>
      <c r="G495" s="188"/>
      <c r="H495" s="267"/>
      <c r="J495" s="188"/>
      <c r="M495" s="252"/>
      <c r="N495" s="217"/>
      <c r="O495" s="254"/>
      <c r="P495" s="266"/>
      <c r="Q495" s="271"/>
      <c r="R495" s="219" t="str">
        <f t="shared" si="15"/>
        <v/>
      </c>
      <c r="S495" s="188"/>
    </row>
    <row r="496" spans="1:19" ht="18" customHeight="1">
      <c r="A496" s="245"/>
      <c r="B496" s="246"/>
      <c r="C496" s="188"/>
      <c r="D496" s="245"/>
      <c r="E496" s="247"/>
      <c r="F496" s="245"/>
      <c r="G496" s="188"/>
      <c r="H496" s="267"/>
      <c r="J496" s="188"/>
      <c r="M496" s="252"/>
      <c r="N496" s="217"/>
      <c r="O496" s="254"/>
      <c r="P496" s="266"/>
      <c r="Q496" s="271"/>
      <c r="R496" s="219" t="str">
        <f t="shared" si="15"/>
        <v/>
      </c>
      <c r="S496" s="188"/>
    </row>
    <row r="497" spans="1:19" ht="18" customHeight="1">
      <c r="A497" s="245"/>
      <c r="B497" s="246"/>
      <c r="C497" s="188"/>
      <c r="D497" s="245"/>
      <c r="E497" s="247"/>
      <c r="F497" s="245"/>
      <c r="G497" s="188"/>
      <c r="H497" s="267"/>
      <c r="J497" s="188"/>
      <c r="M497" s="252"/>
      <c r="N497" s="217"/>
      <c r="O497" s="254"/>
      <c r="P497" s="266"/>
      <c r="Q497" s="271"/>
      <c r="R497" s="219" t="str">
        <f t="shared" si="15"/>
        <v/>
      </c>
      <c r="S497" s="188"/>
    </row>
    <row r="498" spans="1:19" ht="18" customHeight="1">
      <c r="A498" s="245"/>
      <c r="B498" s="246"/>
      <c r="C498" s="188"/>
      <c r="D498" s="245"/>
      <c r="E498" s="247"/>
      <c r="F498" s="245"/>
      <c r="G498" s="188"/>
      <c r="H498" s="267"/>
      <c r="J498" s="188"/>
      <c r="M498" s="252"/>
      <c r="N498" s="217"/>
      <c r="O498" s="254"/>
      <c r="P498" s="266"/>
      <c r="Q498" s="271"/>
      <c r="R498" s="219" t="str">
        <f t="shared" si="15"/>
        <v/>
      </c>
      <c r="S498" s="188"/>
    </row>
    <row r="499" spans="1:19" ht="18" customHeight="1">
      <c r="A499" s="245"/>
      <c r="B499" s="246"/>
      <c r="C499" s="188"/>
      <c r="D499" s="245"/>
      <c r="E499" s="247"/>
      <c r="F499" s="245"/>
      <c r="G499" s="188"/>
      <c r="H499" s="267"/>
      <c r="J499" s="188"/>
      <c r="M499" s="252"/>
      <c r="N499" s="217"/>
      <c r="O499" s="254"/>
      <c r="P499" s="266"/>
      <c r="Q499" s="271"/>
      <c r="R499" s="219" t="str">
        <f t="shared" si="15"/>
        <v/>
      </c>
      <c r="S499" s="188"/>
    </row>
    <row r="500" spans="1:19" ht="18" customHeight="1">
      <c r="A500" s="245"/>
      <c r="B500" s="246"/>
      <c r="C500" s="188"/>
      <c r="D500" s="245"/>
      <c r="E500" s="247"/>
      <c r="F500" s="245"/>
      <c r="G500" s="188"/>
      <c r="H500" s="267"/>
      <c r="J500" s="188"/>
      <c r="M500" s="252"/>
      <c r="N500" s="217"/>
      <c r="O500" s="254"/>
      <c r="P500" s="266"/>
      <c r="Q500" s="271"/>
      <c r="R500" s="219" t="str">
        <f t="shared" si="15"/>
        <v/>
      </c>
      <c r="S500" s="188"/>
    </row>
    <row r="501" spans="1:19" ht="18" customHeight="1">
      <c r="A501" s="245"/>
      <c r="B501" s="246"/>
      <c r="C501" s="188"/>
      <c r="D501" s="245"/>
      <c r="E501" s="247"/>
      <c r="F501" s="245"/>
      <c r="G501" s="188"/>
      <c r="H501" s="267"/>
      <c r="J501" s="188"/>
      <c r="M501" s="252"/>
      <c r="N501" s="217"/>
      <c r="O501" s="254"/>
      <c r="P501" s="266"/>
      <c r="Q501" s="271"/>
      <c r="R501" s="219" t="str">
        <f t="shared" si="15"/>
        <v/>
      </c>
      <c r="S501" s="188"/>
    </row>
    <row r="502" spans="1:19" ht="18" customHeight="1">
      <c r="A502" s="245"/>
      <c r="B502" s="246"/>
      <c r="C502" s="188"/>
      <c r="D502" s="245"/>
      <c r="E502" s="247"/>
      <c r="F502" s="245"/>
      <c r="G502" s="188"/>
      <c r="H502" s="267"/>
      <c r="J502" s="188"/>
      <c r="M502" s="252"/>
      <c r="N502" s="217"/>
      <c r="O502" s="254"/>
      <c r="P502" s="266"/>
      <c r="Q502" s="271"/>
      <c r="R502" s="219" t="str">
        <f t="shared" si="15"/>
        <v/>
      </c>
      <c r="S502" s="188"/>
    </row>
    <row r="503" spans="1:19" ht="18" customHeight="1">
      <c r="A503" s="245"/>
      <c r="B503" s="246"/>
      <c r="C503" s="188"/>
      <c r="D503" s="245"/>
      <c r="E503" s="247"/>
      <c r="F503" s="245"/>
      <c r="G503" s="188"/>
      <c r="H503" s="267"/>
      <c r="J503" s="188"/>
      <c r="M503" s="252"/>
      <c r="N503" s="217"/>
      <c r="O503" s="254"/>
      <c r="P503" s="266"/>
      <c r="Q503" s="271"/>
      <c r="R503" s="219" t="str">
        <f t="shared" si="15"/>
        <v/>
      </c>
      <c r="S503" s="188"/>
    </row>
    <row r="504" spans="1:19" ht="18" customHeight="1">
      <c r="A504" s="245"/>
      <c r="B504" s="246"/>
      <c r="C504" s="188"/>
      <c r="D504" s="245"/>
      <c r="E504" s="247"/>
      <c r="F504" s="245"/>
      <c r="G504" s="188"/>
      <c r="H504" s="267"/>
      <c r="J504" s="188"/>
      <c r="M504" s="252"/>
      <c r="N504" s="217"/>
      <c r="O504" s="254"/>
      <c r="P504" s="266"/>
      <c r="Q504" s="271"/>
      <c r="R504" s="219" t="str">
        <f t="shared" si="15"/>
        <v/>
      </c>
      <c r="S504" s="188"/>
    </row>
    <row r="505" spans="1:19" ht="18" customHeight="1">
      <c r="A505" s="245"/>
      <c r="B505" s="246"/>
      <c r="C505" s="188"/>
      <c r="D505" s="245"/>
      <c r="E505" s="247"/>
      <c r="F505" s="245"/>
      <c r="G505" s="188"/>
      <c r="H505" s="267"/>
      <c r="J505" s="188"/>
      <c r="M505" s="252"/>
      <c r="N505" s="217"/>
      <c r="O505" s="254"/>
      <c r="P505" s="266"/>
      <c r="Q505" s="271"/>
      <c r="R505" s="219" t="str">
        <f t="shared" si="15"/>
        <v/>
      </c>
      <c r="S505" s="188"/>
    </row>
    <row r="506" spans="1:19" ht="18" customHeight="1">
      <c r="A506" s="245"/>
      <c r="B506" s="246"/>
      <c r="C506" s="188"/>
      <c r="D506" s="245"/>
      <c r="E506" s="247"/>
      <c r="F506" s="245"/>
      <c r="G506" s="188"/>
      <c r="H506" s="267"/>
      <c r="J506" s="188"/>
      <c r="M506" s="252"/>
      <c r="N506" s="217"/>
      <c r="O506" s="254"/>
      <c r="P506" s="266"/>
      <c r="Q506" s="271"/>
      <c r="R506" s="219" t="str">
        <f t="shared" si="15"/>
        <v/>
      </c>
      <c r="S506" s="188"/>
    </row>
    <row r="507" spans="1:19" ht="18" customHeight="1">
      <c r="A507" s="245"/>
      <c r="B507" s="246"/>
      <c r="C507" s="188"/>
      <c r="D507" s="245"/>
      <c r="E507" s="247"/>
      <c r="F507" s="245"/>
      <c r="G507" s="188"/>
      <c r="H507" s="267"/>
      <c r="J507" s="188"/>
      <c r="M507" s="252"/>
      <c r="N507" s="217"/>
      <c r="O507" s="254"/>
      <c r="P507" s="266"/>
      <c r="Q507" s="271"/>
      <c r="R507" s="219" t="str">
        <f t="shared" si="15"/>
        <v/>
      </c>
      <c r="S507" s="188"/>
    </row>
    <row r="508" spans="1:19" ht="18" customHeight="1">
      <c r="A508" s="245"/>
      <c r="B508" s="246"/>
      <c r="C508" s="188"/>
      <c r="D508" s="245"/>
      <c r="E508" s="247"/>
      <c r="F508" s="245"/>
      <c r="G508" s="188"/>
      <c r="H508" s="267"/>
      <c r="J508" s="188"/>
      <c r="M508" s="252"/>
      <c r="N508" s="217"/>
      <c r="O508" s="254"/>
      <c r="P508" s="266"/>
      <c r="Q508" s="271"/>
      <c r="R508" s="219" t="str">
        <f t="shared" si="15"/>
        <v/>
      </c>
      <c r="S508" s="188"/>
    </row>
    <row r="509" spans="1:19" ht="18" customHeight="1">
      <c r="A509" s="245"/>
      <c r="B509" s="246"/>
      <c r="C509" s="188"/>
      <c r="D509" s="245"/>
      <c r="E509" s="247"/>
      <c r="F509" s="245"/>
      <c r="G509" s="188"/>
      <c r="H509" s="267"/>
      <c r="J509" s="188"/>
      <c r="M509" s="252"/>
      <c r="N509" s="217"/>
      <c r="O509" s="254"/>
      <c r="P509" s="266"/>
      <c r="Q509" s="271"/>
      <c r="R509" s="219" t="str">
        <f t="shared" si="15"/>
        <v/>
      </c>
      <c r="S509" s="188"/>
    </row>
    <row r="510" spans="1:19" ht="18" customHeight="1">
      <c r="A510" s="245"/>
      <c r="B510" s="246"/>
      <c r="C510" s="188"/>
      <c r="D510" s="245"/>
      <c r="E510" s="247"/>
      <c r="F510" s="245"/>
      <c r="G510" s="188"/>
      <c r="H510" s="267"/>
      <c r="J510" s="188"/>
      <c r="M510" s="252"/>
      <c r="N510" s="217"/>
      <c r="O510" s="254"/>
      <c r="P510" s="266"/>
      <c r="Q510" s="271"/>
      <c r="R510" s="219" t="str">
        <f t="shared" si="15"/>
        <v/>
      </c>
      <c r="S510" s="188"/>
    </row>
    <row r="511" spans="1:19" ht="18" customHeight="1">
      <c r="A511" s="245"/>
      <c r="B511" s="246"/>
      <c r="C511" s="188"/>
      <c r="D511" s="245"/>
      <c r="E511" s="247"/>
      <c r="F511" s="245"/>
      <c r="G511" s="188"/>
      <c r="H511" s="267"/>
      <c r="J511" s="188"/>
      <c r="M511" s="252"/>
      <c r="N511" s="217"/>
      <c r="O511" s="254"/>
      <c r="P511" s="266"/>
      <c r="Q511" s="271"/>
      <c r="R511" s="219" t="str">
        <f t="shared" si="15"/>
        <v/>
      </c>
      <c r="S511" s="188"/>
    </row>
    <row r="512" spans="1:19" ht="18" customHeight="1">
      <c r="A512" s="245"/>
      <c r="B512" s="246"/>
      <c r="C512" s="188"/>
      <c r="D512" s="245"/>
      <c r="E512" s="247"/>
      <c r="F512" s="245"/>
      <c r="G512" s="188"/>
      <c r="H512" s="267"/>
      <c r="J512" s="188"/>
      <c r="M512" s="252"/>
      <c r="N512" s="217"/>
      <c r="O512" s="254"/>
      <c r="P512" s="266"/>
      <c r="Q512" s="271"/>
      <c r="R512" s="219" t="str">
        <f t="shared" si="15"/>
        <v/>
      </c>
      <c r="S512" s="188"/>
    </row>
    <row r="513" spans="1:19" ht="18" customHeight="1">
      <c r="A513" s="245"/>
      <c r="B513" s="246"/>
      <c r="C513" s="188"/>
      <c r="D513" s="245"/>
      <c r="E513" s="247"/>
      <c r="F513" s="245"/>
      <c r="G513" s="188"/>
      <c r="H513" s="267"/>
      <c r="J513" s="188"/>
      <c r="M513" s="252"/>
      <c r="N513" s="217"/>
      <c r="O513" s="254"/>
      <c r="P513" s="266"/>
      <c r="Q513" s="271"/>
      <c r="R513" s="219" t="str">
        <f t="shared" si="15"/>
        <v/>
      </c>
      <c r="S513" s="188"/>
    </row>
    <row r="514" spans="1:19" ht="18" customHeight="1">
      <c r="A514" s="245"/>
      <c r="B514" s="246"/>
      <c r="C514" s="188"/>
      <c r="D514" s="245"/>
      <c r="E514" s="247"/>
      <c r="F514" s="245"/>
      <c r="G514" s="188"/>
      <c r="H514" s="267"/>
      <c r="J514" s="188"/>
      <c r="M514" s="252"/>
      <c r="N514" s="217"/>
      <c r="O514" s="254"/>
      <c r="P514" s="266"/>
      <c r="Q514" s="271"/>
      <c r="R514" s="219" t="str">
        <f t="shared" si="15"/>
        <v/>
      </c>
      <c r="S514" s="188"/>
    </row>
    <row r="515" spans="1:19" ht="18" customHeight="1">
      <c r="A515" s="245"/>
      <c r="B515" s="246"/>
      <c r="C515" s="188"/>
      <c r="D515" s="245"/>
      <c r="E515" s="247"/>
      <c r="F515" s="245"/>
      <c r="G515" s="188"/>
      <c r="H515" s="267"/>
      <c r="J515" s="188"/>
      <c r="M515" s="252"/>
      <c r="N515" s="217"/>
      <c r="O515" s="254"/>
      <c r="P515" s="266"/>
      <c r="Q515" s="271"/>
      <c r="R515" s="219" t="str">
        <f t="shared" si="15"/>
        <v/>
      </c>
      <c r="S515" s="188"/>
    </row>
    <row r="516" spans="1:19" ht="18" customHeight="1">
      <c r="A516" s="245"/>
      <c r="B516" s="246"/>
      <c r="C516" s="188"/>
      <c r="D516" s="245"/>
      <c r="E516" s="247"/>
      <c r="F516" s="245"/>
      <c r="G516" s="188"/>
      <c r="H516" s="267"/>
      <c r="J516" s="188"/>
      <c r="M516" s="252"/>
      <c r="N516" s="217"/>
      <c r="O516" s="254"/>
      <c r="P516" s="266"/>
      <c r="Q516" s="271"/>
      <c r="R516" s="219" t="str">
        <f t="shared" si="15"/>
        <v/>
      </c>
      <c r="S516" s="188"/>
    </row>
    <row r="517" spans="1:19" ht="18" customHeight="1">
      <c r="A517" s="245"/>
      <c r="B517" s="246"/>
      <c r="C517" s="188"/>
      <c r="D517" s="245"/>
      <c r="E517" s="247"/>
      <c r="F517" s="245"/>
      <c r="G517" s="188"/>
      <c r="H517" s="267"/>
      <c r="J517" s="188"/>
      <c r="M517" s="252"/>
      <c r="N517" s="217"/>
      <c r="O517" s="254"/>
      <c r="P517" s="266"/>
      <c r="Q517" s="271"/>
      <c r="R517" s="219" t="str">
        <f t="shared" si="15"/>
        <v/>
      </c>
      <c r="S517" s="188"/>
    </row>
    <row r="518" spans="1:19" ht="18" customHeight="1">
      <c r="A518" s="245"/>
      <c r="B518" s="246"/>
      <c r="C518" s="188"/>
      <c r="D518" s="245"/>
      <c r="E518" s="247"/>
      <c r="F518" s="245"/>
      <c r="G518" s="188"/>
      <c r="H518" s="267"/>
      <c r="J518" s="188"/>
      <c r="M518" s="252"/>
      <c r="N518" s="217"/>
      <c r="O518" s="254"/>
      <c r="P518" s="266"/>
      <c r="Q518" s="271"/>
      <c r="R518" s="219" t="str">
        <f t="shared" si="15"/>
        <v/>
      </c>
      <c r="S518" s="188"/>
    </row>
    <row r="519" spans="1:19" ht="18" customHeight="1">
      <c r="A519" s="245"/>
      <c r="B519" s="246"/>
      <c r="C519" s="188"/>
      <c r="D519" s="245"/>
      <c r="E519" s="247"/>
      <c r="F519" s="245"/>
      <c r="G519" s="188"/>
      <c r="H519" s="267"/>
      <c r="J519" s="188"/>
      <c r="M519" s="252"/>
      <c r="N519" s="217"/>
      <c r="O519" s="254"/>
      <c r="P519" s="266"/>
      <c r="Q519" s="271"/>
      <c r="R519" s="219" t="str">
        <f t="shared" si="15"/>
        <v/>
      </c>
      <c r="S519" s="188"/>
    </row>
    <row r="520" spans="1:19" ht="18" customHeight="1">
      <c r="A520" s="245"/>
      <c r="B520" s="246"/>
      <c r="C520" s="188"/>
      <c r="D520" s="245"/>
      <c r="E520" s="247"/>
      <c r="F520" s="245"/>
      <c r="G520" s="188"/>
      <c r="H520" s="267"/>
      <c r="J520" s="188"/>
      <c r="M520" s="252"/>
      <c r="N520" s="217"/>
      <c r="O520" s="254"/>
      <c r="P520" s="266"/>
      <c r="Q520" s="271"/>
      <c r="R520" s="219" t="str">
        <f t="shared" si="15"/>
        <v/>
      </c>
      <c r="S520" s="188"/>
    </row>
    <row r="521" spans="1:19" ht="18" customHeight="1">
      <c r="A521" s="245"/>
      <c r="B521" s="246"/>
      <c r="C521" s="188"/>
      <c r="D521" s="245"/>
      <c r="E521" s="247"/>
      <c r="F521" s="245"/>
      <c r="G521" s="188"/>
      <c r="H521" s="267"/>
      <c r="J521" s="188"/>
      <c r="M521" s="252"/>
      <c r="N521" s="217"/>
      <c r="O521" s="254"/>
      <c r="P521" s="266"/>
      <c r="Q521" s="271"/>
      <c r="R521" s="219" t="str">
        <f t="shared" si="15"/>
        <v/>
      </c>
      <c r="S521" s="188"/>
    </row>
    <row r="522" spans="1:19" ht="18" customHeight="1">
      <c r="A522" s="245"/>
      <c r="B522" s="246"/>
      <c r="C522" s="188"/>
      <c r="D522" s="245"/>
      <c r="E522" s="247"/>
      <c r="F522" s="245"/>
      <c r="G522" s="188"/>
      <c r="H522" s="267"/>
      <c r="J522" s="188"/>
      <c r="M522" s="252"/>
      <c r="N522" s="217"/>
      <c r="O522" s="254"/>
      <c r="P522" s="266"/>
      <c r="Q522" s="271"/>
      <c r="R522" s="219" t="str">
        <f t="shared" si="15"/>
        <v/>
      </c>
      <c r="S522" s="188"/>
    </row>
    <row r="523" spans="1:19" ht="18" customHeight="1">
      <c r="A523" s="245"/>
      <c r="B523" s="246"/>
      <c r="C523" s="188"/>
      <c r="D523" s="245"/>
      <c r="E523" s="247"/>
      <c r="F523" s="245"/>
      <c r="G523" s="188"/>
      <c r="H523" s="267"/>
      <c r="J523" s="188"/>
      <c r="M523" s="252"/>
      <c r="N523" s="217"/>
      <c r="O523" s="254"/>
      <c r="P523" s="266"/>
      <c r="Q523" s="271"/>
      <c r="R523" s="219" t="str">
        <f t="shared" si="15"/>
        <v/>
      </c>
      <c r="S523" s="188"/>
    </row>
    <row r="524" spans="1:19" ht="18" customHeight="1">
      <c r="A524" s="245"/>
      <c r="B524" s="246"/>
      <c r="C524" s="188"/>
      <c r="D524" s="245"/>
      <c r="E524" s="247"/>
      <c r="F524" s="245"/>
      <c r="G524" s="188"/>
      <c r="H524" s="267"/>
      <c r="J524" s="188"/>
      <c r="M524" s="252"/>
      <c r="N524" s="217"/>
      <c r="O524" s="254"/>
      <c r="P524" s="266"/>
      <c r="Q524" s="271"/>
      <c r="R524" s="219" t="str">
        <f t="shared" si="15"/>
        <v/>
      </c>
      <c r="S524" s="188"/>
    </row>
    <row r="525" spans="1:19" ht="18" customHeight="1">
      <c r="A525" s="245"/>
      <c r="B525" s="246"/>
      <c r="C525" s="188"/>
      <c r="D525" s="245"/>
      <c r="E525" s="247"/>
      <c r="F525" s="245"/>
      <c r="G525" s="188"/>
      <c r="H525" s="267"/>
      <c r="J525" s="188"/>
      <c r="M525" s="252"/>
      <c r="N525" s="217"/>
      <c r="O525" s="254"/>
      <c r="P525" s="266"/>
      <c r="Q525" s="271"/>
      <c r="R525" s="219" t="str">
        <f t="shared" si="15"/>
        <v/>
      </c>
      <c r="S525" s="188"/>
    </row>
    <row r="526" spans="1:19" ht="18" customHeight="1">
      <c r="A526" s="245"/>
      <c r="B526" s="246"/>
      <c r="C526" s="188"/>
      <c r="D526" s="245"/>
      <c r="E526" s="247"/>
      <c r="F526" s="245"/>
      <c r="G526" s="188"/>
      <c r="H526" s="267"/>
      <c r="J526" s="188"/>
      <c r="M526" s="252"/>
      <c r="N526" s="217"/>
      <c r="O526" s="254"/>
      <c r="P526" s="266"/>
      <c r="Q526" s="271"/>
      <c r="R526" s="219" t="str">
        <f t="shared" si="15"/>
        <v/>
      </c>
      <c r="S526" s="188"/>
    </row>
    <row r="527" spans="1:19" ht="18" customHeight="1">
      <c r="A527" s="245"/>
      <c r="B527" s="246"/>
      <c r="C527" s="188"/>
      <c r="D527" s="245"/>
      <c r="E527" s="247"/>
      <c r="F527" s="245"/>
      <c r="G527" s="188"/>
      <c r="H527" s="267"/>
      <c r="J527" s="188"/>
      <c r="M527" s="252"/>
      <c r="N527" s="217"/>
      <c r="O527" s="254"/>
      <c r="P527" s="266"/>
      <c r="Q527" s="271"/>
      <c r="R527" s="219" t="str">
        <f t="shared" si="15"/>
        <v/>
      </c>
      <c r="S527" s="188"/>
    </row>
    <row r="528" spans="1:19" ht="18" customHeight="1">
      <c r="A528" s="245"/>
      <c r="B528" s="246"/>
      <c r="C528" s="188"/>
      <c r="D528" s="245"/>
      <c r="E528" s="247"/>
      <c r="F528" s="245"/>
      <c r="G528" s="188"/>
      <c r="H528" s="267"/>
      <c r="J528" s="188"/>
      <c r="M528" s="252"/>
      <c r="N528" s="217"/>
      <c r="O528" s="254"/>
      <c r="P528" s="266"/>
      <c r="Q528" s="271"/>
      <c r="R528" s="219" t="str">
        <f t="shared" si="15"/>
        <v/>
      </c>
      <c r="S528" s="188"/>
    </row>
    <row r="529" spans="1:19" ht="18" customHeight="1">
      <c r="A529" s="245"/>
      <c r="B529" s="246"/>
      <c r="C529" s="188"/>
      <c r="D529" s="245"/>
      <c r="E529" s="247"/>
      <c r="F529" s="245"/>
      <c r="G529" s="188"/>
      <c r="H529" s="267"/>
      <c r="J529" s="188"/>
      <c r="M529" s="252"/>
      <c r="N529" s="217"/>
      <c r="O529" s="254"/>
      <c r="P529" s="266"/>
      <c r="Q529" s="271"/>
      <c r="R529" s="219" t="str">
        <f t="shared" si="15"/>
        <v/>
      </c>
      <c r="S529" s="188"/>
    </row>
    <row r="530" spans="1:19" ht="18" customHeight="1">
      <c r="A530" s="245"/>
      <c r="B530" s="246"/>
      <c r="C530" s="188"/>
      <c r="D530" s="245"/>
      <c r="E530" s="247"/>
      <c r="F530" s="245"/>
      <c r="G530" s="188"/>
      <c r="H530" s="267"/>
      <c r="J530" s="188"/>
      <c r="M530" s="252"/>
      <c r="N530" s="217"/>
      <c r="O530" s="254"/>
      <c r="P530" s="266"/>
      <c r="Q530" s="271"/>
      <c r="R530" s="219" t="str">
        <f t="shared" si="15"/>
        <v/>
      </c>
      <c r="S530" s="188"/>
    </row>
    <row r="531" spans="1:19" ht="18" customHeight="1">
      <c r="A531" s="245"/>
      <c r="B531" s="246"/>
      <c r="C531" s="188"/>
      <c r="D531" s="245"/>
      <c r="E531" s="247"/>
      <c r="F531" s="245"/>
      <c r="G531" s="188"/>
      <c r="H531" s="267"/>
      <c r="J531" s="188"/>
      <c r="M531" s="252"/>
      <c r="N531" s="217"/>
      <c r="O531" s="254"/>
      <c r="P531" s="266"/>
      <c r="Q531" s="271"/>
      <c r="R531" s="219" t="str">
        <f t="shared" si="15"/>
        <v/>
      </c>
      <c r="S531" s="188"/>
    </row>
    <row r="532" spans="1:19" ht="18" customHeight="1">
      <c r="A532" s="245"/>
      <c r="B532" s="246"/>
      <c r="C532" s="188"/>
      <c r="D532" s="245"/>
      <c r="E532" s="247"/>
      <c r="F532" s="245"/>
      <c r="G532" s="188"/>
      <c r="H532" s="267"/>
      <c r="J532" s="188"/>
      <c r="M532" s="252"/>
      <c r="N532" s="217"/>
      <c r="O532" s="254"/>
      <c r="P532" s="266"/>
      <c r="Q532" s="271"/>
      <c r="R532" s="219" t="str">
        <f t="shared" si="15"/>
        <v/>
      </c>
      <c r="S532" s="188"/>
    </row>
    <row r="533" spans="1:19" ht="18" customHeight="1">
      <c r="A533" s="245"/>
      <c r="B533" s="246"/>
      <c r="C533" s="188"/>
      <c r="D533" s="245"/>
      <c r="E533" s="247"/>
      <c r="F533" s="245"/>
      <c r="G533" s="188"/>
      <c r="H533" s="267"/>
      <c r="J533" s="188"/>
      <c r="M533" s="252"/>
      <c r="N533" s="217"/>
      <c r="O533" s="254"/>
      <c r="P533" s="266"/>
      <c r="Q533" s="271"/>
      <c r="R533" s="219" t="str">
        <f t="shared" si="15"/>
        <v/>
      </c>
      <c r="S533" s="188"/>
    </row>
    <row r="534" spans="1:19" ht="18" customHeight="1">
      <c r="A534" s="245"/>
      <c r="B534" s="246"/>
      <c r="C534" s="188"/>
      <c r="D534" s="245"/>
      <c r="E534" s="247"/>
      <c r="F534" s="245"/>
      <c r="G534" s="188"/>
      <c r="H534" s="267"/>
      <c r="J534" s="188"/>
      <c r="M534" s="252"/>
      <c r="N534" s="217"/>
      <c r="O534" s="254"/>
      <c r="P534" s="266"/>
      <c r="Q534" s="271"/>
      <c r="R534" s="219" t="str">
        <f t="shared" si="15"/>
        <v/>
      </c>
      <c r="S534" s="188"/>
    </row>
    <row r="535" spans="1:19" ht="18" customHeight="1">
      <c r="A535" s="245"/>
      <c r="B535" s="246"/>
      <c r="C535" s="188"/>
      <c r="D535" s="245"/>
      <c r="E535" s="247"/>
      <c r="F535" s="245"/>
      <c r="G535" s="188"/>
      <c r="H535" s="267"/>
      <c r="J535" s="188"/>
      <c r="M535" s="252"/>
      <c r="N535" s="217"/>
      <c r="O535" s="254"/>
      <c r="P535" s="266"/>
      <c r="Q535" s="271"/>
      <c r="R535" s="219" t="str">
        <f t="shared" si="15"/>
        <v/>
      </c>
      <c r="S535" s="188"/>
    </row>
    <row r="536" spans="1:19" ht="18" customHeight="1">
      <c r="A536" s="245"/>
      <c r="B536" s="246"/>
      <c r="C536" s="188"/>
      <c r="D536" s="245"/>
      <c r="E536" s="247"/>
      <c r="F536" s="245"/>
      <c r="G536" s="188"/>
      <c r="H536" s="267"/>
      <c r="J536" s="188"/>
      <c r="M536" s="252"/>
      <c r="N536" s="217"/>
      <c r="O536" s="254"/>
      <c r="P536" s="266"/>
      <c r="Q536" s="271"/>
      <c r="R536" s="219" t="str">
        <f t="shared" si="15"/>
        <v/>
      </c>
      <c r="S536" s="188"/>
    </row>
    <row r="537" spans="1:19" ht="18" customHeight="1">
      <c r="A537" s="245"/>
      <c r="B537" s="246"/>
      <c r="C537" s="188"/>
      <c r="D537" s="245"/>
      <c r="E537" s="247"/>
      <c r="F537" s="245"/>
      <c r="G537" s="188"/>
      <c r="H537" s="267"/>
      <c r="J537" s="188"/>
      <c r="M537" s="252"/>
      <c r="N537" s="217"/>
      <c r="O537" s="254"/>
      <c r="P537" s="266"/>
      <c r="Q537" s="271"/>
      <c r="R537" s="219" t="str">
        <f t="shared" si="15"/>
        <v/>
      </c>
      <c r="S537" s="188"/>
    </row>
    <row r="538" spans="1:19" ht="18" customHeight="1">
      <c r="A538" s="245"/>
      <c r="B538" s="246"/>
      <c r="C538" s="188"/>
      <c r="D538" s="245"/>
      <c r="E538" s="247"/>
      <c r="F538" s="245"/>
      <c r="G538" s="188"/>
      <c r="H538" s="267"/>
      <c r="J538" s="188"/>
      <c r="M538" s="252"/>
      <c r="N538" s="217"/>
      <c r="O538" s="254"/>
      <c r="P538" s="266"/>
      <c r="Q538" s="271"/>
      <c r="R538" s="219" t="str">
        <f t="shared" si="15"/>
        <v/>
      </c>
      <c r="S538" s="188"/>
    </row>
    <row r="539" spans="1:19" ht="18" customHeight="1">
      <c r="A539" s="245"/>
      <c r="B539" s="246"/>
      <c r="C539" s="188"/>
      <c r="D539" s="245"/>
      <c r="E539" s="247"/>
      <c r="F539" s="245"/>
      <c r="G539" s="188"/>
      <c r="H539" s="267"/>
      <c r="J539" s="188"/>
      <c r="M539" s="252"/>
      <c r="N539" s="217"/>
      <c r="O539" s="254"/>
      <c r="P539" s="266"/>
      <c r="Q539" s="271"/>
      <c r="R539" s="219" t="str">
        <f t="shared" si="15"/>
        <v/>
      </c>
      <c r="S539" s="188"/>
    </row>
    <row r="540" spans="1:19" ht="18" customHeight="1">
      <c r="A540" s="245"/>
      <c r="B540" s="246"/>
      <c r="C540" s="188"/>
      <c r="D540" s="245"/>
      <c r="E540" s="247"/>
      <c r="F540" s="245"/>
      <c r="G540" s="188"/>
      <c r="H540" s="267"/>
      <c r="J540" s="188"/>
      <c r="M540" s="252"/>
      <c r="N540" s="217"/>
      <c r="O540" s="254"/>
      <c r="P540" s="266"/>
      <c r="Q540" s="271"/>
      <c r="R540" s="219" t="str">
        <f t="shared" si="15"/>
        <v/>
      </c>
      <c r="S540" s="188"/>
    </row>
    <row r="541" spans="1:19" ht="18" customHeight="1">
      <c r="A541" s="245"/>
      <c r="B541" s="246"/>
      <c r="C541" s="188"/>
      <c r="D541" s="245"/>
      <c r="E541" s="247"/>
      <c r="F541" s="245"/>
      <c r="G541" s="188"/>
      <c r="H541" s="267"/>
      <c r="J541" s="188"/>
      <c r="M541" s="252"/>
      <c r="N541" s="217"/>
      <c r="O541" s="254"/>
      <c r="P541" s="266"/>
      <c r="Q541" s="271"/>
      <c r="R541" s="219" t="str">
        <f t="shared" si="15"/>
        <v/>
      </c>
      <c r="S541" s="188"/>
    </row>
    <row r="542" spans="1:19" ht="18" customHeight="1">
      <c r="A542" s="245"/>
      <c r="B542" s="246"/>
      <c r="C542" s="188"/>
      <c r="D542" s="245"/>
      <c r="E542" s="247"/>
      <c r="F542" s="245"/>
      <c r="G542" s="188"/>
      <c r="H542" s="267"/>
      <c r="J542" s="188"/>
      <c r="M542" s="252"/>
      <c r="N542" s="217"/>
      <c r="O542" s="254"/>
      <c r="P542" s="266"/>
      <c r="Q542" s="271"/>
      <c r="R542" s="219" t="str">
        <f t="shared" si="15"/>
        <v/>
      </c>
      <c r="S542" s="188"/>
    </row>
    <row r="543" spans="1:19" ht="18" customHeight="1">
      <c r="A543" s="245"/>
      <c r="B543" s="246"/>
      <c r="C543" s="188"/>
      <c r="D543" s="245"/>
      <c r="E543" s="247"/>
      <c r="F543" s="245"/>
      <c r="G543" s="188"/>
      <c r="H543" s="267"/>
      <c r="J543" s="188"/>
      <c r="M543" s="252"/>
      <c r="N543" s="217"/>
      <c r="O543" s="254"/>
      <c r="P543" s="266"/>
      <c r="Q543" s="271"/>
      <c r="R543" s="219" t="str">
        <f t="shared" si="15"/>
        <v/>
      </c>
      <c r="S543" s="188"/>
    </row>
    <row r="544" spans="1:19" ht="18" customHeight="1">
      <c r="A544" s="245"/>
      <c r="B544" s="246"/>
      <c r="C544" s="188"/>
      <c r="D544" s="245"/>
      <c r="E544" s="247"/>
      <c r="F544" s="245"/>
      <c r="G544" s="188"/>
      <c r="H544" s="267"/>
      <c r="J544" s="188"/>
      <c r="M544" s="252"/>
      <c r="N544" s="217"/>
      <c r="O544" s="254"/>
      <c r="P544" s="266"/>
      <c r="Q544" s="271"/>
      <c r="R544" s="219" t="str">
        <f t="shared" si="15"/>
        <v/>
      </c>
      <c r="S544" s="188"/>
    </row>
    <row r="545" spans="1:19" ht="18" customHeight="1">
      <c r="A545" s="245"/>
      <c r="B545" s="246"/>
      <c r="C545" s="188"/>
      <c r="D545" s="245"/>
      <c r="E545" s="247"/>
      <c r="F545" s="245"/>
      <c r="G545" s="188"/>
      <c r="H545" s="267"/>
      <c r="J545" s="188"/>
      <c r="M545" s="252"/>
      <c r="N545" s="217"/>
      <c r="O545" s="254"/>
      <c r="P545" s="266"/>
      <c r="Q545" s="271"/>
      <c r="R545" s="219" t="str">
        <f t="shared" si="15"/>
        <v/>
      </c>
      <c r="S545" s="188"/>
    </row>
    <row r="546" spans="1:19" ht="18" customHeight="1">
      <c r="A546" s="245"/>
      <c r="B546" s="246"/>
      <c r="C546" s="188"/>
      <c r="D546" s="245"/>
      <c r="E546" s="247"/>
      <c r="F546" s="245"/>
      <c r="G546" s="188"/>
      <c r="H546" s="267"/>
      <c r="J546" s="188"/>
      <c r="M546" s="252"/>
      <c r="N546" s="217"/>
      <c r="O546" s="254"/>
      <c r="P546" s="266"/>
      <c r="Q546" s="271"/>
      <c r="R546" s="219" t="str">
        <f t="shared" si="15"/>
        <v/>
      </c>
      <c r="S546" s="188"/>
    </row>
    <row r="547" spans="1:19" ht="18" customHeight="1">
      <c r="A547" s="245"/>
      <c r="B547" s="246"/>
      <c r="C547" s="188"/>
      <c r="D547" s="245"/>
      <c r="E547" s="247"/>
      <c r="F547" s="245"/>
      <c r="G547" s="188"/>
      <c r="H547" s="267"/>
      <c r="J547" s="188"/>
      <c r="M547" s="252"/>
      <c r="N547" s="217"/>
      <c r="O547" s="254"/>
      <c r="P547" s="266"/>
      <c r="Q547" s="271"/>
      <c r="R547" s="219" t="str">
        <f t="shared" ref="R547:R610" si="16">IF(SUM(Q547)&gt;0,SUM(Q547-P547),"")</f>
        <v/>
      </c>
      <c r="S547" s="188"/>
    </row>
    <row r="548" spans="1:19" ht="18" customHeight="1">
      <c r="A548" s="245"/>
      <c r="B548" s="246"/>
      <c r="C548" s="188"/>
      <c r="D548" s="245"/>
      <c r="E548" s="247"/>
      <c r="F548" s="245"/>
      <c r="G548" s="188"/>
      <c r="H548" s="267"/>
      <c r="J548" s="188"/>
      <c r="M548" s="252"/>
      <c r="N548" s="217"/>
      <c r="O548" s="254"/>
      <c r="P548" s="266"/>
      <c r="Q548" s="271"/>
      <c r="R548" s="219" t="str">
        <f t="shared" si="16"/>
        <v/>
      </c>
      <c r="S548" s="188"/>
    </row>
    <row r="549" spans="1:19" ht="18" customHeight="1">
      <c r="A549" s="245"/>
      <c r="B549" s="246"/>
      <c r="C549" s="188"/>
      <c r="D549" s="245"/>
      <c r="E549" s="247"/>
      <c r="F549" s="245"/>
      <c r="G549" s="188"/>
      <c r="H549" s="267"/>
      <c r="J549" s="188"/>
      <c r="M549" s="252"/>
      <c r="N549" s="217"/>
      <c r="O549" s="254"/>
      <c r="P549" s="266"/>
      <c r="Q549" s="271"/>
      <c r="R549" s="219" t="str">
        <f t="shared" si="16"/>
        <v/>
      </c>
      <c r="S549" s="188"/>
    </row>
    <row r="550" spans="1:19" ht="18" customHeight="1">
      <c r="A550" s="245"/>
      <c r="B550" s="246"/>
      <c r="C550" s="188"/>
      <c r="D550" s="245"/>
      <c r="E550" s="247"/>
      <c r="F550" s="245"/>
      <c r="G550" s="188"/>
      <c r="H550" s="267"/>
      <c r="J550" s="188"/>
      <c r="M550" s="252"/>
      <c r="N550" s="217"/>
      <c r="O550" s="254"/>
      <c r="P550" s="266"/>
      <c r="Q550" s="271"/>
      <c r="R550" s="219" t="str">
        <f t="shared" si="16"/>
        <v/>
      </c>
      <c r="S550" s="188"/>
    </row>
    <row r="551" spans="1:19" ht="18" customHeight="1">
      <c r="A551" s="245"/>
      <c r="B551" s="246"/>
      <c r="C551" s="188"/>
      <c r="D551" s="245"/>
      <c r="E551" s="247"/>
      <c r="F551" s="245"/>
      <c r="G551" s="188"/>
      <c r="H551" s="267"/>
      <c r="J551" s="188"/>
      <c r="M551" s="252"/>
      <c r="N551" s="217"/>
      <c r="O551" s="254"/>
      <c r="P551" s="266"/>
      <c r="Q551" s="271"/>
      <c r="R551" s="219" t="str">
        <f t="shared" si="16"/>
        <v/>
      </c>
      <c r="S551" s="188"/>
    </row>
    <row r="552" spans="1:19" ht="18" customHeight="1">
      <c r="A552" s="245"/>
      <c r="B552" s="246"/>
      <c r="C552" s="188"/>
      <c r="D552" s="245"/>
      <c r="E552" s="247"/>
      <c r="F552" s="245"/>
      <c r="G552" s="188"/>
      <c r="H552" s="267"/>
      <c r="J552" s="188"/>
      <c r="M552" s="252"/>
      <c r="N552" s="217"/>
      <c r="O552" s="254"/>
      <c r="P552" s="266"/>
      <c r="Q552" s="271"/>
      <c r="R552" s="219" t="str">
        <f t="shared" si="16"/>
        <v/>
      </c>
      <c r="S552" s="188"/>
    </row>
    <row r="553" spans="1:19" ht="18" customHeight="1">
      <c r="A553" s="245"/>
      <c r="B553" s="246"/>
      <c r="C553" s="188"/>
      <c r="D553" s="245"/>
      <c r="E553" s="247"/>
      <c r="F553" s="245"/>
      <c r="G553" s="188"/>
      <c r="H553" s="267"/>
      <c r="J553" s="188"/>
      <c r="M553" s="252"/>
      <c r="N553" s="217"/>
      <c r="O553" s="254"/>
      <c r="P553" s="266"/>
      <c r="Q553" s="271"/>
      <c r="R553" s="219" t="str">
        <f t="shared" si="16"/>
        <v/>
      </c>
      <c r="S553" s="188"/>
    </row>
    <row r="554" spans="1:19" ht="18" customHeight="1">
      <c r="A554" s="245"/>
      <c r="B554" s="246"/>
      <c r="C554" s="188"/>
      <c r="D554" s="245"/>
      <c r="E554" s="247"/>
      <c r="F554" s="245"/>
      <c r="G554" s="188"/>
      <c r="H554" s="267"/>
      <c r="J554" s="188"/>
      <c r="M554" s="252"/>
      <c r="N554" s="217"/>
      <c r="O554" s="254"/>
      <c r="P554" s="266"/>
      <c r="Q554" s="271"/>
      <c r="R554" s="219" t="str">
        <f t="shared" si="16"/>
        <v/>
      </c>
      <c r="S554" s="188"/>
    </row>
    <row r="555" spans="1:19" ht="18" customHeight="1">
      <c r="A555" s="245"/>
      <c r="B555" s="246"/>
      <c r="C555" s="188"/>
      <c r="D555" s="245"/>
      <c r="E555" s="247"/>
      <c r="F555" s="245"/>
      <c r="G555" s="188"/>
      <c r="H555" s="267"/>
      <c r="J555" s="188"/>
      <c r="M555" s="252"/>
      <c r="N555" s="217"/>
      <c r="O555" s="254"/>
      <c r="P555" s="266"/>
      <c r="Q555" s="271"/>
      <c r="R555" s="219" t="str">
        <f t="shared" si="16"/>
        <v/>
      </c>
      <c r="S555" s="188"/>
    </row>
    <row r="556" spans="1:19" ht="18" customHeight="1">
      <c r="A556" s="245"/>
      <c r="B556" s="246"/>
      <c r="C556" s="188"/>
      <c r="D556" s="245"/>
      <c r="E556" s="247"/>
      <c r="F556" s="245"/>
      <c r="G556" s="188"/>
      <c r="H556" s="267"/>
      <c r="J556" s="188"/>
      <c r="M556" s="252"/>
      <c r="N556" s="217"/>
      <c r="O556" s="254"/>
      <c r="P556" s="266"/>
      <c r="Q556" s="271"/>
      <c r="R556" s="219" t="str">
        <f t="shared" si="16"/>
        <v/>
      </c>
      <c r="S556" s="188"/>
    </row>
    <row r="557" spans="1:19" ht="18" customHeight="1">
      <c r="A557" s="245"/>
      <c r="B557" s="246"/>
      <c r="C557" s="188"/>
      <c r="D557" s="245"/>
      <c r="E557" s="247"/>
      <c r="F557" s="245"/>
      <c r="G557" s="188"/>
      <c r="H557" s="267"/>
      <c r="J557" s="188"/>
      <c r="M557" s="252"/>
      <c r="N557" s="217"/>
      <c r="O557" s="254"/>
      <c r="P557" s="266"/>
      <c r="Q557" s="271"/>
      <c r="R557" s="219" t="str">
        <f t="shared" si="16"/>
        <v/>
      </c>
      <c r="S557" s="188"/>
    </row>
    <row r="558" spans="1:19" ht="18" customHeight="1">
      <c r="A558" s="245"/>
      <c r="B558" s="246"/>
      <c r="C558" s="188"/>
      <c r="D558" s="245"/>
      <c r="E558" s="247"/>
      <c r="F558" s="245"/>
      <c r="G558" s="188"/>
      <c r="H558" s="267"/>
      <c r="J558" s="188"/>
      <c r="M558" s="252"/>
      <c r="N558" s="217"/>
      <c r="O558" s="254"/>
      <c r="P558" s="266"/>
      <c r="Q558" s="271"/>
      <c r="R558" s="219" t="str">
        <f t="shared" si="16"/>
        <v/>
      </c>
      <c r="S558" s="188"/>
    </row>
    <row r="559" spans="1:19" ht="18" customHeight="1">
      <c r="A559" s="245"/>
      <c r="B559" s="246"/>
      <c r="C559" s="188"/>
      <c r="D559" s="245"/>
      <c r="E559" s="247"/>
      <c r="F559" s="245"/>
      <c r="G559" s="188"/>
      <c r="H559" s="267"/>
      <c r="J559" s="188"/>
      <c r="M559" s="252"/>
      <c r="N559" s="217"/>
      <c r="O559" s="254"/>
      <c r="P559" s="266"/>
      <c r="Q559" s="271"/>
      <c r="R559" s="219" t="str">
        <f t="shared" si="16"/>
        <v/>
      </c>
      <c r="S559" s="188"/>
    </row>
    <row r="560" spans="1:19" ht="18" customHeight="1">
      <c r="A560" s="245"/>
      <c r="B560" s="246"/>
      <c r="C560" s="188"/>
      <c r="D560" s="245"/>
      <c r="E560" s="247"/>
      <c r="F560" s="245"/>
      <c r="G560" s="188"/>
      <c r="H560" s="267"/>
      <c r="J560" s="188"/>
      <c r="M560" s="252"/>
      <c r="N560" s="217"/>
      <c r="O560" s="254"/>
      <c r="P560" s="266"/>
      <c r="Q560" s="271"/>
      <c r="R560" s="219" t="str">
        <f t="shared" si="16"/>
        <v/>
      </c>
      <c r="S560" s="188"/>
    </row>
    <row r="561" spans="1:19" ht="18" customHeight="1">
      <c r="A561" s="245"/>
      <c r="B561" s="246"/>
      <c r="C561" s="188"/>
      <c r="D561" s="245"/>
      <c r="E561" s="247"/>
      <c r="F561" s="245"/>
      <c r="G561" s="188"/>
      <c r="H561" s="267"/>
      <c r="J561" s="188"/>
      <c r="M561" s="252"/>
      <c r="N561" s="217"/>
      <c r="O561" s="254"/>
      <c r="P561" s="266"/>
      <c r="Q561" s="271"/>
      <c r="R561" s="219" t="str">
        <f t="shared" si="16"/>
        <v/>
      </c>
      <c r="S561" s="188"/>
    </row>
    <row r="562" spans="1:19" ht="18" customHeight="1">
      <c r="A562" s="245"/>
      <c r="B562" s="246"/>
      <c r="C562" s="188"/>
      <c r="D562" s="245"/>
      <c r="E562" s="247"/>
      <c r="F562" s="245"/>
      <c r="G562" s="188"/>
      <c r="H562" s="267"/>
      <c r="J562" s="188"/>
      <c r="M562" s="252"/>
      <c r="N562" s="217"/>
      <c r="O562" s="254"/>
      <c r="P562" s="266"/>
      <c r="Q562" s="271"/>
      <c r="R562" s="219" t="str">
        <f t="shared" si="16"/>
        <v/>
      </c>
      <c r="S562" s="188"/>
    </row>
    <row r="563" spans="1:19" ht="18" customHeight="1">
      <c r="A563" s="245"/>
      <c r="B563" s="246"/>
      <c r="C563" s="188"/>
      <c r="D563" s="245"/>
      <c r="E563" s="247"/>
      <c r="F563" s="245"/>
      <c r="G563" s="188"/>
      <c r="H563" s="267"/>
      <c r="J563" s="188"/>
      <c r="M563" s="252"/>
      <c r="N563" s="217"/>
      <c r="O563" s="254"/>
      <c r="P563" s="266"/>
      <c r="Q563" s="271"/>
      <c r="R563" s="219" t="str">
        <f t="shared" si="16"/>
        <v/>
      </c>
      <c r="S563" s="188"/>
    </row>
    <row r="564" spans="1:19" ht="18" customHeight="1">
      <c r="A564" s="245"/>
      <c r="B564" s="246"/>
      <c r="C564" s="188"/>
      <c r="D564" s="245"/>
      <c r="E564" s="247"/>
      <c r="F564" s="245"/>
      <c r="G564" s="188"/>
      <c r="H564" s="267"/>
      <c r="J564" s="188"/>
      <c r="M564" s="252"/>
      <c r="N564" s="217"/>
      <c r="O564" s="254"/>
      <c r="P564" s="266"/>
      <c r="Q564" s="271"/>
      <c r="R564" s="219" t="str">
        <f t="shared" si="16"/>
        <v/>
      </c>
      <c r="S564" s="188"/>
    </row>
    <row r="565" spans="1:19" ht="18" customHeight="1">
      <c r="A565" s="245"/>
      <c r="B565" s="246"/>
      <c r="C565" s="188"/>
      <c r="D565" s="245"/>
      <c r="E565" s="247"/>
      <c r="F565" s="245"/>
      <c r="G565" s="188"/>
      <c r="H565" s="267"/>
      <c r="J565" s="188"/>
      <c r="M565" s="252"/>
      <c r="N565" s="217"/>
      <c r="O565" s="254"/>
      <c r="P565" s="266"/>
      <c r="Q565" s="271"/>
      <c r="R565" s="219" t="str">
        <f t="shared" si="16"/>
        <v/>
      </c>
      <c r="S565" s="188"/>
    </row>
    <row r="566" spans="1:19" ht="18" customHeight="1">
      <c r="A566" s="245"/>
      <c r="B566" s="246"/>
      <c r="C566" s="188"/>
      <c r="D566" s="245"/>
      <c r="E566" s="247"/>
      <c r="F566" s="245"/>
      <c r="G566" s="188"/>
      <c r="H566" s="267"/>
      <c r="J566" s="188"/>
      <c r="M566" s="252"/>
      <c r="N566" s="217"/>
      <c r="O566" s="254"/>
      <c r="P566" s="266"/>
      <c r="Q566" s="271"/>
      <c r="R566" s="219" t="str">
        <f t="shared" si="16"/>
        <v/>
      </c>
      <c r="S566" s="188"/>
    </row>
    <row r="567" spans="1:19" ht="18" customHeight="1">
      <c r="A567" s="245"/>
      <c r="B567" s="246"/>
      <c r="C567" s="188"/>
      <c r="D567" s="245"/>
      <c r="E567" s="247"/>
      <c r="F567" s="245"/>
      <c r="G567" s="188"/>
      <c r="H567" s="267"/>
      <c r="J567" s="188"/>
      <c r="M567" s="252"/>
      <c r="N567" s="217"/>
      <c r="O567" s="254"/>
      <c r="P567" s="266"/>
      <c r="Q567" s="271"/>
      <c r="R567" s="219" t="str">
        <f t="shared" si="16"/>
        <v/>
      </c>
      <c r="S567" s="188"/>
    </row>
    <row r="568" spans="1:19" ht="18" customHeight="1">
      <c r="A568" s="245"/>
      <c r="B568" s="246"/>
      <c r="C568" s="188"/>
      <c r="D568" s="245"/>
      <c r="E568" s="247"/>
      <c r="F568" s="245"/>
      <c r="G568" s="188"/>
      <c r="H568" s="267"/>
      <c r="J568" s="188"/>
      <c r="M568" s="252"/>
      <c r="N568" s="217"/>
      <c r="O568" s="254"/>
      <c r="P568" s="266"/>
      <c r="Q568" s="271"/>
      <c r="R568" s="219" t="str">
        <f t="shared" si="16"/>
        <v/>
      </c>
      <c r="S568" s="188"/>
    </row>
    <row r="569" spans="1:19" ht="18" customHeight="1">
      <c r="A569" s="245"/>
      <c r="B569" s="246"/>
      <c r="C569" s="188"/>
      <c r="D569" s="245"/>
      <c r="E569" s="247"/>
      <c r="F569" s="245"/>
      <c r="G569" s="188"/>
      <c r="H569" s="267"/>
      <c r="J569" s="188"/>
      <c r="M569" s="252"/>
      <c r="N569" s="217"/>
      <c r="O569" s="254"/>
      <c r="P569" s="266"/>
      <c r="Q569" s="271"/>
      <c r="R569" s="219" t="str">
        <f t="shared" si="16"/>
        <v/>
      </c>
      <c r="S569" s="188"/>
    </row>
    <row r="570" spans="1:19" ht="18" customHeight="1">
      <c r="A570" s="245"/>
      <c r="B570" s="246"/>
      <c r="C570" s="188"/>
      <c r="D570" s="245"/>
      <c r="E570" s="247"/>
      <c r="F570" s="245"/>
      <c r="G570" s="188"/>
      <c r="H570" s="267"/>
      <c r="J570" s="188"/>
      <c r="M570" s="252"/>
      <c r="N570" s="217"/>
      <c r="O570" s="254"/>
      <c r="P570" s="266"/>
      <c r="Q570" s="271"/>
      <c r="R570" s="219" t="str">
        <f t="shared" si="16"/>
        <v/>
      </c>
      <c r="S570" s="188"/>
    </row>
    <row r="571" spans="1:19" ht="18" customHeight="1">
      <c r="A571" s="245"/>
      <c r="B571" s="246"/>
      <c r="C571" s="188"/>
      <c r="D571" s="245"/>
      <c r="E571" s="247"/>
      <c r="F571" s="245"/>
      <c r="G571" s="188"/>
      <c r="H571" s="267"/>
      <c r="J571" s="188"/>
      <c r="M571" s="252"/>
      <c r="N571" s="217"/>
      <c r="O571" s="254"/>
      <c r="P571" s="266"/>
      <c r="Q571" s="271"/>
      <c r="R571" s="219" t="str">
        <f t="shared" si="16"/>
        <v/>
      </c>
      <c r="S571" s="188"/>
    </row>
    <row r="572" spans="1:19" ht="18" customHeight="1">
      <c r="A572" s="245"/>
      <c r="B572" s="246"/>
      <c r="C572" s="188"/>
      <c r="D572" s="245"/>
      <c r="E572" s="247"/>
      <c r="F572" s="245"/>
      <c r="G572" s="188"/>
      <c r="H572" s="267"/>
      <c r="J572" s="188"/>
      <c r="M572" s="252"/>
      <c r="N572" s="217"/>
      <c r="O572" s="254"/>
      <c r="P572" s="266"/>
      <c r="Q572" s="271"/>
      <c r="R572" s="219" t="str">
        <f t="shared" si="16"/>
        <v/>
      </c>
      <c r="S572" s="188"/>
    </row>
    <row r="573" spans="1:19" ht="18" customHeight="1">
      <c r="A573" s="245"/>
      <c r="B573" s="246"/>
      <c r="C573" s="188"/>
      <c r="D573" s="245"/>
      <c r="E573" s="247"/>
      <c r="F573" s="245"/>
      <c r="G573" s="188"/>
      <c r="H573" s="267"/>
      <c r="J573" s="188"/>
      <c r="M573" s="252"/>
      <c r="N573" s="217"/>
      <c r="O573" s="254"/>
      <c r="P573" s="266"/>
      <c r="Q573" s="271"/>
      <c r="R573" s="219" t="str">
        <f t="shared" si="16"/>
        <v/>
      </c>
      <c r="S573" s="188"/>
    </row>
    <row r="574" spans="1:19" ht="18" customHeight="1">
      <c r="A574" s="245"/>
      <c r="B574" s="246"/>
      <c r="C574" s="188"/>
      <c r="D574" s="245"/>
      <c r="E574" s="247"/>
      <c r="F574" s="245"/>
      <c r="G574" s="188"/>
      <c r="H574" s="267"/>
      <c r="J574" s="188"/>
      <c r="M574" s="252"/>
      <c r="N574" s="217"/>
      <c r="O574" s="254"/>
      <c r="P574" s="266"/>
      <c r="Q574" s="271"/>
      <c r="R574" s="219" t="str">
        <f t="shared" si="16"/>
        <v/>
      </c>
      <c r="S574" s="188"/>
    </row>
    <row r="575" spans="1:19" ht="18" customHeight="1">
      <c r="A575" s="245"/>
      <c r="B575" s="246"/>
      <c r="C575" s="188"/>
      <c r="D575" s="245"/>
      <c r="E575" s="247"/>
      <c r="F575" s="245"/>
      <c r="G575" s="188"/>
      <c r="H575" s="267"/>
      <c r="J575" s="188"/>
      <c r="M575" s="252"/>
      <c r="N575" s="217"/>
      <c r="O575" s="254"/>
      <c r="P575" s="266"/>
      <c r="Q575" s="271"/>
      <c r="R575" s="219" t="str">
        <f t="shared" si="16"/>
        <v/>
      </c>
      <c r="S575" s="188"/>
    </row>
    <row r="576" spans="1:19" ht="18" customHeight="1">
      <c r="A576" s="245"/>
      <c r="B576" s="246"/>
      <c r="C576" s="188"/>
      <c r="D576" s="245"/>
      <c r="E576" s="247"/>
      <c r="F576" s="245"/>
      <c r="G576" s="188"/>
      <c r="H576" s="267"/>
      <c r="J576" s="188"/>
      <c r="M576" s="252"/>
      <c r="N576" s="217"/>
      <c r="O576" s="254"/>
      <c r="P576" s="266"/>
      <c r="Q576" s="271"/>
      <c r="R576" s="219" t="str">
        <f t="shared" si="16"/>
        <v/>
      </c>
      <c r="S576" s="188"/>
    </row>
    <row r="577" spans="1:19" ht="18" customHeight="1">
      <c r="A577" s="245"/>
      <c r="B577" s="246"/>
      <c r="C577" s="188"/>
      <c r="D577" s="245"/>
      <c r="E577" s="247"/>
      <c r="F577" s="245"/>
      <c r="G577" s="188"/>
      <c r="H577" s="267"/>
      <c r="J577" s="188"/>
      <c r="M577" s="252"/>
      <c r="N577" s="217"/>
      <c r="O577" s="254"/>
      <c r="P577" s="266"/>
      <c r="Q577" s="271"/>
      <c r="R577" s="219" t="str">
        <f t="shared" si="16"/>
        <v/>
      </c>
      <c r="S577" s="188"/>
    </row>
    <row r="578" spans="1:19" ht="18" customHeight="1">
      <c r="A578" s="245"/>
      <c r="B578" s="246"/>
      <c r="C578" s="188"/>
      <c r="D578" s="245"/>
      <c r="E578" s="247"/>
      <c r="F578" s="245"/>
      <c r="G578" s="188"/>
      <c r="H578" s="267"/>
      <c r="J578" s="188"/>
      <c r="M578" s="252"/>
      <c r="N578" s="217"/>
      <c r="O578" s="254"/>
      <c r="P578" s="266"/>
      <c r="Q578" s="271"/>
      <c r="R578" s="219" t="str">
        <f t="shared" si="16"/>
        <v/>
      </c>
      <c r="S578" s="188"/>
    </row>
    <row r="579" spans="1:19" ht="18" customHeight="1">
      <c r="A579" s="245"/>
      <c r="B579" s="246"/>
      <c r="C579" s="188"/>
      <c r="D579" s="245"/>
      <c r="E579" s="247"/>
      <c r="F579" s="245"/>
      <c r="G579" s="188"/>
      <c r="H579" s="267"/>
      <c r="J579" s="188"/>
      <c r="M579" s="252"/>
      <c r="N579" s="217"/>
      <c r="O579" s="254"/>
      <c r="P579" s="266"/>
      <c r="Q579" s="271"/>
      <c r="R579" s="219" t="str">
        <f t="shared" si="16"/>
        <v/>
      </c>
      <c r="S579" s="188"/>
    </row>
    <row r="580" spans="1:19" ht="18" customHeight="1">
      <c r="A580" s="245"/>
      <c r="B580" s="246"/>
      <c r="C580" s="188"/>
      <c r="D580" s="245"/>
      <c r="E580" s="247"/>
      <c r="F580" s="245"/>
      <c r="G580" s="188"/>
      <c r="H580" s="267"/>
      <c r="J580" s="188"/>
      <c r="M580" s="252"/>
      <c r="N580" s="217"/>
      <c r="O580" s="254"/>
      <c r="P580" s="266"/>
      <c r="Q580" s="271"/>
      <c r="R580" s="219" t="str">
        <f t="shared" si="16"/>
        <v/>
      </c>
      <c r="S580" s="188"/>
    </row>
    <row r="581" spans="1:19" ht="18" customHeight="1">
      <c r="A581" s="245"/>
      <c r="B581" s="246"/>
      <c r="C581" s="188"/>
      <c r="D581" s="245"/>
      <c r="E581" s="247"/>
      <c r="F581" s="245"/>
      <c r="G581" s="188"/>
      <c r="H581" s="267"/>
      <c r="J581" s="188"/>
      <c r="M581" s="252"/>
      <c r="N581" s="217"/>
      <c r="O581" s="254"/>
      <c r="P581" s="266"/>
      <c r="Q581" s="271"/>
      <c r="R581" s="219" t="str">
        <f t="shared" si="16"/>
        <v/>
      </c>
      <c r="S581" s="188"/>
    </row>
    <row r="582" spans="1:19" ht="18" customHeight="1">
      <c r="A582" s="245"/>
      <c r="B582" s="246"/>
      <c r="C582" s="188"/>
      <c r="D582" s="245"/>
      <c r="E582" s="247"/>
      <c r="F582" s="245"/>
      <c r="G582" s="188"/>
      <c r="H582" s="267"/>
      <c r="J582" s="188"/>
      <c r="M582" s="252"/>
      <c r="N582" s="217"/>
      <c r="O582" s="254"/>
      <c r="P582" s="266"/>
      <c r="Q582" s="271"/>
      <c r="R582" s="219" t="str">
        <f t="shared" si="16"/>
        <v/>
      </c>
      <c r="S582" s="188"/>
    </row>
    <row r="583" spans="1:19" ht="18" customHeight="1">
      <c r="A583" s="245"/>
      <c r="B583" s="246"/>
      <c r="C583" s="188"/>
      <c r="D583" s="245"/>
      <c r="E583" s="247"/>
      <c r="F583" s="245"/>
      <c r="G583" s="188"/>
      <c r="H583" s="267"/>
      <c r="J583" s="188"/>
      <c r="M583" s="252"/>
      <c r="N583" s="217"/>
      <c r="O583" s="254"/>
      <c r="P583" s="266"/>
      <c r="Q583" s="271"/>
      <c r="R583" s="219" t="str">
        <f t="shared" si="16"/>
        <v/>
      </c>
      <c r="S583" s="188"/>
    </row>
    <row r="584" spans="1:19" ht="18" customHeight="1">
      <c r="A584" s="245"/>
      <c r="B584" s="246"/>
      <c r="C584" s="188"/>
      <c r="D584" s="245"/>
      <c r="E584" s="247"/>
      <c r="F584" s="245"/>
      <c r="G584" s="188"/>
      <c r="H584" s="267"/>
      <c r="J584" s="188"/>
      <c r="M584" s="252"/>
      <c r="N584" s="217"/>
      <c r="O584" s="254"/>
      <c r="P584" s="266"/>
      <c r="Q584" s="271"/>
      <c r="R584" s="219" t="str">
        <f t="shared" si="16"/>
        <v/>
      </c>
      <c r="S584" s="188"/>
    </row>
    <row r="585" spans="1:19" ht="18" customHeight="1">
      <c r="A585" s="245"/>
      <c r="B585" s="246"/>
      <c r="C585" s="188"/>
      <c r="D585" s="245"/>
      <c r="E585" s="247"/>
      <c r="F585" s="245"/>
      <c r="G585" s="188"/>
      <c r="H585" s="267"/>
      <c r="J585" s="188"/>
      <c r="M585" s="252"/>
      <c r="N585" s="217"/>
      <c r="O585" s="254"/>
      <c r="P585" s="266"/>
      <c r="Q585" s="271"/>
      <c r="R585" s="219" t="str">
        <f t="shared" si="16"/>
        <v/>
      </c>
      <c r="S585" s="188"/>
    </row>
    <row r="586" spans="1:19" ht="18" customHeight="1">
      <c r="A586" s="245"/>
      <c r="B586" s="246"/>
      <c r="C586" s="188"/>
      <c r="D586" s="245"/>
      <c r="E586" s="247"/>
      <c r="F586" s="245"/>
      <c r="G586" s="188"/>
      <c r="H586" s="267"/>
      <c r="J586" s="188"/>
      <c r="M586" s="252"/>
      <c r="N586" s="217"/>
      <c r="O586" s="254"/>
      <c r="P586" s="266"/>
      <c r="Q586" s="271"/>
      <c r="R586" s="219" t="str">
        <f t="shared" si="16"/>
        <v/>
      </c>
      <c r="S586" s="188"/>
    </row>
    <row r="587" spans="1:19" ht="18" customHeight="1">
      <c r="A587" s="245"/>
      <c r="B587" s="246"/>
      <c r="C587" s="188"/>
      <c r="D587" s="245"/>
      <c r="E587" s="247"/>
      <c r="F587" s="245"/>
      <c r="G587" s="188"/>
      <c r="H587" s="267"/>
      <c r="J587" s="188"/>
      <c r="M587" s="252"/>
      <c r="N587" s="217"/>
      <c r="O587" s="254"/>
      <c r="P587" s="266"/>
      <c r="Q587" s="271"/>
      <c r="R587" s="219" t="str">
        <f t="shared" si="16"/>
        <v/>
      </c>
      <c r="S587" s="188"/>
    </row>
    <row r="588" spans="1:19" ht="18" customHeight="1">
      <c r="A588" s="245"/>
      <c r="B588" s="246"/>
      <c r="C588" s="188"/>
      <c r="D588" s="245"/>
      <c r="E588" s="247"/>
      <c r="F588" s="245"/>
      <c r="G588" s="188"/>
      <c r="H588" s="267"/>
      <c r="J588" s="188"/>
      <c r="M588" s="252"/>
      <c r="N588" s="217"/>
      <c r="O588" s="254"/>
      <c r="P588" s="266"/>
      <c r="Q588" s="271"/>
      <c r="R588" s="219" t="str">
        <f t="shared" si="16"/>
        <v/>
      </c>
      <c r="S588" s="188"/>
    </row>
    <row r="589" spans="1:19" ht="18" customHeight="1">
      <c r="A589" s="245"/>
      <c r="B589" s="246"/>
      <c r="C589" s="188"/>
      <c r="D589" s="245"/>
      <c r="E589" s="247"/>
      <c r="F589" s="245"/>
      <c r="G589" s="188"/>
      <c r="H589" s="267"/>
      <c r="J589" s="188"/>
      <c r="M589" s="252"/>
      <c r="N589" s="217"/>
      <c r="O589" s="254"/>
      <c r="P589" s="266"/>
      <c r="Q589" s="271"/>
      <c r="R589" s="219" t="str">
        <f t="shared" si="16"/>
        <v/>
      </c>
      <c r="S589" s="188"/>
    </row>
    <row r="590" spans="1:19" ht="18" customHeight="1">
      <c r="A590" s="245"/>
      <c r="B590" s="246"/>
      <c r="C590" s="188"/>
      <c r="D590" s="245"/>
      <c r="E590" s="247"/>
      <c r="F590" s="245"/>
      <c r="G590" s="188"/>
      <c r="H590" s="267"/>
      <c r="J590" s="188"/>
      <c r="M590" s="252"/>
      <c r="N590" s="217"/>
      <c r="O590" s="254"/>
      <c r="P590" s="266"/>
      <c r="Q590" s="271"/>
      <c r="R590" s="219" t="str">
        <f t="shared" si="16"/>
        <v/>
      </c>
      <c r="S590" s="188"/>
    </row>
    <row r="591" spans="1:19" ht="18" customHeight="1">
      <c r="A591" s="245"/>
      <c r="B591" s="246"/>
      <c r="C591" s="188"/>
      <c r="D591" s="245"/>
      <c r="E591" s="247"/>
      <c r="F591" s="245"/>
      <c r="G591" s="188"/>
      <c r="H591" s="267"/>
      <c r="J591" s="188"/>
      <c r="M591" s="252"/>
      <c r="N591" s="217"/>
      <c r="O591" s="254"/>
      <c r="P591" s="266"/>
      <c r="Q591" s="271"/>
      <c r="R591" s="219" t="str">
        <f t="shared" si="16"/>
        <v/>
      </c>
      <c r="S591" s="188"/>
    </row>
    <row r="592" spans="1:19" ht="18" customHeight="1">
      <c r="A592" s="245"/>
      <c r="B592" s="246"/>
      <c r="C592" s="188"/>
      <c r="D592" s="245"/>
      <c r="E592" s="247"/>
      <c r="F592" s="245"/>
      <c r="G592" s="188"/>
      <c r="H592" s="267"/>
      <c r="J592" s="188"/>
      <c r="M592" s="252"/>
      <c r="N592" s="217"/>
      <c r="O592" s="254"/>
      <c r="P592" s="266"/>
      <c r="Q592" s="271"/>
      <c r="R592" s="219" t="str">
        <f t="shared" si="16"/>
        <v/>
      </c>
      <c r="S592" s="188"/>
    </row>
    <row r="593" spans="1:19" ht="18" customHeight="1">
      <c r="A593" s="245"/>
      <c r="B593" s="246"/>
      <c r="C593" s="188"/>
      <c r="D593" s="245"/>
      <c r="E593" s="247"/>
      <c r="F593" s="245"/>
      <c r="G593" s="188"/>
      <c r="H593" s="267"/>
      <c r="J593" s="188"/>
      <c r="M593" s="252"/>
      <c r="N593" s="217"/>
      <c r="O593" s="254"/>
      <c r="P593" s="266"/>
      <c r="Q593" s="271"/>
      <c r="R593" s="219" t="str">
        <f t="shared" si="16"/>
        <v/>
      </c>
      <c r="S593" s="188"/>
    </row>
    <row r="594" spans="1:19" ht="18" customHeight="1">
      <c r="A594" s="245"/>
      <c r="B594" s="246"/>
      <c r="C594" s="188"/>
      <c r="D594" s="245"/>
      <c r="E594" s="247"/>
      <c r="F594" s="245"/>
      <c r="G594" s="188"/>
      <c r="H594" s="267"/>
      <c r="J594" s="188"/>
      <c r="M594" s="252"/>
      <c r="N594" s="217"/>
      <c r="O594" s="254"/>
      <c r="P594" s="266"/>
      <c r="Q594" s="271"/>
      <c r="R594" s="219" t="str">
        <f t="shared" si="16"/>
        <v/>
      </c>
      <c r="S594" s="188"/>
    </row>
    <row r="595" spans="1:19" ht="18" customHeight="1">
      <c r="A595" s="245"/>
      <c r="B595" s="246"/>
      <c r="C595" s="188"/>
      <c r="D595" s="245"/>
      <c r="E595" s="247"/>
      <c r="F595" s="245"/>
      <c r="G595" s="188"/>
      <c r="H595" s="267"/>
      <c r="J595" s="188"/>
      <c r="M595" s="252"/>
      <c r="N595" s="217"/>
      <c r="O595" s="254"/>
      <c r="P595" s="266"/>
      <c r="Q595" s="271"/>
      <c r="R595" s="219" t="str">
        <f t="shared" si="16"/>
        <v/>
      </c>
      <c r="S595" s="188"/>
    </row>
    <row r="596" spans="1:19" ht="18" customHeight="1">
      <c r="A596" s="245"/>
      <c r="B596" s="246"/>
      <c r="C596" s="188"/>
      <c r="D596" s="245"/>
      <c r="E596" s="247"/>
      <c r="F596" s="245"/>
      <c r="G596" s="188"/>
      <c r="H596" s="267"/>
      <c r="J596" s="188"/>
      <c r="M596" s="252"/>
      <c r="N596" s="217"/>
      <c r="O596" s="254"/>
      <c r="P596" s="266"/>
      <c r="Q596" s="271"/>
      <c r="R596" s="219" t="str">
        <f t="shared" si="16"/>
        <v/>
      </c>
      <c r="S596" s="188"/>
    </row>
    <row r="597" spans="1:19" ht="18" customHeight="1">
      <c r="A597" s="245"/>
      <c r="B597" s="246"/>
      <c r="C597" s="188"/>
      <c r="D597" s="245"/>
      <c r="E597" s="247"/>
      <c r="F597" s="245"/>
      <c r="G597" s="188"/>
      <c r="H597" s="267"/>
      <c r="J597" s="188"/>
      <c r="M597" s="252"/>
      <c r="N597" s="217"/>
      <c r="O597" s="254"/>
      <c r="P597" s="266"/>
      <c r="Q597" s="271"/>
      <c r="R597" s="219" t="str">
        <f t="shared" si="16"/>
        <v/>
      </c>
      <c r="S597" s="188"/>
    </row>
    <row r="598" spans="1:19" ht="18" customHeight="1">
      <c r="A598" s="245"/>
      <c r="B598" s="246"/>
      <c r="C598" s="188"/>
      <c r="D598" s="245"/>
      <c r="E598" s="247"/>
      <c r="F598" s="245"/>
      <c r="G598" s="188"/>
      <c r="H598" s="267"/>
      <c r="J598" s="188"/>
      <c r="M598" s="252"/>
      <c r="N598" s="217"/>
      <c r="O598" s="254"/>
      <c r="P598" s="266"/>
      <c r="Q598" s="271"/>
      <c r="R598" s="219" t="str">
        <f t="shared" si="16"/>
        <v/>
      </c>
      <c r="S598" s="188"/>
    </row>
    <row r="599" spans="1:19" ht="18" customHeight="1">
      <c r="A599" s="245"/>
      <c r="B599" s="246"/>
      <c r="C599" s="188"/>
      <c r="D599" s="245"/>
      <c r="E599" s="247"/>
      <c r="F599" s="245"/>
      <c r="G599" s="188"/>
      <c r="H599" s="267"/>
      <c r="J599" s="188"/>
      <c r="M599" s="252"/>
      <c r="N599" s="217"/>
      <c r="O599" s="254"/>
      <c r="P599" s="266"/>
      <c r="Q599" s="271"/>
      <c r="R599" s="219" t="str">
        <f t="shared" si="16"/>
        <v/>
      </c>
      <c r="S599" s="188"/>
    </row>
    <row r="600" spans="1:19" ht="18" customHeight="1">
      <c r="A600" s="245"/>
      <c r="B600" s="246"/>
      <c r="C600" s="188"/>
      <c r="D600" s="245"/>
      <c r="E600" s="247"/>
      <c r="F600" s="245"/>
      <c r="G600" s="188"/>
      <c r="H600" s="267"/>
      <c r="J600" s="188"/>
      <c r="M600" s="252"/>
      <c r="N600" s="217"/>
      <c r="O600" s="254"/>
      <c r="P600" s="266"/>
      <c r="Q600" s="271"/>
      <c r="R600" s="219" t="str">
        <f t="shared" si="16"/>
        <v/>
      </c>
      <c r="S600" s="188"/>
    </row>
    <row r="601" spans="1:19" ht="18" customHeight="1">
      <c r="A601" s="245"/>
      <c r="B601" s="246"/>
      <c r="C601" s="188"/>
      <c r="D601" s="245"/>
      <c r="E601" s="247"/>
      <c r="F601" s="245"/>
      <c r="G601" s="188"/>
      <c r="H601" s="267"/>
      <c r="J601" s="188"/>
      <c r="M601" s="252"/>
      <c r="N601" s="217"/>
      <c r="O601" s="254"/>
      <c r="P601" s="266"/>
      <c r="Q601" s="271"/>
      <c r="R601" s="219" t="str">
        <f t="shared" si="16"/>
        <v/>
      </c>
      <c r="S601" s="188"/>
    </row>
    <row r="602" spans="1:19" ht="18" customHeight="1">
      <c r="A602" s="245"/>
      <c r="B602" s="246"/>
      <c r="C602" s="188"/>
      <c r="D602" s="245"/>
      <c r="E602" s="247"/>
      <c r="F602" s="245"/>
      <c r="G602" s="188"/>
      <c r="H602" s="267"/>
      <c r="J602" s="188"/>
      <c r="M602" s="252"/>
      <c r="N602" s="217"/>
      <c r="O602" s="254"/>
      <c r="P602" s="266"/>
      <c r="Q602" s="271"/>
      <c r="R602" s="219" t="str">
        <f t="shared" si="16"/>
        <v/>
      </c>
      <c r="S602" s="188"/>
    </row>
    <row r="603" spans="1:19" ht="18" customHeight="1">
      <c r="A603" s="245"/>
      <c r="B603" s="246"/>
      <c r="C603" s="188"/>
      <c r="D603" s="245"/>
      <c r="E603" s="247"/>
      <c r="F603" s="245"/>
      <c r="G603" s="188"/>
      <c r="H603" s="267"/>
      <c r="J603" s="188"/>
      <c r="M603" s="252"/>
      <c r="N603" s="217"/>
      <c r="O603" s="254"/>
      <c r="P603" s="266"/>
      <c r="Q603" s="271"/>
      <c r="R603" s="219" t="str">
        <f t="shared" si="16"/>
        <v/>
      </c>
      <c r="S603" s="188"/>
    </row>
    <row r="604" spans="1:19" ht="18" customHeight="1">
      <c r="A604" s="245"/>
      <c r="B604" s="246"/>
      <c r="C604" s="188"/>
      <c r="D604" s="245"/>
      <c r="E604" s="247"/>
      <c r="F604" s="245"/>
      <c r="G604" s="188"/>
      <c r="H604" s="267"/>
      <c r="J604" s="188"/>
      <c r="M604" s="252"/>
      <c r="N604" s="217"/>
      <c r="O604" s="254"/>
      <c r="P604" s="266"/>
      <c r="Q604" s="271"/>
      <c r="R604" s="219" t="str">
        <f t="shared" si="16"/>
        <v/>
      </c>
      <c r="S604" s="188"/>
    </row>
    <row r="605" spans="1:19" ht="18" customHeight="1">
      <c r="A605" s="245"/>
      <c r="B605" s="246"/>
      <c r="C605" s="188"/>
      <c r="D605" s="245"/>
      <c r="E605" s="247"/>
      <c r="F605" s="245"/>
      <c r="G605" s="188"/>
      <c r="H605" s="267"/>
      <c r="J605" s="188"/>
      <c r="M605" s="252"/>
      <c r="N605" s="217"/>
      <c r="O605" s="254"/>
      <c r="P605" s="266"/>
      <c r="Q605" s="271"/>
      <c r="R605" s="219" t="str">
        <f t="shared" si="16"/>
        <v/>
      </c>
      <c r="S605" s="188"/>
    </row>
    <row r="606" spans="1:19" ht="18" customHeight="1">
      <c r="A606" s="245"/>
      <c r="B606" s="246"/>
      <c r="C606" s="188"/>
      <c r="D606" s="245"/>
      <c r="E606" s="247"/>
      <c r="F606" s="245"/>
      <c r="G606" s="188"/>
      <c r="H606" s="267"/>
      <c r="J606" s="188"/>
      <c r="M606" s="252"/>
      <c r="N606" s="217"/>
      <c r="O606" s="254"/>
      <c r="P606" s="266"/>
      <c r="Q606" s="271"/>
      <c r="R606" s="219" t="str">
        <f t="shared" si="16"/>
        <v/>
      </c>
      <c r="S606" s="188"/>
    </row>
    <row r="607" spans="1:19" ht="18" customHeight="1">
      <c r="A607" s="245"/>
      <c r="B607" s="246"/>
      <c r="C607" s="188"/>
      <c r="D607" s="245"/>
      <c r="E607" s="247"/>
      <c r="F607" s="245"/>
      <c r="G607" s="188"/>
      <c r="H607" s="267"/>
      <c r="J607" s="188"/>
      <c r="M607" s="252"/>
      <c r="N607" s="217"/>
      <c r="O607" s="254"/>
      <c r="P607" s="266"/>
      <c r="Q607" s="271"/>
      <c r="R607" s="219" t="str">
        <f t="shared" si="16"/>
        <v/>
      </c>
      <c r="S607" s="188"/>
    </row>
    <row r="608" spans="1:19" ht="18" customHeight="1">
      <c r="A608" s="245"/>
      <c r="B608" s="246"/>
      <c r="C608" s="188"/>
      <c r="D608" s="245"/>
      <c r="E608" s="247"/>
      <c r="F608" s="245"/>
      <c r="G608" s="188"/>
      <c r="H608" s="267"/>
      <c r="J608" s="188"/>
      <c r="M608" s="252"/>
      <c r="N608" s="217"/>
      <c r="O608" s="254"/>
      <c r="P608" s="266"/>
      <c r="Q608" s="271"/>
      <c r="R608" s="219" t="str">
        <f t="shared" si="16"/>
        <v/>
      </c>
      <c r="S608" s="188"/>
    </row>
    <row r="609" spans="1:19" ht="18" customHeight="1">
      <c r="A609" s="245"/>
      <c r="B609" s="246"/>
      <c r="C609" s="188"/>
      <c r="D609" s="245"/>
      <c r="E609" s="247"/>
      <c r="F609" s="245"/>
      <c r="G609" s="188"/>
      <c r="H609" s="267"/>
      <c r="J609" s="188"/>
      <c r="M609" s="252"/>
      <c r="N609" s="217"/>
      <c r="O609" s="254"/>
      <c r="P609" s="266"/>
      <c r="Q609" s="271"/>
      <c r="R609" s="219" t="str">
        <f t="shared" si="16"/>
        <v/>
      </c>
      <c r="S609" s="188"/>
    </row>
    <row r="610" spans="1:19" ht="18" customHeight="1">
      <c r="A610" s="245"/>
      <c r="B610" s="246"/>
      <c r="C610" s="188"/>
      <c r="D610" s="245"/>
      <c r="E610" s="247"/>
      <c r="F610" s="245"/>
      <c r="G610" s="188"/>
      <c r="H610" s="267"/>
      <c r="J610" s="188"/>
      <c r="M610" s="252"/>
      <c r="N610" s="217"/>
      <c r="O610" s="254"/>
      <c r="P610" s="266"/>
      <c r="Q610" s="271"/>
      <c r="R610" s="219" t="str">
        <f t="shared" si="16"/>
        <v/>
      </c>
      <c r="S610" s="188"/>
    </row>
    <row r="611" spans="1:19" ht="18" customHeight="1">
      <c r="A611" s="245"/>
      <c r="B611" s="246"/>
      <c r="C611" s="188"/>
      <c r="D611" s="245"/>
      <c r="E611" s="247"/>
      <c r="F611" s="245"/>
      <c r="G611" s="188"/>
      <c r="H611" s="267"/>
      <c r="J611" s="188"/>
      <c r="M611" s="252"/>
      <c r="N611" s="217"/>
      <c r="O611" s="254"/>
      <c r="P611" s="266"/>
      <c r="Q611" s="271"/>
      <c r="R611" s="219" t="str">
        <f t="shared" ref="R611:R674" si="17">IF(SUM(Q611)&gt;0,SUM(Q611-P611),"")</f>
        <v/>
      </c>
      <c r="S611" s="188"/>
    </row>
    <row r="612" spans="1:19" ht="18" customHeight="1">
      <c r="A612" s="245"/>
      <c r="B612" s="246"/>
      <c r="C612" s="188"/>
      <c r="D612" s="245"/>
      <c r="E612" s="247"/>
      <c r="F612" s="245"/>
      <c r="G612" s="188"/>
      <c r="H612" s="267"/>
      <c r="J612" s="188"/>
      <c r="M612" s="252"/>
      <c r="N612" s="217"/>
      <c r="O612" s="254"/>
      <c r="P612" s="266"/>
      <c r="Q612" s="271"/>
      <c r="R612" s="219" t="str">
        <f t="shared" si="17"/>
        <v/>
      </c>
      <c r="S612" s="188"/>
    </row>
    <row r="613" spans="1:19" ht="18" customHeight="1">
      <c r="A613" s="245"/>
      <c r="B613" s="246"/>
      <c r="C613" s="188"/>
      <c r="D613" s="245"/>
      <c r="E613" s="247"/>
      <c r="F613" s="245"/>
      <c r="G613" s="188"/>
      <c r="H613" s="267"/>
      <c r="J613" s="188"/>
      <c r="M613" s="252"/>
      <c r="N613" s="217"/>
      <c r="O613" s="254"/>
      <c r="P613" s="266"/>
      <c r="Q613" s="271"/>
      <c r="R613" s="219" t="str">
        <f t="shared" si="17"/>
        <v/>
      </c>
      <c r="S613" s="188"/>
    </row>
    <row r="614" spans="1:19" ht="18" customHeight="1">
      <c r="A614" s="245"/>
      <c r="B614" s="246"/>
      <c r="C614" s="188"/>
      <c r="D614" s="245"/>
      <c r="E614" s="247"/>
      <c r="F614" s="245"/>
      <c r="G614" s="188"/>
      <c r="H614" s="267"/>
      <c r="J614" s="188"/>
      <c r="M614" s="252"/>
      <c r="N614" s="217"/>
      <c r="O614" s="254"/>
      <c r="P614" s="266"/>
      <c r="Q614" s="271"/>
      <c r="R614" s="219" t="str">
        <f t="shared" si="17"/>
        <v/>
      </c>
      <c r="S614" s="188"/>
    </row>
    <row r="615" spans="1:19" ht="18" customHeight="1">
      <c r="A615" s="245"/>
      <c r="B615" s="246"/>
      <c r="C615" s="188"/>
      <c r="D615" s="245"/>
      <c r="E615" s="247"/>
      <c r="F615" s="245"/>
      <c r="G615" s="188"/>
      <c r="H615" s="267"/>
      <c r="J615" s="188"/>
      <c r="M615" s="252"/>
      <c r="N615" s="217"/>
      <c r="O615" s="254"/>
      <c r="P615" s="266"/>
      <c r="Q615" s="271"/>
      <c r="R615" s="219" t="str">
        <f t="shared" si="17"/>
        <v/>
      </c>
      <c r="S615" s="188"/>
    </row>
    <row r="616" spans="1:19" ht="18" customHeight="1">
      <c r="A616" s="245"/>
      <c r="B616" s="246"/>
      <c r="C616" s="188"/>
      <c r="D616" s="245"/>
      <c r="E616" s="247"/>
      <c r="F616" s="245"/>
      <c r="G616" s="188"/>
      <c r="H616" s="267"/>
      <c r="J616" s="188"/>
      <c r="M616" s="252"/>
      <c r="N616" s="217"/>
      <c r="O616" s="254"/>
      <c r="P616" s="266"/>
      <c r="Q616" s="271"/>
      <c r="R616" s="219" t="str">
        <f t="shared" si="17"/>
        <v/>
      </c>
      <c r="S616" s="188"/>
    </row>
    <row r="617" spans="1:19" ht="18" customHeight="1">
      <c r="A617" s="245"/>
      <c r="B617" s="246"/>
      <c r="C617" s="188"/>
      <c r="D617" s="245"/>
      <c r="E617" s="247"/>
      <c r="F617" s="245"/>
      <c r="G617" s="188"/>
      <c r="H617" s="267"/>
      <c r="J617" s="188"/>
      <c r="M617" s="252"/>
      <c r="N617" s="217"/>
      <c r="O617" s="254"/>
      <c r="P617" s="266"/>
      <c r="Q617" s="271"/>
      <c r="R617" s="219" t="str">
        <f t="shared" si="17"/>
        <v/>
      </c>
      <c r="S617" s="188"/>
    </row>
    <row r="618" spans="1:19" ht="18" customHeight="1">
      <c r="A618" s="245"/>
      <c r="B618" s="246"/>
      <c r="C618" s="188"/>
      <c r="D618" s="245"/>
      <c r="E618" s="247"/>
      <c r="F618" s="245"/>
      <c r="G618" s="188"/>
      <c r="H618" s="267"/>
      <c r="J618" s="188"/>
      <c r="M618" s="252"/>
      <c r="N618" s="217"/>
      <c r="O618" s="254"/>
      <c r="P618" s="266"/>
      <c r="Q618" s="271"/>
      <c r="R618" s="219" t="str">
        <f t="shared" si="17"/>
        <v/>
      </c>
      <c r="S618" s="188"/>
    </row>
    <row r="619" spans="1:19" ht="18" customHeight="1">
      <c r="A619" s="245"/>
      <c r="B619" s="246"/>
      <c r="C619" s="188"/>
      <c r="D619" s="245"/>
      <c r="E619" s="247"/>
      <c r="F619" s="245"/>
      <c r="G619" s="188"/>
      <c r="H619" s="267"/>
      <c r="J619" s="188"/>
      <c r="M619" s="252"/>
      <c r="N619" s="217"/>
      <c r="O619" s="254"/>
      <c r="P619" s="266"/>
      <c r="Q619" s="271"/>
      <c r="R619" s="219" t="str">
        <f t="shared" si="17"/>
        <v/>
      </c>
      <c r="S619" s="188"/>
    </row>
    <row r="620" spans="1:19" ht="18" customHeight="1">
      <c r="A620" s="245"/>
      <c r="B620" s="246"/>
      <c r="C620" s="188"/>
      <c r="D620" s="245"/>
      <c r="E620" s="247"/>
      <c r="F620" s="245"/>
      <c r="G620" s="188"/>
      <c r="H620" s="267"/>
      <c r="J620" s="188"/>
      <c r="M620" s="252"/>
      <c r="N620" s="217"/>
      <c r="O620" s="254"/>
      <c r="P620" s="266"/>
      <c r="Q620" s="271"/>
      <c r="R620" s="219" t="str">
        <f t="shared" si="17"/>
        <v/>
      </c>
      <c r="S620" s="188"/>
    </row>
    <row r="621" spans="1:19" ht="18" customHeight="1">
      <c r="A621" s="245"/>
      <c r="B621" s="246"/>
      <c r="C621" s="188"/>
      <c r="D621" s="245"/>
      <c r="E621" s="247"/>
      <c r="F621" s="245"/>
      <c r="G621" s="188"/>
      <c r="H621" s="267"/>
      <c r="J621" s="188"/>
      <c r="M621" s="252"/>
      <c r="N621" s="217"/>
      <c r="O621" s="254"/>
      <c r="P621" s="266"/>
      <c r="Q621" s="271"/>
      <c r="R621" s="219" t="str">
        <f t="shared" si="17"/>
        <v/>
      </c>
      <c r="S621" s="188"/>
    </row>
    <row r="622" spans="1:19" ht="18" customHeight="1">
      <c r="A622" s="245"/>
      <c r="B622" s="246"/>
      <c r="C622" s="188"/>
      <c r="D622" s="245"/>
      <c r="E622" s="247"/>
      <c r="F622" s="245"/>
      <c r="G622" s="188"/>
      <c r="H622" s="267"/>
      <c r="J622" s="188"/>
      <c r="M622" s="252"/>
      <c r="N622" s="217"/>
      <c r="O622" s="254"/>
      <c r="P622" s="266"/>
      <c r="Q622" s="271"/>
      <c r="R622" s="219" t="str">
        <f t="shared" si="17"/>
        <v/>
      </c>
      <c r="S622" s="188"/>
    </row>
    <row r="623" spans="1:19" ht="18" customHeight="1">
      <c r="A623" s="245"/>
      <c r="B623" s="246"/>
      <c r="C623" s="188"/>
      <c r="D623" s="245"/>
      <c r="E623" s="247"/>
      <c r="F623" s="245"/>
      <c r="G623" s="188"/>
      <c r="H623" s="267"/>
      <c r="J623" s="188"/>
      <c r="M623" s="252"/>
      <c r="N623" s="217"/>
      <c r="O623" s="254"/>
      <c r="P623" s="266"/>
      <c r="Q623" s="271"/>
      <c r="R623" s="219" t="str">
        <f t="shared" si="17"/>
        <v/>
      </c>
      <c r="S623" s="188"/>
    </row>
    <row r="624" spans="1:19" ht="18" customHeight="1">
      <c r="A624" s="245"/>
      <c r="B624" s="246"/>
      <c r="C624" s="188"/>
      <c r="D624" s="245"/>
      <c r="E624" s="247"/>
      <c r="F624" s="245"/>
      <c r="G624" s="188"/>
      <c r="H624" s="267"/>
      <c r="J624" s="188"/>
      <c r="M624" s="252"/>
      <c r="N624" s="217"/>
      <c r="O624" s="254"/>
      <c r="P624" s="266"/>
      <c r="Q624" s="271"/>
      <c r="R624" s="219" t="str">
        <f t="shared" si="17"/>
        <v/>
      </c>
      <c r="S624" s="188"/>
    </row>
    <row r="625" spans="1:19" ht="18" customHeight="1">
      <c r="A625" s="245"/>
      <c r="B625" s="246"/>
      <c r="C625" s="188"/>
      <c r="D625" s="245"/>
      <c r="E625" s="247"/>
      <c r="F625" s="245"/>
      <c r="G625" s="188"/>
      <c r="H625" s="267"/>
      <c r="J625" s="188"/>
      <c r="M625" s="252"/>
      <c r="N625" s="217"/>
      <c r="O625" s="254"/>
      <c r="P625" s="266"/>
      <c r="Q625" s="271"/>
      <c r="R625" s="219" t="str">
        <f t="shared" si="17"/>
        <v/>
      </c>
      <c r="S625" s="188"/>
    </row>
    <row r="626" spans="1:19" ht="18" customHeight="1">
      <c r="A626" s="245"/>
      <c r="B626" s="246"/>
      <c r="C626" s="188"/>
      <c r="D626" s="245"/>
      <c r="E626" s="247"/>
      <c r="F626" s="245"/>
      <c r="G626" s="188"/>
      <c r="H626" s="267"/>
      <c r="J626" s="188"/>
      <c r="M626" s="252"/>
      <c r="N626" s="217"/>
      <c r="O626" s="254"/>
      <c r="P626" s="266"/>
      <c r="Q626" s="271"/>
      <c r="R626" s="219" t="str">
        <f t="shared" si="17"/>
        <v/>
      </c>
      <c r="S626" s="188"/>
    </row>
    <row r="627" spans="1:19" ht="18" customHeight="1">
      <c r="A627" s="245"/>
      <c r="B627" s="246"/>
      <c r="C627" s="188"/>
      <c r="D627" s="245"/>
      <c r="E627" s="247"/>
      <c r="F627" s="245"/>
      <c r="G627" s="188"/>
      <c r="H627" s="267"/>
      <c r="J627" s="188"/>
      <c r="M627" s="252"/>
      <c r="N627" s="217"/>
      <c r="O627" s="254"/>
      <c r="P627" s="266"/>
      <c r="Q627" s="271"/>
      <c r="R627" s="219" t="str">
        <f t="shared" si="17"/>
        <v/>
      </c>
      <c r="S627" s="188"/>
    </row>
    <row r="628" spans="1:19" ht="18" customHeight="1">
      <c r="A628" s="245"/>
      <c r="B628" s="246"/>
      <c r="C628" s="188"/>
      <c r="D628" s="245"/>
      <c r="E628" s="247"/>
      <c r="F628" s="245"/>
      <c r="G628" s="188"/>
      <c r="H628" s="267"/>
      <c r="J628" s="188"/>
      <c r="M628" s="252"/>
      <c r="N628" s="217"/>
      <c r="O628" s="254"/>
      <c r="P628" s="266"/>
      <c r="Q628" s="271"/>
      <c r="R628" s="219" t="str">
        <f t="shared" si="17"/>
        <v/>
      </c>
      <c r="S628" s="188"/>
    </row>
    <row r="629" spans="1:19" ht="18" customHeight="1">
      <c r="A629" s="245"/>
      <c r="B629" s="246"/>
      <c r="C629" s="188"/>
      <c r="D629" s="245"/>
      <c r="E629" s="247"/>
      <c r="F629" s="245"/>
      <c r="G629" s="188"/>
      <c r="H629" s="267"/>
      <c r="J629" s="188"/>
      <c r="M629" s="252"/>
      <c r="N629" s="217"/>
      <c r="O629" s="254"/>
      <c r="P629" s="266"/>
      <c r="Q629" s="271"/>
      <c r="R629" s="219" t="str">
        <f t="shared" si="17"/>
        <v/>
      </c>
      <c r="S629" s="188"/>
    </row>
    <row r="630" spans="1:19" ht="18" customHeight="1">
      <c r="A630" s="245"/>
      <c r="B630" s="246"/>
      <c r="C630" s="188"/>
      <c r="D630" s="245"/>
      <c r="E630" s="247"/>
      <c r="F630" s="245"/>
      <c r="G630" s="188"/>
      <c r="H630" s="267"/>
      <c r="J630" s="188"/>
      <c r="M630" s="252"/>
      <c r="N630" s="217"/>
      <c r="O630" s="254"/>
      <c r="P630" s="266"/>
      <c r="Q630" s="271"/>
      <c r="R630" s="219" t="str">
        <f t="shared" si="17"/>
        <v/>
      </c>
      <c r="S630" s="188"/>
    </row>
    <row r="631" spans="1:19" ht="18" customHeight="1">
      <c r="A631" s="245"/>
      <c r="B631" s="246"/>
      <c r="C631" s="188"/>
      <c r="D631" s="245"/>
      <c r="E631" s="247"/>
      <c r="F631" s="245"/>
      <c r="G631" s="188"/>
      <c r="H631" s="267"/>
      <c r="J631" s="188"/>
      <c r="M631" s="252"/>
      <c r="N631" s="217"/>
      <c r="O631" s="254"/>
      <c r="P631" s="266"/>
      <c r="Q631" s="271"/>
      <c r="R631" s="219" t="str">
        <f t="shared" si="17"/>
        <v/>
      </c>
      <c r="S631" s="188"/>
    </row>
    <row r="632" spans="1:19" ht="18" customHeight="1">
      <c r="A632" s="245"/>
      <c r="B632" s="246"/>
      <c r="C632" s="188"/>
      <c r="D632" s="245"/>
      <c r="E632" s="247"/>
      <c r="F632" s="245"/>
      <c r="G632" s="188"/>
      <c r="H632" s="267"/>
      <c r="J632" s="188"/>
      <c r="M632" s="252"/>
      <c r="N632" s="217"/>
      <c r="O632" s="254"/>
      <c r="P632" s="266"/>
      <c r="Q632" s="271"/>
      <c r="R632" s="219" t="str">
        <f t="shared" si="17"/>
        <v/>
      </c>
      <c r="S632" s="188"/>
    </row>
    <row r="633" spans="1:19" ht="18" customHeight="1">
      <c r="A633" s="245"/>
      <c r="B633" s="246"/>
      <c r="C633" s="188"/>
      <c r="D633" s="245"/>
      <c r="E633" s="247"/>
      <c r="F633" s="245"/>
      <c r="G633" s="188"/>
      <c r="H633" s="267"/>
      <c r="J633" s="188"/>
      <c r="M633" s="252"/>
      <c r="N633" s="217"/>
      <c r="O633" s="254"/>
      <c r="P633" s="266"/>
      <c r="Q633" s="271"/>
      <c r="R633" s="219" t="str">
        <f t="shared" si="17"/>
        <v/>
      </c>
      <c r="S633" s="188"/>
    </row>
    <row r="634" spans="1:19" ht="18" customHeight="1">
      <c r="A634" s="245"/>
      <c r="B634" s="246"/>
      <c r="C634" s="188"/>
      <c r="D634" s="245"/>
      <c r="E634" s="247"/>
      <c r="F634" s="245"/>
      <c r="G634" s="188"/>
      <c r="H634" s="267"/>
      <c r="J634" s="188"/>
      <c r="M634" s="252"/>
      <c r="N634" s="217"/>
      <c r="O634" s="254"/>
      <c r="P634" s="266"/>
      <c r="Q634" s="271"/>
      <c r="R634" s="219" t="str">
        <f t="shared" si="17"/>
        <v/>
      </c>
      <c r="S634" s="188"/>
    </row>
    <row r="635" spans="1:19" ht="18" customHeight="1">
      <c r="A635" s="245"/>
      <c r="B635" s="246"/>
      <c r="C635" s="188"/>
      <c r="D635" s="245"/>
      <c r="E635" s="247"/>
      <c r="F635" s="245"/>
      <c r="G635" s="188"/>
      <c r="H635" s="267"/>
      <c r="J635" s="188"/>
      <c r="M635" s="252"/>
      <c r="N635" s="217"/>
      <c r="O635" s="254"/>
      <c r="P635" s="266"/>
      <c r="Q635" s="271"/>
      <c r="R635" s="219" t="str">
        <f t="shared" si="17"/>
        <v/>
      </c>
      <c r="S635" s="188"/>
    </row>
    <row r="636" spans="1:19" ht="18" customHeight="1">
      <c r="A636" s="245"/>
      <c r="B636" s="246"/>
      <c r="C636" s="188"/>
      <c r="D636" s="245"/>
      <c r="E636" s="247"/>
      <c r="F636" s="245"/>
      <c r="G636" s="188"/>
      <c r="H636" s="267"/>
      <c r="J636" s="188"/>
      <c r="M636" s="252"/>
      <c r="N636" s="217"/>
      <c r="O636" s="254"/>
      <c r="P636" s="266"/>
      <c r="Q636" s="271"/>
      <c r="R636" s="219" t="str">
        <f t="shared" si="17"/>
        <v/>
      </c>
      <c r="S636" s="188"/>
    </row>
    <row r="637" spans="1:19" ht="18" customHeight="1">
      <c r="A637" s="245"/>
      <c r="B637" s="246"/>
      <c r="C637" s="188"/>
      <c r="D637" s="245"/>
      <c r="E637" s="247"/>
      <c r="F637" s="245"/>
      <c r="G637" s="188"/>
      <c r="H637" s="267"/>
      <c r="J637" s="188"/>
      <c r="M637" s="252"/>
      <c r="N637" s="217"/>
      <c r="O637" s="254"/>
      <c r="P637" s="266"/>
      <c r="Q637" s="271"/>
      <c r="R637" s="219" t="str">
        <f t="shared" si="17"/>
        <v/>
      </c>
      <c r="S637" s="188"/>
    </row>
    <row r="638" spans="1:19" ht="18" customHeight="1">
      <c r="A638" s="245"/>
      <c r="B638" s="246"/>
      <c r="C638" s="188"/>
      <c r="D638" s="245"/>
      <c r="E638" s="247"/>
      <c r="F638" s="245"/>
      <c r="G638" s="188"/>
      <c r="H638" s="267"/>
      <c r="J638" s="188"/>
      <c r="M638" s="252"/>
      <c r="N638" s="217"/>
      <c r="O638" s="254"/>
      <c r="P638" s="266"/>
      <c r="Q638" s="271"/>
      <c r="R638" s="219" t="str">
        <f t="shared" si="17"/>
        <v/>
      </c>
      <c r="S638" s="188"/>
    </row>
    <row r="639" spans="1:19" ht="18" customHeight="1">
      <c r="A639" s="245"/>
      <c r="B639" s="246"/>
      <c r="C639" s="188"/>
      <c r="D639" s="245"/>
      <c r="E639" s="247"/>
      <c r="F639" s="245"/>
      <c r="G639" s="188"/>
      <c r="H639" s="267"/>
      <c r="J639" s="188"/>
      <c r="M639" s="252"/>
      <c r="N639" s="217"/>
      <c r="O639" s="254"/>
      <c r="P639" s="266"/>
      <c r="Q639" s="271"/>
      <c r="R639" s="219" t="str">
        <f t="shared" si="17"/>
        <v/>
      </c>
      <c r="S639" s="188"/>
    </row>
    <row r="640" spans="1:19" ht="18" customHeight="1">
      <c r="A640" s="245"/>
      <c r="B640" s="246"/>
      <c r="C640" s="188"/>
      <c r="D640" s="245"/>
      <c r="E640" s="247"/>
      <c r="F640" s="245"/>
      <c r="G640" s="188"/>
      <c r="H640" s="267"/>
      <c r="J640" s="188"/>
      <c r="M640" s="252"/>
      <c r="N640" s="217"/>
      <c r="O640" s="254"/>
      <c r="P640" s="266"/>
      <c r="Q640" s="271"/>
      <c r="R640" s="219" t="str">
        <f t="shared" si="17"/>
        <v/>
      </c>
      <c r="S640" s="188"/>
    </row>
    <row r="641" spans="1:19" ht="18" customHeight="1">
      <c r="A641" s="245"/>
      <c r="B641" s="246"/>
      <c r="C641" s="188"/>
      <c r="D641" s="245"/>
      <c r="E641" s="247"/>
      <c r="F641" s="245"/>
      <c r="G641" s="188"/>
      <c r="H641" s="267"/>
      <c r="J641" s="188"/>
      <c r="M641" s="252"/>
      <c r="N641" s="217"/>
      <c r="O641" s="254"/>
      <c r="P641" s="266"/>
      <c r="Q641" s="271"/>
      <c r="R641" s="219" t="str">
        <f t="shared" si="17"/>
        <v/>
      </c>
      <c r="S641" s="188"/>
    </row>
    <row r="642" spans="1:19" ht="18" customHeight="1">
      <c r="A642" s="245"/>
      <c r="B642" s="246"/>
      <c r="C642" s="188"/>
      <c r="D642" s="245"/>
      <c r="E642" s="247"/>
      <c r="F642" s="245"/>
      <c r="G642" s="188"/>
      <c r="H642" s="267"/>
      <c r="J642" s="188"/>
      <c r="M642" s="252"/>
      <c r="N642" s="217"/>
      <c r="O642" s="254"/>
      <c r="P642" s="266"/>
      <c r="Q642" s="271"/>
      <c r="R642" s="219" t="str">
        <f t="shared" si="17"/>
        <v/>
      </c>
      <c r="S642" s="188"/>
    </row>
    <row r="643" spans="1:19" ht="18" customHeight="1">
      <c r="A643" s="245"/>
      <c r="B643" s="246"/>
      <c r="C643" s="188"/>
      <c r="D643" s="245"/>
      <c r="E643" s="247"/>
      <c r="F643" s="245"/>
      <c r="G643" s="188"/>
      <c r="H643" s="267"/>
      <c r="J643" s="188"/>
      <c r="M643" s="252"/>
      <c r="N643" s="217"/>
      <c r="O643" s="254"/>
      <c r="P643" s="266"/>
      <c r="Q643" s="271"/>
      <c r="R643" s="219" t="str">
        <f t="shared" si="17"/>
        <v/>
      </c>
      <c r="S643" s="188"/>
    </row>
    <row r="644" spans="1:19" ht="18" customHeight="1">
      <c r="A644" s="245"/>
      <c r="B644" s="246"/>
      <c r="C644" s="188"/>
      <c r="D644" s="245"/>
      <c r="E644" s="247"/>
      <c r="F644" s="245"/>
      <c r="G644" s="188"/>
      <c r="H644" s="267"/>
      <c r="J644" s="188"/>
      <c r="M644" s="252"/>
      <c r="N644" s="217"/>
      <c r="O644" s="254"/>
      <c r="P644" s="266"/>
      <c r="Q644" s="271"/>
      <c r="R644" s="219" t="str">
        <f t="shared" si="17"/>
        <v/>
      </c>
      <c r="S644" s="188"/>
    </row>
    <row r="645" spans="1:19" ht="18" customHeight="1">
      <c r="A645" s="245"/>
      <c r="B645" s="246"/>
      <c r="C645" s="188"/>
      <c r="D645" s="245"/>
      <c r="E645" s="247"/>
      <c r="F645" s="245"/>
      <c r="G645" s="188"/>
      <c r="H645" s="267"/>
      <c r="J645" s="188"/>
      <c r="M645" s="252"/>
      <c r="N645" s="217"/>
      <c r="O645" s="254"/>
      <c r="P645" s="266"/>
      <c r="Q645" s="271"/>
      <c r="R645" s="219" t="str">
        <f t="shared" si="17"/>
        <v/>
      </c>
      <c r="S645" s="188"/>
    </row>
    <row r="646" spans="1:19" ht="18" customHeight="1">
      <c r="A646" s="245"/>
      <c r="B646" s="246"/>
      <c r="C646" s="188"/>
      <c r="D646" s="245"/>
      <c r="E646" s="247"/>
      <c r="F646" s="245"/>
      <c r="G646" s="188"/>
      <c r="H646" s="267"/>
      <c r="J646" s="188"/>
      <c r="M646" s="252"/>
      <c r="N646" s="217"/>
      <c r="O646" s="254"/>
      <c r="P646" s="266"/>
      <c r="Q646" s="271"/>
      <c r="R646" s="219" t="str">
        <f t="shared" si="17"/>
        <v/>
      </c>
      <c r="S646" s="188"/>
    </row>
    <row r="647" spans="1:19" ht="18" customHeight="1">
      <c r="A647" s="245"/>
      <c r="B647" s="246"/>
      <c r="C647" s="188"/>
      <c r="D647" s="245"/>
      <c r="E647" s="247"/>
      <c r="F647" s="245"/>
      <c r="G647" s="188"/>
      <c r="H647" s="267"/>
      <c r="J647" s="188"/>
      <c r="M647" s="252"/>
      <c r="N647" s="217"/>
      <c r="O647" s="254"/>
      <c r="P647" s="266"/>
      <c r="Q647" s="271"/>
      <c r="R647" s="219" t="str">
        <f t="shared" si="17"/>
        <v/>
      </c>
      <c r="S647" s="188"/>
    </row>
    <row r="648" spans="1:19" ht="18" customHeight="1">
      <c r="A648" s="245"/>
      <c r="B648" s="246"/>
      <c r="C648" s="188"/>
      <c r="D648" s="245"/>
      <c r="E648" s="247"/>
      <c r="F648" s="245"/>
      <c r="G648" s="188"/>
      <c r="H648" s="267"/>
      <c r="J648" s="188"/>
      <c r="M648" s="252"/>
      <c r="N648" s="217"/>
      <c r="O648" s="254"/>
      <c r="P648" s="266"/>
      <c r="Q648" s="271"/>
      <c r="R648" s="219" t="str">
        <f t="shared" si="17"/>
        <v/>
      </c>
      <c r="S648" s="188"/>
    </row>
    <row r="649" spans="1:19" ht="18" customHeight="1">
      <c r="A649" s="245"/>
      <c r="B649" s="246"/>
      <c r="C649" s="188"/>
      <c r="D649" s="245"/>
      <c r="E649" s="247"/>
      <c r="F649" s="245"/>
      <c r="G649" s="188"/>
      <c r="H649" s="267"/>
      <c r="J649" s="188"/>
      <c r="M649" s="252"/>
      <c r="N649" s="217"/>
      <c r="O649" s="254"/>
      <c r="P649" s="266"/>
      <c r="Q649" s="271"/>
      <c r="R649" s="219" t="str">
        <f t="shared" si="17"/>
        <v/>
      </c>
      <c r="S649" s="188"/>
    </row>
    <row r="650" spans="1:19" ht="18" customHeight="1">
      <c r="A650" s="245"/>
      <c r="B650" s="246"/>
      <c r="C650" s="188"/>
      <c r="D650" s="245"/>
      <c r="E650" s="247"/>
      <c r="F650" s="245"/>
      <c r="G650" s="188"/>
      <c r="H650" s="267"/>
      <c r="J650" s="188"/>
      <c r="M650" s="252"/>
      <c r="N650" s="217"/>
      <c r="O650" s="254"/>
      <c r="P650" s="266"/>
      <c r="Q650" s="271"/>
      <c r="R650" s="219" t="str">
        <f t="shared" si="17"/>
        <v/>
      </c>
      <c r="S650" s="188"/>
    </row>
    <row r="651" spans="1:19" ht="18" customHeight="1">
      <c r="A651" s="245"/>
      <c r="B651" s="246"/>
      <c r="C651" s="188"/>
      <c r="D651" s="245"/>
      <c r="E651" s="247"/>
      <c r="F651" s="245"/>
      <c r="G651" s="188"/>
      <c r="H651" s="267"/>
      <c r="J651" s="188"/>
      <c r="M651" s="252"/>
      <c r="N651" s="217"/>
      <c r="O651" s="254"/>
      <c r="P651" s="266"/>
      <c r="Q651" s="271"/>
      <c r="R651" s="219" t="str">
        <f t="shared" si="17"/>
        <v/>
      </c>
      <c r="S651" s="188"/>
    </row>
    <row r="652" spans="1:19" ht="18" customHeight="1">
      <c r="A652" s="245"/>
      <c r="B652" s="246"/>
      <c r="C652" s="188"/>
      <c r="D652" s="245"/>
      <c r="E652" s="247"/>
      <c r="F652" s="245"/>
      <c r="G652" s="188"/>
      <c r="H652" s="267"/>
      <c r="J652" s="188"/>
      <c r="M652" s="252"/>
      <c r="N652" s="217"/>
      <c r="O652" s="254"/>
      <c r="P652" s="266"/>
      <c r="Q652" s="271"/>
      <c r="R652" s="219" t="str">
        <f t="shared" si="17"/>
        <v/>
      </c>
      <c r="S652" s="188"/>
    </row>
    <row r="653" spans="1:19" ht="18" customHeight="1">
      <c r="A653" s="245"/>
      <c r="B653" s="246"/>
      <c r="C653" s="188"/>
      <c r="D653" s="245"/>
      <c r="E653" s="247"/>
      <c r="F653" s="245"/>
      <c r="G653" s="188"/>
      <c r="H653" s="267"/>
      <c r="J653" s="188"/>
      <c r="M653" s="252"/>
      <c r="N653" s="217"/>
      <c r="O653" s="254"/>
      <c r="P653" s="266"/>
      <c r="Q653" s="271"/>
      <c r="R653" s="219" t="str">
        <f t="shared" si="17"/>
        <v/>
      </c>
      <c r="S653" s="188"/>
    </row>
    <row r="654" spans="1:19" ht="18" customHeight="1">
      <c r="A654" s="245"/>
      <c r="B654" s="246"/>
      <c r="C654" s="188"/>
      <c r="D654" s="245"/>
      <c r="E654" s="247"/>
      <c r="F654" s="245"/>
      <c r="G654" s="188"/>
      <c r="H654" s="267"/>
      <c r="J654" s="188"/>
      <c r="M654" s="252"/>
      <c r="N654" s="217"/>
      <c r="O654" s="254"/>
      <c r="P654" s="266"/>
      <c r="Q654" s="271"/>
      <c r="R654" s="219" t="str">
        <f t="shared" si="17"/>
        <v/>
      </c>
      <c r="S654" s="188"/>
    </row>
    <row r="655" spans="1:19" ht="18" customHeight="1">
      <c r="A655" s="245"/>
      <c r="B655" s="246"/>
      <c r="C655" s="188"/>
      <c r="D655" s="245"/>
      <c r="E655" s="247"/>
      <c r="F655" s="245"/>
      <c r="G655" s="188"/>
      <c r="H655" s="267"/>
      <c r="J655" s="188"/>
      <c r="M655" s="252"/>
      <c r="N655" s="217"/>
      <c r="O655" s="254"/>
      <c r="P655" s="266"/>
      <c r="Q655" s="271"/>
      <c r="R655" s="219" t="str">
        <f t="shared" si="17"/>
        <v/>
      </c>
      <c r="S655" s="188"/>
    </row>
    <row r="656" spans="1:19" ht="18" customHeight="1">
      <c r="A656" s="245"/>
      <c r="B656" s="246"/>
      <c r="C656" s="188"/>
      <c r="D656" s="245"/>
      <c r="E656" s="247"/>
      <c r="F656" s="245"/>
      <c r="G656" s="188"/>
      <c r="H656" s="267"/>
      <c r="J656" s="188"/>
      <c r="M656" s="252"/>
      <c r="N656" s="217"/>
      <c r="O656" s="254"/>
      <c r="P656" s="266"/>
      <c r="Q656" s="271"/>
      <c r="R656" s="219" t="str">
        <f t="shared" si="17"/>
        <v/>
      </c>
      <c r="S656" s="188"/>
    </row>
    <row r="657" spans="1:19" ht="18" customHeight="1">
      <c r="A657" s="245"/>
      <c r="B657" s="246"/>
      <c r="C657" s="188"/>
      <c r="D657" s="245"/>
      <c r="E657" s="247"/>
      <c r="F657" s="245"/>
      <c r="G657" s="188"/>
      <c r="H657" s="267"/>
      <c r="J657" s="188"/>
      <c r="M657" s="252"/>
      <c r="N657" s="217"/>
      <c r="O657" s="254"/>
      <c r="P657" s="266"/>
      <c r="Q657" s="271"/>
      <c r="R657" s="219" t="str">
        <f t="shared" si="17"/>
        <v/>
      </c>
      <c r="S657" s="188"/>
    </row>
    <row r="658" spans="1:19" ht="18" customHeight="1">
      <c r="A658" s="245"/>
      <c r="B658" s="246"/>
      <c r="C658" s="188"/>
      <c r="D658" s="245"/>
      <c r="E658" s="247"/>
      <c r="F658" s="245"/>
      <c r="G658" s="188"/>
      <c r="H658" s="267"/>
      <c r="J658" s="188"/>
      <c r="M658" s="252"/>
      <c r="N658" s="217"/>
      <c r="O658" s="254"/>
      <c r="P658" s="266"/>
      <c r="Q658" s="271"/>
      <c r="R658" s="219" t="str">
        <f t="shared" si="17"/>
        <v/>
      </c>
      <c r="S658" s="188"/>
    </row>
    <row r="659" spans="1:19" ht="18" customHeight="1">
      <c r="A659" s="245"/>
      <c r="B659" s="246"/>
      <c r="C659" s="188"/>
      <c r="D659" s="245"/>
      <c r="E659" s="247"/>
      <c r="F659" s="245"/>
      <c r="G659" s="188"/>
      <c r="H659" s="267"/>
      <c r="J659" s="188"/>
      <c r="M659" s="252"/>
      <c r="N659" s="217"/>
      <c r="O659" s="254"/>
      <c r="P659" s="266"/>
      <c r="Q659" s="271"/>
      <c r="R659" s="219" t="str">
        <f t="shared" si="17"/>
        <v/>
      </c>
      <c r="S659" s="188"/>
    </row>
    <row r="660" spans="1:19" ht="18" customHeight="1">
      <c r="A660" s="245"/>
      <c r="B660" s="246"/>
      <c r="C660" s="188"/>
      <c r="D660" s="245"/>
      <c r="E660" s="247"/>
      <c r="F660" s="245"/>
      <c r="G660" s="188"/>
      <c r="H660" s="267"/>
      <c r="J660" s="188"/>
      <c r="M660" s="252"/>
      <c r="N660" s="217"/>
      <c r="O660" s="254"/>
      <c r="P660" s="266"/>
      <c r="Q660" s="271"/>
      <c r="R660" s="219" t="str">
        <f t="shared" si="17"/>
        <v/>
      </c>
      <c r="S660" s="188"/>
    </row>
    <row r="661" spans="1:19" ht="18" customHeight="1">
      <c r="A661" s="245"/>
      <c r="B661" s="246"/>
      <c r="C661" s="188"/>
      <c r="D661" s="245"/>
      <c r="E661" s="247"/>
      <c r="F661" s="245"/>
      <c r="G661" s="188"/>
      <c r="H661" s="267"/>
      <c r="J661" s="188"/>
      <c r="M661" s="252"/>
      <c r="N661" s="217"/>
      <c r="O661" s="254"/>
      <c r="P661" s="266"/>
      <c r="Q661" s="271"/>
      <c r="R661" s="219" t="str">
        <f t="shared" si="17"/>
        <v/>
      </c>
      <c r="S661" s="188"/>
    </row>
    <row r="662" spans="1:19" ht="18" customHeight="1">
      <c r="A662" s="245"/>
      <c r="B662" s="246"/>
      <c r="C662" s="188"/>
      <c r="D662" s="245"/>
      <c r="E662" s="247"/>
      <c r="F662" s="245"/>
      <c r="G662" s="188"/>
      <c r="H662" s="267"/>
      <c r="J662" s="188"/>
      <c r="M662" s="252"/>
      <c r="N662" s="217"/>
      <c r="O662" s="254"/>
      <c r="P662" s="266"/>
      <c r="Q662" s="271"/>
      <c r="R662" s="219" t="str">
        <f t="shared" si="17"/>
        <v/>
      </c>
      <c r="S662" s="188"/>
    </row>
    <row r="663" spans="1:19" ht="18" customHeight="1">
      <c r="A663" s="245"/>
      <c r="B663" s="246"/>
      <c r="C663" s="188"/>
      <c r="D663" s="245"/>
      <c r="E663" s="247"/>
      <c r="F663" s="245"/>
      <c r="G663" s="188"/>
      <c r="H663" s="267"/>
      <c r="J663" s="188"/>
      <c r="M663" s="252"/>
      <c r="N663" s="217"/>
      <c r="O663" s="254"/>
      <c r="P663" s="266"/>
      <c r="Q663" s="271"/>
      <c r="R663" s="219" t="str">
        <f t="shared" si="17"/>
        <v/>
      </c>
      <c r="S663" s="188"/>
    </row>
    <row r="664" spans="1:19" ht="18" customHeight="1">
      <c r="A664" s="245"/>
      <c r="B664" s="246"/>
      <c r="C664" s="188"/>
      <c r="D664" s="245"/>
      <c r="E664" s="247"/>
      <c r="F664" s="245"/>
      <c r="G664" s="188"/>
      <c r="H664" s="267"/>
      <c r="J664" s="188"/>
      <c r="M664" s="252"/>
      <c r="N664" s="217"/>
      <c r="O664" s="254"/>
      <c r="P664" s="266"/>
      <c r="Q664" s="271"/>
      <c r="R664" s="219" t="str">
        <f t="shared" si="17"/>
        <v/>
      </c>
      <c r="S664" s="188"/>
    </row>
    <row r="665" spans="1:19" ht="18" customHeight="1">
      <c r="A665" s="245"/>
      <c r="B665" s="246"/>
      <c r="C665" s="188"/>
      <c r="D665" s="245"/>
      <c r="E665" s="247"/>
      <c r="F665" s="245"/>
      <c r="G665" s="188"/>
      <c r="H665" s="267"/>
      <c r="J665" s="188"/>
      <c r="M665" s="252"/>
      <c r="N665" s="217"/>
      <c r="O665" s="254"/>
      <c r="P665" s="266"/>
      <c r="Q665" s="271"/>
      <c r="R665" s="219" t="str">
        <f t="shared" si="17"/>
        <v/>
      </c>
      <c r="S665" s="188"/>
    </row>
    <row r="666" spans="1:19" ht="18" customHeight="1">
      <c r="A666" s="245"/>
      <c r="B666" s="246"/>
      <c r="C666" s="188"/>
      <c r="D666" s="245"/>
      <c r="E666" s="247"/>
      <c r="F666" s="245"/>
      <c r="G666" s="188"/>
      <c r="H666" s="267"/>
      <c r="J666" s="188"/>
      <c r="M666" s="252"/>
      <c r="N666" s="217"/>
      <c r="O666" s="254"/>
      <c r="P666" s="266"/>
      <c r="Q666" s="271"/>
      <c r="R666" s="219" t="str">
        <f t="shared" si="17"/>
        <v/>
      </c>
      <c r="S666" s="188"/>
    </row>
    <row r="667" spans="1:19" ht="18" customHeight="1">
      <c r="A667" s="245"/>
      <c r="B667" s="246"/>
      <c r="C667" s="188"/>
      <c r="D667" s="245"/>
      <c r="E667" s="247"/>
      <c r="F667" s="245"/>
      <c r="G667" s="188"/>
      <c r="H667" s="267"/>
      <c r="J667" s="188"/>
      <c r="M667" s="252"/>
      <c r="N667" s="217"/>
      <c r="O667" s="254"/>
      <c r="P667" s="266"/>
      <c r="Q667" s="271"/>
      <c r="R667" s="219" t="str">
        <f t="shared" si="17"/>
        <v/>
      </c>
      <c r="S667" s="188"/>
    </row>
    <row r="668" spans="1:19" ht="18" customHeight="1">
      <c r="A668" s="245"/>
      <c r="B668" s="246"/>
      <c r="C668" s="188"/>
      <c r="D668" s="245"/>
      <c r="E668" s="247"/>
      <c r="F668" s="245"/>
      <c r="G668" s="188"/>
      <c r="H668" s="267"/>
      <c r="J668" s="188"/>
      <c r="M668" s="252"/>
      <c r="N668" s="217"/>
      <c r="O668" s="254"/>
      <c r="P668" s="266"/>
      <c r="Q668" s="271"/>
      <c r="R668" s="219" t="str">
        <f t="shared" si="17"/>
        <v/>
      </c>
      <c r="S668" s="188"/>
    </row>
    <row r="669" spans="1:19" ht="18" customHeight="1">
      <c r="A669" s="245"/>
      <c r="B669" s="246"/>
      <c r="C669" s="188"/>
      <c r="D669" s="245"/>
      <c r="E669" s="247"/>
      <c r="F669" s="245"/>
      <c r="G669" s="188"/>
      <c r="H669" s="267"/>
      <c r="J669" s="188"/>
      <c r="M669" s="252"/>
      <c r="N669" s="217"/>
      <c r="O669" s="254"/>
      <c r="P669" s="266"/>
      <c r="Q669" s="271"/>
      <c r="R669" s="219" t="str">
        <f t="shared" si="17"/>
        <v/>
      </c>
      <c r="S669" s="188"/>
    </row>
    <row r="670" spans="1:19" ht="18" customHeight="1">
      <c r="A670" s="245"/>
      <c r="B670" s="246"/>
      <c r="C670" s="188"/>
      <c r="D670" s="245"/>
      <c r="E670" s="247"/>
      <c r="F670" s="245"/>
      <c r="G670" s="188"/>
      <c r="H670" s="267"/>
      <c r="J670" s="188"/>
      <c r="M670" s="252"/>
      <c r="N670" s="217"/>
      <c r="O670" s="254"/>
      <c r="P670" s="266"/>
      <c r="Q670" s="271"/>
      <c r="R670" s="219" t="str">
        <f t="shared" si="17"/>
        <v/>
      </c>
      <c r="S670" s="188"/>
    </row>
    <row r="671" spans="1:19" ht="18" customHeight="1">
      <c r="A671" s="245"/>
      <c r="B671" s="246"/>
      <c r="C671" s="188"/>
      <c r="D671" s="245"/>
      <c r="E671" s="247"/>
      <c r="F671" s="245"/>
      <c r="G671" s="188"/>
      <c r="H671" s="267"/>
      <c r="J671" s="188"/>
      <c r="M671" s="252"/>
      <c r="N671" s="217"/>
      <c r="O671" s="254"/>
      <c r="P671" s="266"/>
      <c r="Q671" s="271"/>
      <c r="R671" s="219" t="str">
        <f t="shared" si="17"/>
        <v/>
      </c>
      <c r="S671" s="188"/>
    </row>
    <row r="672" spans="1:19" ht="18" customHeight="1">
      <c r="A672" s="245"/>
      <c r="B672" s="246"/>
      <c r="C672" s="188"/>
      <c r="D672" s="245"/>
      <c r="E672" s="247"/>
      <c r="F672" s="245"/>
      <c r="G672" s="188"/>
      <c r="H672" s="267"/>
      <c r="J672" s="188"/>
      <c r="M672" s="252"/>
      <c r="N672" s="217"/>
      <c r="O672" s="254"/>
      <c r="P672" s="266"/>
      <c r="Q672" s="271"/>
      <c r="R672" s="219" t="str">
        <f t="shared" si="17"/>
        <v/>
      </c>
      <c r="S672" s="188"/>
    </row>
    <row r="673" spans="1:19" ht="18" customHeight="1">
      <c r="A673" s="245"/>
      <c r="B673" s="246"/>
      <c r="C673" s="188"/>
      <c r="D673" s="245"/>
      <c r="E673" s="247"/>
      <c r="F673" s="245"/>
      <c r="G673" s="188"/>
      <c r="H673" s="267"/>
      <c r="J673" s="188"/>
      <c r="M673" s="252"/>
      <c r="N673" s="217"/>
      <c r="O673" s="254"/>
      <c r="P673" s="266"/>
      <c r="Q673" s="271"/>
      <c r="R673" s="219" t="str">
        <f t="shared" si="17"/>
        <v/>
      </c>
      <c r="S673" s="188"/>
    </row>
    <row r="674" spans="1:19" ht="18" customHeight="1">
      <c r="A674" s="245"/>
      <c r="B674" s="246"/>
      <c r="C674" s="188"/>
      <c r="D674" s="245"/>
      <c r="E674" s="247"/>
      <c r="F674" s="245"/>
      <c r="G674" s="188"/>
      <c r="H674" s="267"/>
      <c r="J674" s="188"/>
      <c r="M674" s="252"/>
      <c r="N674" s="217"/>
      <c r="O674" s="254"/>
      <c r="P674" s="266"/>
      <c r="Q674" s="271"/>
      <c r="R674" s="219" t="str">
        <f t="shared" si="17"/>
        <v/>
      </c>
      <c r="S674" s="188"/>
    </row>
    <row r="675" spans="1:19" ht="18" customHeight="1">
      <c r="A675" s="245"/>
      <c r="B675" s="246"/>
      <c r="C675" s="188"/>
      <c r="D675" s="245"/>
      <c r="E675" s="247"/>
      <c r="F675" s="245"/>
      <c r="G675" s="188"/>
      <c r="H675" s="267"/>
      <c r="J675" s="188"/>
      <c r="M675" s="252"/>
      <c r="N675" s="217"/>
      <c r="O675" s="254"/>
      <c r="P675" s="266"/>
      <c r="Q675" s="271"/>
      <c r="R675" s="219" t="str">
        <f t="shared" ref="R675:R738" si="18">IF(SUM(Q675)&gt;0,SUM(Q675-P675),"")</f>
        <v/>
      </c>
      <c r="S675" s="188"/>
    </row>
    <row r="676" spans="1:19" ht="18" customHeight="1">
      <c r="A676" s="245"/>
      <c r="B676" s="246"/>
      <c r="C676" s="188"/>
      <c r="D676" s="245"/>
      <c r="E676" s="247"/>
      <c r="F676" s="245"/>
      <c r="G676" s="188"/>
      <c r="H676" s="267"/>
      <c r="J676" s="188"/>
      <c r="M676" s="252"/>
      <c r="N676" s="217"/>
      <c r="O676" s="254"/>
      <c r="P676" s="266"/>
      <c r="Q676" s="271"/>
      <c r="R676" s="219" t="str">
        <f t="shared" si="18"/>
        <v/>
      </c>
      <c r="S676" s="188"/>
    </row>
    <row r="677" spans="1:19" ht="18" customHeight="1">
      <c r="A677" s="245"/>
      <c r="B677" s="246"/>
      <c r="C677" s="188"/>
      <c r="D677" s="245"/>
      <c r="E677" s="247"/>
      <c r="F677" s="245"/>
      <c r="G677" s="188"/>
      <c r="H677" s="267"/>
      <c r="J677" s="188"/>
      <c r="M677" s="252"/>
      <c r="N677" s="217"/>
      <c r="O677" s="254"/>
      <c r="P677" s="266"/>
      <c r="Q677" s="271"/>
      <c r="R677" s="219" t="str">
        <f t="shared" si="18"/>
        <v/>
      </c>
      <c r="S677" s="188"/>
    </row>
    <row r="678" spans="1:19" ht="18" customHeight="1">
      <c r="A678" s="245"/>
      <c r="B678" s="246"/>
      <c r="C678" s="188"/>
      <c r="D678" s="245"/>
      <c r="E678" s="247"/>
      <c r="F678" s="245"/>
      <c r="G678" s="188"/>
      <c r="H678" s="267"/>
      <c r="J678" s="188"/>
      <c r="M678" s="252"/>
      <c r="N678" s="217"/>
      <c r="O678" s="254"/>
      <c r="P678" s="266"/>
      <c r="Q678" s="271"/>
      <c r="R678" s="219" t="str">
        <f t="shared" si="18"/>
        <v/>
      </c>
      <c r="S678" s="188"/>
    </row>
    <row r="679" spans="1:19" ht="18" customHeight="1">
      <c r="A679" s="245"/>
      <c r="B679" s="246"/>
      <c r="C679" s="188"/>
      <c r="D679" s="245"/>
      <c r="E679" s="247"/>
      <c r="F679" s="245"/>
      <c r="G679" s="188"/>
      <c r="H679" s="267"/>
      <c r="J679" s="188"/>
      <c r="M679" s="252"/>
      <c r="N679" s="217"/>
      <c r="O679" s="254"/>
      <c r="P679" s="266"/>
      <c r="Q679" s="271"/>
      <c r="R679" s="219" t="str">
        <f t="shared" si="18"/>
        <v/>
      </c>
      <c r="S679" s="188"/>
    </row>
    <row r="680" spans="1:19" ht="18" customHeight="1">
      <c r="A680" s="245"/>
      <c r="B680" s="246"/>
      <c r="C680" s="188"/>
      <c r="D680" s="245"/>
      <c r="E680" s="247"/>
      <c r="F680" s="245"/>
      <c r="G680" s="188"/>
      <c r="H680" s="267"/>
      <c r="J680" s="188"/>
      <c r="M680" s="252"/>
      <c r="N680" s="217"/>
      <c r="O680" s="254"/>
      <c r="P680" s="266"/>
      <c r="Q680" s="271"/>
      <c r="R680" s="219" t="str">
        <f t="shared" si="18"/>
        <v/>
      </c>
      <c r="S680" s="188"/>
    </row>
    <row r="681" spans="1:19" ht="18" customHeight="1">
      <c r="A681" s="245"/>
      <c r="B681" s="246"/>
      <c r="C681" s="188"/>
      <c r="D681" s="245"/>
      <c r="E681" s="247"/>
      <c r="F681" s="245"/>
      <c r="G681" s="188"/>
      <c r="H681" s="267"/>
      <c r="J681" s="188"/>
      <c r="M681" s="252"/>
      <c r="N681" s="217"/>
      <c r="O681" s="254"/>
      <c r="P681" s="266"/>
      <c r="Q681" s="271"/>
      <c r="R681" s="219" t="str">
        <f t="shared" si="18"/>
        <v/>
      </c>
      <c r="S681" s="188"/>
    </row>
    <row r="682" spans="1:19" ht="18" customHeight="1">
      <c r="A682" s="245"/>
      <c r="B682" s="246"/>
      <c r="C682" s="188"/>
      <c r="D682" s="245"/>
      <c r="E682" s="247"/>
      <c r="F682" s="245"/>
      <c r="G682" s="188"/>
      <c r="H682" s="267"/>
      <c r="J682" s="188"/>
      <c r="M682" s="252"/>
      <c r="N682" s="217"/>
      <c r="O682" s="254"/>
      <c r="P682" s="266"/>
      <c r="Q682" s="271"/>
      <c r="R682" s="219" t="str">
        <f t="shared" si="18"/>
        <v/>
      </c>
      <c r="S682" s="188"/>
    </row>
    <row r="683" spans="1:19" ht="18" customHeight="1">
      <c r="A683" s="245"/>
      <c r="B683" s="246"/>
      <c r="C683" s="188"/>
      <c r="D683" s="245"/>
      <c r="E683" s="247"/>
      <c r="F683" s="245"/>
      <c r="G683" s="188"/>
      <c r="H683" s="267"/>
      <c r="J683" s="188"/>
      <c r="M683" s="252"/>
      <c r="N683" s="217"/>
      <c r="O683" s="254"/>
      <c r="P683" s="266"/>
      <c r="Q683" s="271"/>
      <c r="R683" s="219" t="str">
        <f t="shared" si="18"/>
        <v/>
      </c>
      <c r="S683" s="188"/>
    </row>
    <row r="684" spans="1:19" ht="18" customHeight="1">
      <c r="A684" s="245"/>
      <c r="B684" s="246"/>
      <c r="C684" s="188"/>
      <c r="D684" s="245"/>
      <c r="E684" s="247"/>
      <c r="F684" s="245"/>
      <c r="G684" s="188"/>
      <c r="H684" s="267"/>
      <c r="J684" s="188"/>
      <c r="M684" s="252"/>
      <c r="N684" s="217"/>
      <c r="O684" s="254"/>
      <c r="P684" s="266"/>
      <c r="Q684" s="271"/>
      <c r="R684" s="219" t="str">
        <f t="shared" si="18"/>
        <v/>
      </c>
      <c r="S684" s="188"/>
    </row>
    <row r="685" spans="1:19" ht="18" customHeight="1">
      <c r="A685" s="245"/>
      <c r="B685" s="246"/>
      <c r="C685" s="188"/>
      <c r="D685" s="245"/>
      <c r="E685" s="247"/>
      <c r="F685" s="245"/>
      <c r="G685" s="188"/>
      <c r="H685" s="267"/>
      <c r="J685" s="188"/>
      <c r="M685" s="252"/>
      <c r="N685" s="217"/>
      <c r="O685" s="254"/>
      <c r="P685" s="266"/>
      <c r="Q685" s="271"/>
      <c r="R685" s="219" t="str">
        <f t="shared" si="18"/>
        <v/>
      </c>
      <c r="S685" s="188"/>
    </row>
    <row r="686" spans="1:19" ht="18" customHeight="1">
      <c r="A686" s="245"/>
      <c r="B686" s="246"/>
      <c r="C686" s="188"/>
      <c r="D686" s="245"/>
      <c r="E686" s="247"/>
      <c r="F686" s="245"/>
      <c r="G686" s="188"/>
      <c r="H686" s="267"/>
      <c r="J686" s="188"/>
      <c r="M686" s="252"/>
      <c r="N686" s="217"/>
      <c r="O686" s="254"/>
      <c r="P686" s="266"/>
      <c r="Q686" s="271"/>
      <c r="R686" s="219" t="str">
        <f t="shared" si="18"/>
        <v/>
      </c>
      <c r="S686" s="188"/>
    </row>
    <row r="687" spans="1:19" ht="18" customHeight="1">
      <c r="A687" s="245"/>
      <c r="B687" s="246"/>
      <c r="C687" s="188"/>
      <c r="D687" s="245"/>
      <c r="E687" s="247"/>
      <c r="F687" s="245"/>
      <c r="G687" s="188"/>
      <c r="H687" s="267"/>
      <c r="J687" s="188"/>
      <c r="M687" s="252"/>
      <c r="N687" s="217"/>
      <c r="O687" s="254"/>
      <c r="P687" s="266"/>
      <c r="Q687" s="271"/>
      <c r="R687" s="219" t="str">
        <f t="shared" si="18"/>
        <v/>
      </c>
      <c r="S687" s="188"/>
    </row>
    <row r="688" spans="1:19" ht="18" customHeight="1">
      <c r="A688" s="245"/>
      <c r="B688" s="246"/>
      <c r="C688" s="188"/>
      <c r="D688" s="245"/>
      <c r="E688" s="247"/>
      <c r="F688" s="245"/>
      <c r="G688" s="188"/>
      <c r="H688" s="267"/>
      <c r="J688" s="188"/>
      <c r="M688" s="252"/>
      <c r="N688" s="217"/>
      <c r="O688" s="254"/>
      <c r="P688" s="266"/>
      <c r="Q688" s="271"/>
      <c r="R688" s="219" t="str">
        <f t="shared" si="18"/>
        <v/>
      </c>
      <c r="S688" s="188"/>
    </row>
    <row r="689" spans="1:19" ht="18" customHeight="1">
      <c r="A689" s="245"/>
      <c r="B689" s="246"/>
      <c r="C689" s="188"/>
      <c r="D689" s="245"/>
      <c r="E689" s="247"/>
      <c r="F689" s="245"/>
      <c r="G689" s="188"/>
      <c r="H689" s="267"/>
      <c r="J689" s="188"/>
      <c r="M689" s="252"/>
      <c r="N689" s="217"/>
      <c r="O689" s="254"/>
      <c r="P689" s="266"/>
      <c r="Q689" s="271"/>
      <c r="R689" s="219" t="str">
        <f t="shared" si="18"/>
        <v/>
      </c>
      <c r="S689" s="188"/>
    </row>
    <row r="690" spans="1:19" ht="18" customHeight="1">
      <c r="A690" s="245"/>
      <c r="B690" s="246"/>
      <c r="C690" s="188"/>
      <c r="D690" s="245"/>
      <c r="E690" s="247"/>
      <c r="F690" s="245"/>
      <c r="G690" s="188"/>
      <c r="H690" s="267"/>
      <c r="J690" s="188"/>
      <c r="M690" s="252"/>
      <c r="N690" s="217"/>
      <c r="O690" s="254"/>
      <c r="P690" s="266"/>
      <c r="Q690" s="271"/>
      <c r="R690" s="219" t="str">
        <f t="shared" si="18"/>
        <v/>
      </c>
      <c r="S690" s="188"/>
    </row>
    <row r="691" spans="1:19" ht="18" customHeight="1">
      <c r="A691" s="245"/>
      <c r="B691" s="246"/>
      <c r="C691" s="188"/>
      <c r="D691" s="245"/>
      <c r="E691" s="247"/>
      <c r="F691" s="245"/>
      <c r="G691" s="188"/>
      <c r="H691" s="267"/>
      <c r="J691" s="188"/>
      <c r="M691" s="252"/>
      <c r="N691" s="217"/>
      <c r="O691" s="254"/>
      <c r="P691" s="266"/>
      <c r="Q691" s="271"/>
      <c r="R691" s="219" t="str">
        <f t="shared" si="18"/>
        <v/>
      </c>
      <c r="S691" s="188"/>
    </row>
    <row r="692" spans="1:19" ht="18" customHeight="1">
      <c r="A692" s="245"/>
      <c r="B692" s="246"/>
      <c r="C692" s="188"/>
      <c r="D692" s="245"/>
      <c r="E692" s="247"/>
      <c r="F692" s="245"/>
      <c r="G692" s="188"/>
      <c r="H692" s="267"/>
      <c r="J692" s="188"/>
      <c r="M692" s="252"/>
      <c r="N692" s="217"/>
      <c r="O692" s="254"/>
      <c r="P692" s="266"/>
      <c r="Q692" s="271"/>
      <c r="R692" s="219" t="str">
        <f t="shared" si="18"/>
        <v/>
      </c>
      <c r="S692" s="188"/>
    </row>
    <row r="693" spans="1:19" ht="18" customHeight="1">
      <c r="A693" s="245"/>
      <c r="B693" s="246"/>
      <c r="C693" s="188"/>
      <c r="D693" s="245"/>
      <c r="E693" s="247"/>
      <c r="F693" s="245"/>
      <c r="G693" s="188"/>
      <c r="H693" s="267"/>
      <c r="J693" s="188"/>
      <c r="M693" s="252"/>
      <c r="N693" s="217"/>
      <c r="O693" s="254"/>
      <c r="P693" s="266"/>
      <c r="Q693" s="271"/>
      <c r="R693" s="219" t="str">
        <f t="shared" si="18"/>
        <v/>
      </c>
      <c r="S693" s="188"/>
    </row>
    <row r="694" spans="1:19" ht="18" customHeight="1">
      <c r="A694" s="245"/>
      <c r="B694" s="246"/>
      <c r="C694" s="188"/>
      <c r="D694" s="245"/>
      <c r="E694" s="247"/>
      <c r="F694" s="245"/>
      <c r="G694" s="188"/>
      <c r="H694" s="267"/>
      <c r="J694" s="188"/>
      <c r="M694" s="252"/>
      <c r="N694" s="217"/>
      <c r="O694" s="254"/>
      <c r="P694" s="266"/>
      <c r="Q694" s="271"/>
      <c r="R694" s="219" t="str">
        <f t="shared" si="18"/>
        <v/>
      </c>
      <c r="S694" s="188"/>
    </row>
    <row r="695" spans="1:19" ht="18" customHeight="1">
      <c r="A695" s="245"/>
      <c r="B695" s="246"/>
      <c r="C695" s="188"/>
      <c r="D695" s="245"/>
      <c r="E695" s="247"/>
      <c r="F695" s="245"/>
      <c r="G695" s="188"/>
      <c r="H695" s="267"/>
      <c r="J695" s="188"/>
      <c r="M695" s="252"/>
      <c r="N695" s="217"/>
      <c r="O695" s="254"/>
      <c r="P695" s="266"/>
      <c r="Q695" s="271"/>
      <c r="R695" s="219" t="str">
        <f t="shared" si="18"/>
        <v/>
      </c>
      <c r="S695" s="188"/>
    </row>
    <row r="696" spans="1:19" ht="18" customHeight="1">
      <c r="A696" s="245"/>
      <c r="B696" s="246"/>
      <c r="C696" s="188"/>
      <c r="D696" s="245"/>
      <c r="E696" s="247"/>
      <c r="F696" s="245"/>
      <c r="G696" s="188"/>
      <c r="H696" s="267"/>
      <c r="J696" s="188"/>
      <c r="M696" s="252"/>
      <c r="N696" s="217"/>
      <c r="O696" s="254"/>
      <c r="P696" s="266"/>
      <c r="Q696" s="271"/>
      <c r="R696" s="219" t="str">
        <f t="shared" si="18"/>
        <v/>
      </c>
      <c r="S696" s="188"/>
    </row>
    <row r="697" spans="1:19" ht="18" customHeight="1">
      <c r="A697" s="245"/>
      <c r="B697" s="246"/>
      <c r="C697" s="188"/>
      <c r="D697" s="245"/>
      <c r="E697" s="247"/>
      <c r="F697" s="245"/>
      <c r="G697" s="188"/>
      <c r="H697" s="267"/>
      <c r="J697" s="188"/>
      <c r="M697" s="252"/>
      <c r="N697" s="217"/>
      <c r="O697" s="254"/>
      <c r="P697" s="266"/>
      <c r="Q697" s="271"/>
      <c r="R697" s="219" t="str">
        <f t="shared" si="18"/>
        <v/>
      </c>
      <c r="S697" s="188"/>
    </row>
    <row r="698" spans="1:19" ht="18" customHeight="1">
      <c r="A698" s="245"/>
      <c r="B698" s="246"/>
      <c r="C698" s="188"/>
      <c r="D698" s="245"/>
      <c r="E698" s="247"/>
      <c r="F698" s="245"/>
      <c r="G698" s="188"/>
      <c r="H698" s="267"/>
      <c r="J698" s="188"/>
      <c r="M698" s="252"/>
      <c r="N698" s="217"/>
      <c r="O698" s="254"/>
      <c r="P698" s="266"/>
      <c r="Q698" s="271"/>
      <c r="R698" s="219" t="str">
        <f t="shared" si="18"/>
        <v/>
      </c>
      <c r="S698" s="188"/>
    </row>
    <row r="699" spans="1:19" ht="18" customHeight="1">
      <c r="A699" s="245"/>
      <c r="B699" s="246"/>
      <c r="C699" s="188"/>
      <c r="D699" s="245"/>
      <c r="E699" s="247"/>
      <c r="F699" s="245"/>
      <c r="G699" s="188"/>
      <c r="H699" s="267"/>
      <c r="J699" s="188"/>
      <c r="M699" s="252"/>
      <c r="N699" s="217"/>
      <c r="O699" s="254"/>
      <c r="P699" s="266"/>
      <c r="Q699" s="271"/>
      <c r="R699" s="219" t="str">
        <f t="shared" si="18"/>
        <v/>
      </c>
      <c r="S699" s="188"/>
    </row>
    <row r="700" spans="1:19" ht="18" customHeight="1">
      <c r="A700" s="245"/>
      <c r="B700" s="246"/>
      <c r="C700" s="188"/>
      <c r="D700" s="245"/>
      <c r="E700" s="247"/>
      <c r="F700" s="245"/>
      <c r="G700" s="188"/>
      <c r="H700" s="267"/>
      <c r="J700" s="188"/>
      <c r="M700" s="252"/>
      <c r="N700" s="217"/>
      <c r="O700" s="254"/>
      <c r="P700" s="266"/>
      <c r="Q700" s="271"/>
      <c r="R700" s="219" t="str">
        <f t="shared" si="18"/>
        <v/>
      </c>
      <c r="S700" s="188"/>
    </row>
    <row r="701" spans="1:19" ht="18" customHeight="1">
      <c r="A701" s="245"/>
      <c r="B701" s="246"/>
      <c r="C701" s="188"/>
      <c r="D701" s="245"/>
      <c r="E701" s="247"/>
      <c r="F701" s="245"/>
      <c r="G701" s="188"/>
      <c r="H701" s="267"/>
      <c r="J701" s="188"/>
      <c r="M701" s="252"/>
      <c r="N701" s="217"/>
      <c r="O701" s="254"/>
      <c r="P701" s="266"/>
      <c r="Q701" s="271"/>
      <c r="R701" s="219" t="str">
        <f t="shared" si="18"/>
        <v/>
      </c>
      <c r="S701" s="188"/>
    </row>
    <row r="702" spans="1:19" ht="18" customHeight="1">
      <c r="A702" s="245"/>
      <c r="B702" s="246"/>
      <c r="C702" s="188"/>
      <c r="D702" s="245"/>
      <c r="E702" s="247"/>
      <c r="F702" s="245"/>
      <c r="G702" s="188"/>
      <c r="H702" s="267"/>
      <c r="J702" s="188"/>
      <c r="M702" s="252"/>
      <c r="N702" s="217"/>
      <c r="O702" s="254"/>
      <c r="P702" s="266"/>
      <c r="Q702" s="271"/>
      <c r="R702" s="219" t="str">
        <f t="shared" si="18"/>
        <v/>
      </c>
      <c r="S702" s="188"/>
    </row>
    <row r="703" spans="1:19" ht="18" customHeight="1">
      <c r="A703" s="245"/>
      <c r="B703" s="246"/>
      <c r="C703" s="188"/>
      <c r="D703" s="245"/>
      <c r="E703" s="247"/>
      <c r="F703" s="245"/>
      <c r="G703" s="188"/>
      <c r="H703" s="267"/>
      <c r="J703" s="188"/>
      <c r="M703" s="252"/>
      <c r="N703" s="217"/>
      <c r="O703" s="254"/>
      <c r="P703" s="266"/>
      <c r="Q703" s="271"/>
      <c r="R703" s="219" t="str">
        <f t="shared" si="18"/>
        <v/>
      </c>
      <c r="S703" s="188"/>
    </row>
    <row r="704" spans="1:19" ht="18" customHeight="1">
      <c r="A704" s="245"/>
      <c r="B704" s="246"/>
      <c r="C704" s="188"/>
      <c r="D704" s="245"/>
      <c r="E704" s="247"/>
      <c r="F704" s="245"/>
      <c r="G704" s="188"/>
      <c r="H704" s="267"/>
      <c r="J704" s="188"/>
      <c r="M704" s="252"/>
      <c r="N704" s="217"/>
      <c r="O704" s="254"/>
      <c r="P704" s="266"/>
      <c r="Q704" s="271"/>
      <c r="R704" s="219" t="str">
        <f t="shared" si="18"/>
        <v/>
      </c>
      <c r="S704" s="188"/>
    </row>
    <row r="705" spans="1:19" ht="18" customHeight="1">
      <c r="A705" s="245"/>
      <c r="B705" s="246"/>
      <c r="C705" s="188"/>
      <c r="D705" s="245"/>
      <c r="E705" s="247"/>
      <c r="F705" s="245"/>
      <c r="G705" s="188"/>
      <c r="H705" s="267"/>
      <c r="J705" s="188"/>
      <c r="M705" s="252"/>
      <c r="N705" s="217"/>
      <c r="O705" s="254"/>
      <c r="P705" s="266"/>
      <c r="Q705" s="271"/>
      <c r="R705" s="219" t="str">
        <f t="shared" si="18"/>
        <v/>
      </c>
      <c r="S705" s="188"/>
    </row>
    <row r="706" spans="1:19" ht="18" customHeight="1">
      <c r="A706" s="245"/>
      <c r="B706" s="246"/>
      <c r="C706" s="188"/>
      <c r="D706" s="245"/>
      <c r="E706" s="247"/>
      <c r="F706" s="245"/>
      <c r="G706" s="188"/>
      <c r="H706" s="267"/>
      <c r="J706" s="188"/>
      <c r="M706" s="252"/>
      <c r="N706" s="217"/>
      <c r="O706" s="254"/>
      <c r="P706" s="266"/>
      <c r="Q706" s="271"/>
      <c r="R706" s="219" t="str">
        <f t="shared" si="18"/>
        <v/>
      </c>
      <c r="S706" s="188"/>
    </row>
    <row r="707" spans="1:19" ht="18" customHeight="1">
      <c r="A707" s="245"/>
      <c r="B707" s="246"/>
      <c r="C707" s="188"/>
      <c r="D707" s="245"/>
      <c r="E707" s="247"/>
      <c r="F707" s="245"/>
      <c r="G707" s="188"/>
      <c r="H707" s="267"/>
      <c r="J707" s="188"/>
      <c r="M707" s="252"/>
      <c r="N707" s="217"/>
      <c r="O707" s="254"/>
      <c r="P707" s="266"/>
      <c r="Q707" s="271"/>
      <c r="R707" s="219" t="str">
        <f t="shared" si="18"/>
        <v/>
      </c>
      <c r="S707" s="188"/>
    </row>
    <row r="708" spans="1:19" ht="18" customHeight="1">
      <c r="A708" s="245"/>
      <c r="B708" s="246"/>
      <c r="C708" s="188"/>
      <c r="D708" s="245"/>
      <c r="E708" s="247"/>
      <c r="F708" s="245"/>
      <c r="G708" s="188"/>
      <c r="H708" s="267"/>
      <c r="J708" s="188"/>
      <c r="M708" s="252"/>
      <c r="N708" s="217"/>
      <c r="O708" s="254"/>
      <c r="P708" s="266"/>
      <c r="Q708" s="271"/>
      <c r="R708" s="219" t="str">
        <f t="shared" si="18"/>
        <v/>
      </c>
      <c r="S708" s="188"/>
    </row>
    <row r="709" spans="1:19" ht="18" customHeight="1">
      <c r="A709" s="245"/>
      <c r="B709" s="246"/>
      <c r="C709" s="188"/>
      <c r="D709" s="245"/>
      <c r="E709" s="247"/>
      <c r="F709" s="245"/>
      <c r="G709" s="188"/>
      <c r="H709" s="267"/>
      <c r="J709" s="188"/>
      <c r="M709" s="252"/>
      <c r="N709" s="217"/>
      <c r="O709" s="254"/>
      <c r="P709" s="266"/>
      <c r="Q709" s="271"/>
      <c r="R709" s="219" t="str">
        <f t="shared" si="18"/>
        <v/>
      </c>
      <c r="S709" s="188"/>
    </row>
    <row r="710" spans="1:19" ht="18" customHeight="1">
      <c r="A710" s="245"/>
      <c r="B710" s="246"/>
      <c r="C710" s="188"/>
      <c r="D710" s="245"/>
      <c r="E710" s="247"/>
      <c r="F710" s="245"/>
      <c r="G710" s="188"/>
      <c r="H710" s="267"/>
      <c r="J710" s="188"/>
      <c r="M710" s="252"/>
      <c r="N710" s="217"/>
      <c r="O710" s="254"/>
      <c r="P710" s="266"/>
      <c r="Q710" s="271"/>
      <c r="R710" s="219" t="str">
        <f t="shared" si="18"/>
        <v/>
      </c>
      <c r="S710" s="188"/>
    </row>
    <row r="711" spans="1:19" ht="18" customHeight="1">
      <c r="A711" s="245"/>
      <c r="B711" s="246"/>
      <c r="C711" s="188"/>
      <c r="D711" s="245"/>
      <c r="E711" s="247"/>
      <c r="F711" s="245"/>
      <c r="G711" s="188"/>
      <c r="H711" s="267"/>
      <c r="J711" s="188"/>
      <c r="M711" s="252"/>
      <c r="N711" s="217"/>
      <c r="O711" s="254"/>
      <c r="P711" s="266"/>
      <c r="Q711" s="271"/>
      <c r="R711" s="219" t="str">
        <f t="shared" si="18"/>
        <v/>
      </c>
      <c r="S711" s="188"/>
    </row>
    <row r="712" spans="1:19" ht="18" customHeight="1">
      <c r="A712" s="245"/>
      <c r="B712" s="246"/>
      <c r="C712" s="188"/>
      <c r="D712" s="245"/>
      <c r="E712" s="247"/>
      <c r="F712" s="245"/>
      <c r="G712" s="188"/>
      <c r="H712" s="267"/>
      <c r="J712" s="188"/>
      <c r="M712" s="252"/>
      <c r="N712" s="217"/>
      <c r="O712" s="254"/>
      <c r="P712" s="266"/>
      <c r="Q712" s="271"/>
      <c r="R712" s="219" t="str">
        <f t="shared" si="18"/>
        <v/>
      </c>
      <c r="S712" s="188"/>
    </row>
    <row r="713" spans="1:19" ht="18" customHeight="1">
      <c r="A713" s="245"/>
      <c r="B713" s="246"/>
      <c r="C713" s="188"/>
      <c r="D713" s="245"/>
      <c r="E713" s="247"/>
      <c r="F713" s="245"/>
      <c r="G713" s="188"/>
      <c r="H713" s="267"/>
      <c r="J713" s="188"/>
      <c r="M713" s="252"/>
      <c r="N713" s="217"/>
      <c r="O713" s="254"/>
      <c r="P713" s="266"/>
      <c r="Q713" s="271"/>
      <c r="R713" s="219" t="str">
        <f t="shared" si="18"/>
        <v/>
      </c>
      <c r="S713" s="188"/>
    </row>
    <row r="714" spans="1:19" ht="18" customHeight="1">
      <c r="A714" s="245"/>
      <c r="B714" s="246"/>
      <c r="C714" s="188"/>
      <c r="D714" s="245"/>
      <c r="E714" s="247"/>
      <c r="F714" s="245"/>
      <c r="G714" s="188"/>
      <c r="H714" s="267"/>
      <c r="J714" s="188"/>
      <c r="M714" s="252"/>
      <c r="N714" s="217"/>
      <c r="O714" s="254"/>
      <c r="P714" s="266"/>
      <c r="Q714" s="271"/>
      <c r="R714" s="219" t="str">
        <f t="shared" si="18"/>
        <v/>
      </c>
      <c r="S714" s="188"/>
    </row>
    <row r="715" spans="1:19" ht="18" customHeight="1">
      <c r="A715" s="245"/>
      <c r="B715" s="246"/>
      <c r="C715" s="188"/>
      <c r="D715" s="245"/>
      <c r="E715" s="247"/>
      <c r="F715" s="245"/>
      <c r="G715" s="188"/>
      <c r="H715" s="267"/>
      <c r="J715" s="188"/>
      <c r="M715" s="252"/>
      <c r="N715" s="217"/>
      <c r="O715" s="254"/>
      <c r="P715" s="266"/>
      <c r="Q715" s="271"/>
      <c r="R715" s="219" t="str">
        <f t="shared" si="18"/>
        <v/>
      </c>
      <c r="S715" s="188"/>
    </row>
    <row r="716" spans="1:19" ht="18" customHeight="1">
      <c r="A716" s="245"/>
      <c r="B716" s="246"/>
      <c r="C716" s="188"/>
      <c r="D716" s="245"/>
      <c r="E716" s="247"/>
      <c r="F716" s="245"/>
      <c r="G716" s="188"/>
      <c r="H716" s="267"/>
      <c r="J716" s="188"/>
      <c r="M716" s="252"/>
      <c r="N716" s="217"/>
      <c r="O716" s="254"/>
      <c r="P716" s="266"/>
      <c r="Q716" s="271"/>
      <c r="R716" s="219" t="str">
        <f t="shared" si="18"/>
        <v/>
      </c>
      <c r="S716" s="188"/>
    </row>
    <row r="717" spans="1:19" ht="18" customHeight="1">
      <c r="A717" s="245"/>
      <c r="B717" s="246"/>
      <c r="C717" s="188"/>
      <c r="D717" s="245"/>
      <c r="E717" s="247"/>
      <c r="F717" s="245"/>
      <c r="G717" s="188"/>
      <c r="H717" s="267"/>
      <c r="J717" s="188"/>
      <c r="M717" s="252"/>
      <c r="N717" s="217"/>
      <c r="O717" s="254"/>
      <c r="P717" s="266"/>
      <c r="Q717" s="271"/>
      <c r="R717" s="219" t="str">
        <f t="shared" si="18"/>
        <v/>
      </c>
      <c r="S717" s="188"/>
    </row>
    <row r="718" spans="1:19" ht="18" customHeight="1">
      <c r="A718" s="245"/>
      <c r="B718" s="246"/>
      <c r="C718" s="188"/>
      <c r="D718" s="245"/>
      <c r="E718" s="247"/>
      <c r="F718" s="245"/>
      <c r="G718" s="188"/>
      <c r="H718" s="267"/>
      <c r="J718" s="188"/>
      <c r="M718" s="252"/>
      <c r="N718" s="217"/>
      <c r="O718" s="254"/>
      <c r="P718" s="266"/>
      <c r="Q718" s="271"/>
      <c r="R718" s="219" t="str">
        <f t="shared" si="18"/>
        <v/>
      </c>
      <c r="S718" s="188"/>
    </row>
    <row r="719" spans="1:19" ht="18" customHeight="1">
      <c r="A719" s="245"/>
      <c r="B719" s="246"/>
      <c r="C719" s="188"/>
      <c r="D719" s="245"/>
      <c r="E719" s="247"/>
      <c r="F719" s="245"/>
      <c r="G719" s="188"/>
      <c r="H719" s="267"/>
      <c r="J719" s="188"/>
      <c r="M719" s="252"/>
      <c r="N719" s="217"/>
      <c r="O719" s="254"/>
      <c r="P719" s="266"/>
      <c r="Q719" s="271"/>
      <c r="R719" s="219" t="str">
        <f t="shared" si="18"/>
        <v/>
      </c>
      <c r="S719" s="188"/>
    </row>
    <row r="720" spans="1:19" ht="18" customHeight="1">
      <c r="A720" s="245"/>
      <c r="B720" s="246"/>
      <c r="C720" s="188"/>
      <c r="D720" s="245"/>
      <c r="E720" s="247"/>
      <c r="F720" s="245"/>
      <c r="G720" s="188"/>
      <c r="H720" s="267"/>
      <c r="J720" s="188"/>
      <c r="M720" s="252"/>
      <c r="N720" s="217"/>
      <c r="O720" s="254"/>
      <c r="P720" s="266"/>
      <c r="Q720" s="271"/>
      <c r="R720" s="219" t="str">
        <f t="shared" si="18"/>
        <v/>
      </c>
      <c r="S720" s="188"/>
    </row>
    <row r="721" spans="1:19" ht="18" customHeight="1">
      <c r="A721" s="245"/>
      <c r="B721" s="246"/>
      <c r="C721" s="188"/>
      <c r="D721" s="245"/>
      <c r="E721" s="247"/>
      <c r="F721" s="245"/>
      <c r="G721" s="188"/>
      <c r="H721" s="267"/>
      <c r="J721" s="188"/>
      <c r="M721" s="252"/>
      <c r="N721" s="217"/>
      <c r="O721" s="254"/>
      <c r="P721" s="266"/>
      <c r="Q721" s="271"/>
      <c r="R721" s="219" t="str">
        <f t="shared" si="18"/>
        <v/>
      </c>
      <c r="S721" s="188"/>
    </row>
    <row r="722" spans="1:19" ht="18" customHeight="1">
      <c r="A722" s="245"/>
      <c r="B722" s="246"/>
      <c r="C722" s="188"/>
      <c r="D722" s="245"/>
      <c r="E722" s="247"/>
      <c r="F722" s="245"/>
      <c r="G722" s="188"/>
      <c r="H722" s="267"/>
      <c r="J722" s="188"/>
      <c r="M722" s="252"/>
      <c r="N722" s="217"/>
      <c r="O722" s="254"/>
      <c r="P722" s="266"/>
      <c r="Q722" s="271"/>
      <c r="R722" s="219" t="str">
        <f t="shared" si="18"/>
        <v/>
      </c>
      <c r="S722" s="188"/>
    </row>
    <row r="723" spans="1:19" ht="18" customHeight="1">
      <c r="A723" s="245"/>
      <c r="B723" s="246"/>
      <c r="C723" s="188"/>
      <c r="D723" s="245"/>
      <c r="E723" s="247"/>
      <c r="F723" s="245"/>
      <c r="G723" s="188"/>
      <c r="H723" s="267"/>
      <c r="J723" s="188"/>
      <c r="M723" s="252"/>
      <c r="N723" s="217"/>
      <c r="O723" s="254"/>
      <c r="P723" s="266"/>
      <c r="Q723" s="271"/>
      <c r="R723" s="219" t="str">
        <f t="shared" si="18"/>
        <v/>
      </c>
      <c r="S723" s="188"/>
    </row>
    <row r="724" spans="1:19" ht="18" customHeight="1">
      <c r="A724" s="245"/>
      <c r="B724" s="246"/>
      <c r="C724" s="188"/>
      <c r="D724" s="245"/>
      <c r="E724" s="247"/>
      <c r="F724" s="245"/>
      <c r="G724" s="188"/>
      <c r="H724" s="267"/>
      <c r="J724" s="188"/>
      <c r="M724" s="252"/>
      <c r="N724" s="217"/>
      <c r="O724" s="254"/>
      <c r="P724" s="266"/>
      <c r="Q724" s="271"/>
      <c r="R724" s="219" t="str">
        <f t="shared" si="18"/>
        <v/>
      </c>
      <c r="S724" s="188"/>
    </row>
    <row r="725" spans="1:19" ht="18" customHeight="1">
      <c r="A725" s="245"/>
      <c r="B725" s="246"/>
      <c r="C725" s="188"/>
      <c r="D725" s="245"/>
      <c r="E725" s="247"/>
      <c r="F725" s="245"/>
      <c r="G725" s="188"/>
      <c r="H725" s="267"/>
      <c r="J725" s="188"/>
      <c r="M725" s="252"/>
      <c r="N725" s="217"/>
      <c r="O725" s="254"/>
      <c r="P725" s="266"/>
      <c r="Q725" s="271"/>
      <c r="R725" s="219" t="str">
        <f t="shared" si="18"/>
        <v/>
      </c>
      <c r="S725" s="188"/>
    </row>
    <row r="726" spans="1:19" ht="18" customHeight="1">
      <c r="A726" s="245"/>
      <c r="B726" s="246"/>
      <c r="C726" s="188"/>
      <c r="D726" s="245"/>
      <c r="E726" s="247"/>
      <c r="F726" s="245"/>
      <c r="G726" s="188"/>
      <c r="H726" s="267"/>
      <c r="J726" s="188"/>
      <c r="M726" s="252"/>
      <c r="N726" s="217"/>
      <c r="O726" s="254"/>
      <c r="P726" s="266"/>
      <c r="Q726" s="271"/>
      <c r="R726" s="219" t="str">
        <f t="shared" si="18"/>
        <v/>
      </c>
      <c r="S726" s="188"/>
    </row>
    <row r="727" spans="1:19" ht="18" customHeight="1">
      <c r="A727" s="245"/>
      <c r="B727" s="246"/>
      <c r="C727" s="188"/>
      <c r="D727" s="245"/>
      <c r="E727" s="247"/>
      <c r="F727" s="245"/>
      <c r="G727" s="188"/>
      <c r="H727" s="267"/>
      <c r="J727" s="188"/>
      <c r="M727" s="252"/>
      <c r="N727" s="217"/>
      <c r="O727" s="254"/>
      <c r="P727" s="266"/>
      <c r="Q727" s="271"/>
      <c r="R727" s="219" t="str">
        <f t="shared" si="18"/>
        <v/>
      </c>
      <c r="S727" s="188"/>
    </row>
    <row r="728" spans="1:19" ht="18" customHeight="1">
      <c r="A728" s="245"/>
      <c r="B728" s="246"/>
      <c r="C728" s="188"/>
      <c r="D728" s="245"/>
      <c r="E728" s="247"/>
      <c r="F728" s="245"/>
      <c r="G728" s="188"/>
      <c r="H728" s="267"/>
      <c r="J728" s="188"/>
      <c r="M728" s="252"/>
      <c r="N728" s="217"/>
      <c r="O728" s="254"/>
      <c r="P728" s="266"/>
      <c r="Q728" s="271"/>
      <c r="R728" s="219" t="str">
        <f t="shared" si="18"/>
        <v/>
      </c>
      <c r="S728" s="188"/>
    </row>
    <row r="729" spans="1:19" ht="18" customHeight="1">
      <c r="A729" s="245"/>
      <c r="B729" s="246"/>
      <c r="C729" s="188"/>
      <c r="D729" s="245"/>
      <c r="E729" s="247"/>
      <c r="F729" s="245"/>
      <c r="G729" s="188"/>
      <c r="H729" s="267"/>
      <c r="J729" s="188"/>
      <c r="M729" s="252"/>
      <c r="N729" s="217"/>
      <c r="O729" s="254"/>
      <c r="P729" s="266"/>
      <c r="Q729" s="271"/>
      <c r="R729" s="219" t="str">
        <f t="shared" si="18"/>
        <v/>
      </c>
      <c r="S729" s="188"/>
    </row>
    <row r="730" spans="1:19" ht="18" customHeight="1">
      <c r="A730" s="245"/>
      <c r="B730" s="246"/>
      <c r="C730" s="188"/>
      <c r="D730" s="245"/>
      <c r="E730" s="247"/>
      <c r="F730" s="245"/>
      <c r="G730" s="188"/>
      <c r="H730" s="267"/>
      <c r="J730" s="188"/>
      <c r="M730" s="252"/>
      <c r="N730" s="217"/>
      <c r="O730" s="254"/>
      <c r="P730" s="266"/>
      <c r="Q730" s="271"/>
      <c r="R730" s="219" t="str">
        <f t="shared" si="18"/>
        <v/>
      </c>
      <c r="S730" s="188"/>
    </row>
    <row r="731" spans="1:19" ht="18" customHeight="1">
      <c r="A731" s="245"/>
      <c r="B731" s="246"/>
      <c r="C731" s="188"/>
      <c r="D731" s="245"/>
      <c r="E731" s="247"/>
      <c r="F731" s="245"/>
      <c r="G731" s="188"/>
      <c r="H731" s="267"/>
      <c r="J731" s="188"/>
      <c r="M731" s="252"/>
      <c r="N731" s="217"/>
      <c r="O731" s="254"/>
      <c r="P731" s="266"/>
      <c r="Q731" s="271"/>
      <c r="R731" s="219" t="str">
        <f t="shared" si="18"/>
        <v/>
      </c>
      <c r="S731" s="188"/>
    </row>
    <row r="732" spans="1:19" ht="18" customHeight="1">
      <c r="A732" s="245"/>
      <c r="B732" s="246"/>
      <c r="C732" s="188"/>
      <c r="D732" s="245"/>
      <c r="E732" s="247"/>
      <c r="F732" s="245"/>
      <c r="G732" s="188"/>
      <c r="H732" s="267"/>
      <c r="J732" s="188"/>
      <c r="M732" s="252"/>
      <c r="N732" s="217"/>
      <c r="O732" s="254"/>
      <c r="P732" s="266"/>
      <c r="Q732" s="271"/>
      <c r="R732" s="219" t="str">
        <f t="shared" si="18"/>
        <v/>
      </c>
      <c r="S732" s="188"/>
    </row>
    <row r="733" spans="1:19" ht="18" customHeight="1">
      <c r="A733" s="245"/>
      <c r="B733" s="246"/>
      <c r="C733" s="188"/>
      <c r="D733" s="245"/>
      <c r="E733" s="247"/>
      <c r="F733" s="245"/>
      <c r="G733" s="188"/>
      <c r="H733" s="267"/>
      <c r="J733" s="188"/>
      <c r="M733" s="252"/>
      <c r="N733" s="217"/>
      <c r="O733" s="254"/>
      <c r="P733" s="266"/>
      <c r="Q733" s="271"/>
      <c r="R733" s="219" t="str">
        <f t="shared" si="18"/>
        <v/>
      </c>
      <c r="S733" s="188"/>
    </row>
    <row r="734" spans="1:19" ht="18" customHeight="1">
      <c r="A734" s="245"/>
      <c r="B734" s="246"/>
      <c r="C734" s="188"/>
      <c r="D734" s="245"/>
      <c r="E734" s="247"/>
      <c r="F734" s="245"/>
      <c r="G734" s="188"/>
      <c r="H734" s="267"/>
      <c r="J734" s="188"/>
      <c r="M734" s="252"/>
      <c r="N734" s="217"/>
      <c r="O734" s="254"/>
      <c r="P734" s="266"/>
      <c r="Q734" s="271"/>
      <c r="R734" s="219" t="str">
        <f t="shared" si="18"/>
        <v/>
      </c>
      <c r="S734" s="188"/>
    </row>
    <row r="735" spans="1:19" ht="18" customHeight="1">
      <c r="A735" s="245"/>
      <c r="B735" s="246"/>
      <c r="C735" s="188"/>
      <c r="D735" s="245"/>
      <c r="E735" s="247"/>
      <c r="F735" s="245"/>
      <c r="G735" s="188"/>
      <c r="H735" s="267"/>
      <c r="J735" s="188"/>
      <c r="M735" s="252"/>
      <c r="N735" s="217"/>
      <c r="O735" s="254"/>
      <c r="P735" s="266"/>
      <c r="Q735" s="271"/>
      <c r="R735" s="219" t="str">
        <f t="shared" si="18"/>
        <v/>
      </c>
      <c r="S735" s="188"/>
    </row>
    <row r="736" spans="1:19" ht="18" customHeight="1">
      <c r="A736" s="245"/>
      <c r="B736" s="246"/>
      <c r="C736" s="188"/>
      <c r="D736" s="245"/>
      <c r="E736" s="247"/>
      <c r="F736" s="245"/>
      <c r="G736" s="188"/>
      <c r="H736" s="267"/>
      <c r="J736" s="188"/>
      <c r="M736" s="252"/>
      <c r="N736" s="217"/>
      <c r="O736" s="254"/>
      <c r="P736" s="266"/>
      <c r="Q736" s="271"/>
      <c r="R736" s="219" t="str">
        <f t="shared" si="18"/>
        <v/>
      </c>
      <c r="S736" s="188"/>
    </row>
    <row r="737" spans="1:19" ht="18" customHeight="1">
      <c r="A737" s="245"/>
      <c r="B737" s="246"/>
      <c r="C737" s="188"/>
      <c r="D737" s="245"/>
      <c r="E737" s="247"/>
      <c r="F737" s="245"/>
      <c r="G737" s="188"/>
      <c r="H737" s="267"/>
      <c r="J737" s="188"/>
      <c r="M737" s="252"/>
      <c r="N737" s="217"/>
      <c r="O737" s="254"/>
      <c r="P737" s="266"/>
      <c r="Q737" s="271"/>
      <c r="R737" s="219" t="str">
        <f t="shared" si="18"/>
        <v/>
      </c>
      <c r="S737" s="188"/>
    </row>
    <row r="738" spans="1:19" ht="18" customHeight="1">
      <c r="A738" s="245"/>
      <c r="B738" s="246"/>
      <c r="C738" s="188"/>
      <c r="D738" s="245"/>
      <c r="E738" s="247"/>
      <c r="F738" s="245"/>
      <c r="G738" s="188"/>
      <c r="H738" s="267"/>
      <c r="J738" s="188"/>
      <c r="M738" s="252"/>
      <c r="N738" s="217"/>
      <c r="O738" s="254"/>
      <c r="P738" s="266"/>
      <c r="Q738" s="271"/>
      <c r="R738" s="219" t="str">
        <f t="shared" si="18"/>
        <v/>
      </c>
      <c r="S738" s="188"/>
    </row>
    <row r="739" spans="1:19" ht="18" customHeight="1">
      <c r="A739" s="245"/>
      <c r="B739" s="246"/>
      <c r="C739" s="188"/>
      <c r="D739" s="245"/>
      <c r="E739" s="247"/>
      <c r="F739" s="245"/>
      <c r="G739" s="188"/>
      <c r="H739" s="267"/>
      <c r="J739" s="188"/>
      <c r="M739" s="252"/>
      <c r="N739" s="217"/>
      <c r="O739" s="254"/>
      <c r="P739" s="266"/>
      <c r="Q739" s="271"/>
      <c r="R739" s="219" t="str">
        <f t="shared" ref="R739:R802" si="19">IF(SUM(Q739)&gt;0,SUM(Q739-P739),"")</f>
        <v/>
      </c>
      <c r="S739" s="188"/>
    </row>
    <row r="740" spans="1:19" ht="18" customHeight="1">
      <c r="A740" s="245"/>
      <c r="B740" s="246"/>
      <c r="C740" s="188"/>
      <c r="D740" s="245"/>
      <c r="E740" s="247"/>
      <c r="F740" s="245"/>
      <c r="G740" s="188"/>
      <c r="H740" s="267"/>
      <c r="J740" s="188"/>
      <c r="M740" s="252"/>
      <c r="N740" s="217"/>
      <c r="O740" s="254"/>
      <c r="P740" s="266"/>
      <c r="Q740" s="271"/>
      <c r="R740" s="219" t="str">
        <f t="shared" si="19"/>
        <v/>
      </c>
      <c r="S740" s="188"/>
    </row>
    <row r="741" spans="1:19" ht="18" customHeight="1">
      <c r="A741" s="245"/>
      <c r="B741" s="246"/>
      <c r="C741" s="188"/>
      <c r="D741" s="245"/>
      <c r="E741" s="247"/>
      <c r="F741" s="245"/>
      <c r="G741" s="188"/>
      <c r="H741" s="267"/>
      <c r="J741" s="188"/>
      <c r="M741" s="252"/>
      <c r="N741" s="217"/>
      <c r="O741" s="254"/>
      <c r="P741" s="266"/>
      <c r="Q741" s="271"/>
      <c r="R741" s="219" t="str">
        <f t="shared" si="19"/>
        <v/>
      </c>
      <c r="S741" s="188"/>
    </row>
    <row r="742" spans="1:19" ht="18" customHeight="1">
      <c r="A742" s="245"/>
      <c r="B742" s="246"/>
      <c r="C742" s="188"/>
      <c r="D742" s="245"/>
      <c r="E742" s="247"/>
      <c r="F742" s="245"/>
      <c r="G742" s="188"/>
      <c r="H742" s="267"/>
      <c r="J742" s="188"/>
      <c r="M742" s="252"/>
      <c r="N742" s="217"/>
      <c r="O742" s="254"/>
      <c r="P742" s="266"/>
      <c r="Q742" s="271"/>
      <c r="R742" s="219" t="str">
        <f t="shared" si="19"/>
        <v/>
      </c>
      <c r="S742" s="188"/>
    </row>
    <row r="743" spans="1:19" ht="18" customHeight="1">
      <c r="A743" s="245"/>
      <c r="B743" s="246"/>
      <c r="C743" s="188"/>
      <c r="D743" s="245"/>
      <c r="E743" s="247"/>
      <c r="F743" s="245"/>
      <c r="G743" s="188"/>
      <c r="H743" s="267"/>
      <c r="J743" s="188"/>
      <c r="M743" s="252"/>
      <c r="N743" s="217"/>
      <c r="O743" s="254"/>
      <c r="P743" s="266"/>
      <c r="Q743" s="271"/>
      <c r="R743" s="219" t="str">
        <f t="shared" si="19"/>
        <v/>
      </c>
      <c r="S743" s="188"/>
    </row>
    <row r="744" spans="1:19" ht="18" customHeight="1">
      <c r="A744" s="245"/>
      <c r="B744" s="246"/>
      <c r="C744" s="188"/>
      <c r="D744" s="245"/>
      <c r="E744" s="247"/>
      <c r="F744" s="245"/>
      <c r="G744" s="188"/>
      <c r="H744" s="267"/>
      <c r="J744" s="188"/>
      <c r="M744" s="252"/>
      <c r="N744" s="217"/>
      <c r="O744" s="254"/>
      <c r="P744" s="266"/>
      <c r="Q744" s="271"/>
      <c r="R744" s="219" t="str">
        <f t="shared" si="19"/>
        <v/>
      </c>
      <c r="S744" s="188"/>
    </row>
    <row r="745" spans="1:19" ht="18" customHeight="1">
      <c r="A745" s="245"/>
      <c r="B745" s="246"/>
      <c r="C745" s="188"/>
      <c r="D745" s="245"/>
      <c r="E745" s="247"/>
      <c r="F745" s="245"/>
      <c r="G745" s="188"/>
      <c r="H745" s="267"/>
      <c r="J745" s="188"/>
      <c r="M745" s="252"/>
      <c r="N745" s="217"/>
      <c r="O745" s="254"/>
      <c r="P745" s="266"/>
      <c r="Q745" s="271"/>
      <c r="R745" s="219" t="str">
        <f t="shared" si="19"/>
        <v/>
      </c>
      <c r="S745" s="188"/>
    </row>
    <row r="746" spans="1:19" ht="18" customHeight="1">
      <c r="A746" s="245"/>
      <c r="B746" s="246"/>
      <c r="C746" s="188"/>
      <c r="D746" s="245"/>
      <c r="E746" s="247"/>
      <c r="F746" s="245"/>
      <c r="G746" s="188"/>
      <c r="H746" s="267"/>
      <c r="J746" s="188"/>
      <c r="M746" s="252"/>
      <c r="N746" s="217"/>
      <c r="O746" s="254"/>
      <c r="P746" s="266"/>
      <c r="Q746" s="271"/>
      <c r="R746" s="219" t="str">
        <f t="shared" si="19"/>
        <v/>
      </c>
      <c r="S746" s="188"/>
    </row>
    <row r="747" spans="1:19" ht="18" customHeight="1">
      <c r="A747" s="245"/>
      <c r="B747" s="246"/>
      <c r="C747" s="188"/>
      <c r="D747" s="245"/>
      <c r="E747" s="247"/>
      <c r="F747" s="245"/>
      <c r="G747" s="188"/>
      <c r="H747" s="267"/>
      <c r="J747" s="188"/>
      <c r="M747" s="252"/>
      <c r="N747" s="217"/>
      <c r="O747" s="254"/>
      <c r="P747" s="266"/>
      <c r="Q747" s="271"/>
      <c r="R747" s="219" t="str">
        <f t="shared" si="19"/>
        <v/>
      </c>
      <c r="S747" s="188"/>
    </row>
    <row r="748" spans="1:19" ht="18" customHeight="1">
      <c r="A748" s="245"/>
      <c r="B748" s="246"/>
      <c r="C748" s="188"/>
      <c r="D748" s="245"/>
      <c r="E748" s="247"/>
      <c r="F748" s="245"/>
      <c r="G748" s="188"/>
      <c r="H748" s="267"/>
      <c r="J748" s="188"/>
      <c r="M748" s="252"/>
      <c r="N748" s="217"/>
      <c r="O748" s="254"/>
      <c r="P748" s="266"/>
      <c r="Q748" s="271"/>
      <c r="R748" s="219" t="str">
        <f t="shared" si="19"/>
        <v/>
      </c>
      <c r="S748" s="188"/>
    </row>
    <row r="749" spans="1:19" ht="18" customHeight="1">
      <c r="A749" s="245"/>
      <c r="B749" s="246"/>
      <c r="C749" s="188"/>
      <c r="D749" s="245"/>
      <c r="E749" s="247"/>
      <c r="F749" s="245"/>
      <c r="G749" s="188"/>
      <c r="H749" s="267"/>
      <c r="J749" s="188"/>
      <c r="M749" s="252"/>
      <c r="N749" s="217"/>
      <c r="O749" s="254"/>
      <c r="P749" s="266"/>
      <c r="Q749" s="271"/>
      <c r="R749" s="219" t="str">
        <f t="shared" si="19"/>
        <v/>
      </c>
      <c r="S749" s="188"/>
    </row>
    <row r="750" spans="1:19" ht="18" customHeight="1">
      <c r="A750" s="245"/>
      <c r="B750" s="246"/>
      <c r="C750" s="188"/>
      <c r="D750" s="245"/>
      <c r="E750" s="247"/>
      <c r="F750" s="245"/>
      <c r="G750" s="188"/>
      <c r="H750" s="267"/>
      <c r="J750" s="188"/>
      <c r="M750" s="252"/>
      <c r="N750" s="217"/>
      <c r="O750" s="254"/>
      <c r="P750" s="266"/>
      <c r="Q750" s="271"/>
      <c r="R750" s="219" t="str">
        <f t="shared" si="19"/>
        <v/>
      </c>
      <c r="S750" s="188"/>
    </row>
    <row r="751" spans="1:19" ht="18" customHeight="1">
      <c r="A751" s="245"/>
      <c r="B751" s="246"/>
      <c r="C751" s="188"/>
      <c r="D751" s="245"/>
      <c r="E751" s="247"/>
      <c r="F751" s="245"/>
      <c r="G751" s="188"/>
      <c r="H751" s="267"/>
      <c r="J751" s="188"/>
      <c r="M751" s="252"/>
      <c r="N751" s="217"/>
      <c r="O751" s="254"/>
      <c r="P751" s="266"/>
      <c r="Q751" s="271"/>
      <c r="R751" s="219" t="str">
        <f t="shared" si="19"/>
        <v/>
      </c>
      <c r="S751" s="188"/>
    </row>
    <row r="752" spans="1:19" ht="18" customHeight="1">
      <c r="A752" s="245"/>
      <c r="B752" s="246"/>
      <c r="C752" s="188"/>
      <c r="D752" s="245"/>
      <c r="E752" s="247"/>
      <c r="F752" s="245"/>
      <c r="G752" s="188"/>
      <c r="H752" s="267"/>
      <c r="J752" s="188"/>
      <c r="M752" s="252"/>
      <c r="N752" s="217"/>
      <c r="O752" s="254"/>
      <c r="P752" s="266"/>
      <c r="Q752" s="271"/>
      <c r="R752" s="219" t="str">
        <f t="shared" si="19"/>
        <v/>
      </c>
      <c r="S752" s="188"/>
    </row>
    <row r="753" spans="1:19" ht="18" customHeight="1">
      <c r="A753" s="245"/>
      <c r="B753" s="246"/>
      <c r="C753" s="188"/>
      <c r="D753" s="245"/>
      <c r="E753" s="247"/>
      <c r="F753" s="245"/>
      <c r="G753" s="188"/>
      <c r="H753" s="267"/>
      <c r="J753" s="188"/>
      <c r="M753" s="252"/>
      <c r="N753" s="217"/>
      <c r="O753" s="254"/>
      <c r="P753" s="266"/>
      <c r="Q753" s="271"/>
      <c r="R753" s="219" t="str">
        <f t="shared" si="19"/>
        <v/>
      </c>
      <c r="S753" s="188"/>
    </row>
    <row r="754" spans="1:19" ht="18" customHeight="1">
      <c r="A754" s="245"/>
      <c r="B754" s="246"/>
      <c r="C754" s="188"/>
      <c r="D754" s="245"/>
      <c r="E754" s="247"/>
      <c r="F754" s="245"/>
      <c r="G754" s="188"/>
      <c r="H754" s="267"/>
      <c r="J754" s="188"/>
      <c r="M754" s="252"/>
      <c r="N754" s="217"/>
      <c r="O754" s="254"/>
      <c r="P754" s="266"/>
      <c r="Q754" s="271"/>
      <c r="R754" s="219" t="str">
        <f t="shared" si="19"/>
        <v/>
      </c>
      <c r="S754" s="188"/>
    </row>
    <row r="755" spans="1:19" ht="18" customHeight="1">
      <c r="A755" s="245"/>
      <c r="B755" s="246"/>
      <c r="C755" s="188"/>
      <c r="D755" s="245"/>
      <c r="E755" s="247"/>
      <c r="F755" s="245"/>
      <c r="G755" s="188"/>
      <c r="H755" s="267"/>
      <c r="J755" s="188"/>
      <c r="M755" s="252"/>
      <c r="N755" s="217"/>
      <c r="O755" s="254"/>
      <c r="P755" s="266"/>
      <c r="Q755" s="271"/>
      <c r="R755" s="219" t="str">
        <f t="shared" si="19"/>
        <v/>
      </c>
      <c r="S755" s="188"/>
    </row>
    <row r="756" spans="1:19" ht="18" customHeight="1">
      <c r="A756" s="245"/>
      <c r="B756" s="246"/>
      <c r="C756" s="188"/>
      <c r="D756" s="245"/>
      <c r="E756" s="247"/>
      <c r="F756" s="245"/>
      <c r="G756" s="188"/>
      <c r="H756" s="267"/>
      <c r="J756" s="188"/>
      <c r="M756" s="252"/>
      <c r="N756" s="217"/>
      <c r="O756" s="254"/>
      <c r="P756" s="266"/>
      <c r="Q756" s="271"/>
      <c r="R756" s="219" t="str">
        <f t="shared" si="19"/>
        <v/>
      </c>
      <c r="S756" s="188"/>
    </row>
    <row r="757" spans="1:19" ht="18" customHeight="1">
      <c r="A757" s="245"/>
      <c r="B757" s="246"/>
      <c r="C757" s="188"/>
      <c r="D757" s="245"/>
      <c r="E757" s="247"/>
      <c r="F757" s="245"/>
      <c r="G757" s="188"/>
      <c r="H757" s="267"/>
      <c r="J757" s="188"/>
      <c r="M757" s="252"/>
      <c r="N757" s="217"/>
      <c r="O757" s="254"/>
      <c r="P757" s="266"/>
      <c r="Q757" s="271"/>
      <c r="R757" s="219" t="str">
        <f t="shared" si="19"/>
        <v/>
      </c>
      <c r="S757" s="188"/>
    </row>
    <row r="758" spans="1:19" ht="18" customHeight="1">
      <c r="A758" s="245"/>
      <c r="B758" s="246"/>
      <c r="C758" s="188"/>
      <c r="D758" s="245"/>
      <c r="E758" s="247"/>
      <c r="F758" s="245"/>
      <c r="G758" s="188"/>
      <c r="H758" s="267"/>
      <c r="J758" s="188"/>
      <c r="M758" s="252"/>
      <c r="N758" s="217"/>
      <c r="O758" s="254"/>
      <c r="P758" s="266"/>
      <c r="Q758" s="271"/>
      <c r="R758" s="219" t="str">
        <f t="shared" si="19"/>
        <v/>
      </c>
      <c r="S758" s="188"/>
    </row>
    <row r="759" spans="1:19" ht="18" customHeight="1">
      <c r="A759" s="245"/>
      <c r="B759" s="246"/>
      <c r="C759" s="188"/>
      <c r="D759" s="245"/>
      <c r="E759" s="247"/>
      <c r="F759" s="245"/>
      <c r="G759" s="188"/>
      <c r="H759" s="267"/>
      <c r="J759" s="188"/>
      <c r="M759" s="252"/>
      <c r="N759" s="217"/>
      <c r="O759" s="254"/>
      <c r="P759" s="266"/>
      <c r="Q759" s="271"/>
      <c r="R759" s="219" t="str">
        <f t="shared" si="19"/>
        <v/>
      </c>
      <c r="S759" s="188"/>
    </row>
    <row r="760" spans="1:19" ht="18" customHeight="1">
      <c r="A760" s="245"/>
      <c r="B760" s="246"/>
      <c r="C760" s="188"/>
      <c r="D760" s="245"/>
      <c r="E760" s="247"/>
      <c r="F760" s="245"/>
      <c r="G760" s="188"/>
      <c r="H760" s="267"/>
      <c r="J760" s="188"/>
      <c r="M760" s="252"/>
      <c r="N760" s="217"/>
      <c r="O760" s="254"/>
      <c r="P760" s="266"/>
      <c r="Q760" s="271"/>
      <c r="R760" s="219" t="str">
        <f t="shared" si="19"/>
        <v/>
      </c>
      <c r="S760" s="188"/>
    </row>
    <row r="761" spans="1:19" ht="18" customHeight="1">
      <c r="A761" s="245"/>
      <c r="B761" s="246"/>
      <c r="C761" s="188"/>
      <c r="D761" s="245"/>
      <c r="E761" s="247"/>
      <c r="F761" s="245"/>
      <c r="G761" s="188"/>
      <c r="H761" s="267"/>
      <c r="J761" s="188"/>
      <c r="M761" s="252"/>
      <c r="N761" s="217"/>
      <c r="O761" s="254"/>
      <c r="P761" s="266"/>
      <c r="Q761" s="271"/>
      <c r="R761" s="219" t="str">
        <f t="shared" si="19"/>
        <v/>
      </c>
      <c r="S761" s="188"/>
    </row>
    <row r="762" spans="1:19" ht="18" customHeight="1">
      <c r="A762" s="245"/>
      <c r="B762" s="246"/>
      <c r="C762" s="188"/>
      <c r="D762" s="245"/>
      <c r="E762" s="247"/>
      <c r="F762" s="245"/>
      <c r="G762" s="188"/>
      <c r="H762" s="267"/>
      <c r="J762" s="188"/>
      <c r="M762" s="252"/>
      <c r="N762" s="217"/>
      <c r="O762" s="254"/>
      <c r="P762" s="266"/>
      <c r="Q762" s="271"/>
      <c r="R762" s="219" t="str">
        <f t="shared" si="19"/>
        <v/>
      </c>
      <c r="S762" s="188"/>
    </row>
    <row r="763" spans="1:19" ht="18" customHeight="1">
      <c r="A763" s="245"/>
      <c r="B763" s="246"/>
      <c r="C763" s="188"/>
      <c r="D763" s="245"/>
      <c r="E763" s="247"/>
      <c r="F763" s="245"/>
      <c r="G763" s="188"/>
      <c r="H763" s="267"/>
      <c r="J763" s="188"/>
      <c r="M763" s="252"/>
      <c r="N763" s="217"/>
      <c r="O763" s="254"/>
      <c r="P763" s="266"/>
      <c r="Q763" s="271"/>
      <c r="R763" s="219" t="str">
        <f t="shared" si="19"/>
        <v/>
      </c>
      <c r="S763" s="188"/>
    </row>
    <row r="764" spans="1:19" ht="18" customHeight="1">
      <c r="A764" s="245"/>
      <c r="B764" s="246"/>
      <c r="C764" s="188"/>
      <c r="D764" s="245"/>
      <c r="E764" s="247"/>
      <c r="F764" s="245"/>
      <c r="G764" s="188"/>
      <c r="H764" s="267"/>
      <c r="J764" s="188"/>
      <c r="M764" s="252"/>
      <c r="N764" s="217"/>
      <c r="O764" s="254"/>
      <c r="P764" s="266"/>
      <c r="Q764" s="271"/>
      <c r="R764" s="219" t="str">
        <f t="shared" si="19"/>
        <v/>
      </c>
      <c r="S764" s="188"/>
    </row>
    <row r="765" spans="1:19" ht="18" customHeight="1">
      <c r="A765" s="245"/>
      <c r="B765" s="246"/>
      <c r="C765" s="188"/>
      <c r="D765" s="245"/>
      <c r="E765" s="247"/>
      <c r="F765" s="245"/>
      <c r="G765" s="188"/>
      <c r="H765" s="267"/>
      <c r="J765" s="188"/>
      <c r="M765" s="252"/>
      <c r="N765" s="217"/>
      <c r="O765" s="254"/>
      <c r="P765" s="266"/>
      <c r="Q765" s="271"/>
      <c r="R765" s="219" t="str">
        <f t="shared" si="19"/>
        <v/>
      </c>
      <c r="S765" s="188"/>
    </row>
    <row r="766" spans="1:19" ht="18" customHeight="1">
      <c r="A766" s="245"/>
      <c r="B766" s="246"/>
      <c r="C766" s="188"/>
      <c r="D766" s="245"/>
      <c r="E766" s="247"/>
      <c r="F766" s="245"/>
      <c r="G766" s="188"/>
      <c r="H766" s="267"/>
      <c r="J766" s="188"/>
      <c r="M766" s="252"/>
      <c r="N766" s="217"/>
      <c r="O766" s="254"/>
      <c r="P766" s="266"/>
      <c r="Q766" s="271"/>
      <c r="R766" s="219" t="str">
        <f t="shared" si="19"/>
        <v/>
      </c>
      <c r="S766" s="188"/>
    </row>
    <row r="767" spans="1:19" ht="18" customHeight="1">
      <c r="A767" s="245"/>
      <c r="B767" s="246"/>
      <c r="C767" s="188"/>
      <c r="D767" s="245"/>
      <c r="E767" s="247"/>
      <c r="F767" s="245"/>
      <c r="G767" s="188"/>
      <c r="H767" s="267"/>
      <c r="J767" s="188"/>
      <c r="M767" s="252"/>
      <c r="N767" s="217"/>
      <c r="O767" s="254"/>
      <c r="P767" s="266"/>
      <c r="Q767" s="271"/>
      <c r="R767" s="219" t="str">
        <f t="shared" si="19"/>
        <v/>
      </c>
      <c r="S767" s="188"/>
    </row>
    <row r="768" spans="1:19" ht="18" customHeight="1">
      <c r="A768" s="245"/>
      <c r="B768" s="246"/>
      <c r="C768" s="188"/>
      <c r="D768" s="245"/>
      <c r="E768" s="247"/>
      <c r="F768" s="245"/>
      <c r="G768" s="188"/>
      <c r="H768" s="267"/>
      <c r="J768" s="188"/>
      <c r="M768" s="252"/>
      <c r="N768" s="217"/>
      <c r="O768" s="254"/>
      <c r="P768" s="266"/>
      <c r="Q768" s="271"/>
      <c r="R768" s="219" t="str">
        <f t="shared" si="19"/>
        <v/>
      </c>
      <c r="S768" s="188"/>
    </row>
    <row r="769" spans="1:19" ht="18" customHeight="1">
      <c r="A769" s="245"/>
      <c r="B769" s="246"/>
      <c r="C769" s="188"/>
      <c r="D769" s="245"/>
      <c r="E769" s="247"/>
      <c r="F769" s="245"/>
      <c r="G769" s="188"/>
      <c r="H769" s="267"/>
      <c r="J769" s="188"/>
      <c r="M769" s="252"/>
      <c r="N769" s="217"/>
      <c r="O769" s="254"/>
      <c r="P769" s="266"/>
      <c r="Q769" s="271"/>
      <c r="R769" s="219" t="str">
        <f t="shared" si="19"/>
        <v/>
      </c>
      <c r="S769" s="188"/>
    </row>
    <row r="770" spans="1:19" ht="18" customHeight="1">
      <c r="A770" s="245"/>
      <c r="B770" s="246"/>
      <c r="C770" s="188"/>
      <c r="D770" s="245"/>
      <c r="E770" s="247"/>
      <c r="F770" s="245"/>
      <c r="G770" s="188"/>
      <c r="H770" s="267"/>
      <c r="J770" s="188"/>
      <c r="M770" s="252"/>
      <c r="N770" s="217"/>
      <c r="O770" s="254"/>
      <c r="P770" s="266"/>
      <c r="Q770" s="271"/>
      <c r="R770" s="219" t="str">
        <f t="shared" si="19"/>
        <v/>
      </c>
      <c r="S770" s="188"/>
    </row>
    <row r="771" spans="1:19" ht="18" customHeight="1">
      <c r="A771" s="245"/>
      <c r="B771" s="246"/>
      <c r="C771" s="188"/>
      <c r="D771" s="245"/>
      <c r="E771" s="247"/>
      <c r="F771" s="245"/>
      <c r="G771" s="188"/>
      <c r="H771" s="267"/>
      <c r="J771" s="188"/>
      <c r="M771" s="252"/>
      <c r="N771" s="217"/>
      <c r="O771" s="254"/>
      <c r="P771" s="266"/>
      <c r="Q771" s="271"/>
      <c r="R771" s="219" t="str">
        <f t="shared" si="19"/>
        <v/>
      </c>
      <c r="S771" s="188"/>
    </row>
    <row r="772" spans="1:19" ht="18" customHeight="1">
      <c r="A772" s="245"/>
      <c r="B772" s="246"/>
      <c r="C772" s="188"/>
      <c r="D772" s="245"/>
      <c r="E772" s="247"/>
      <c r="F772" s="245"/>
      <c r="G772" s="188"/>
      <c r="H772" s="267"/>
      <c r="J772" s="188"/>
      <c r="M772" s="252"/>
      <c r="N772" s="217"/>
      <c r="O772" s="254"/>
      <c r="P772" s="266"/>
      <c r="Q772" s="271"/>
      <c r="R772" s="219" t="str">
        <f t="shared" si="19"/>
        <v/>
      </c>
      <c r="S772" s="188"/>
    </row>
    <row r="773" spans="1:19" ht="18" customHeight="1">
      <c r="A773" s="245"/>
      <c r="B773" s="246"/>
      <c r="C773" s="188"/>
      <c r="D773" s="245"/>
      <c r="E773" s="247"/>
      <c r="F773" s="245"/>
      <c r="G773" s="188"/>
      <c r="H773" s="267"/>
      <c r="J773" s="188"/>
      <c r="M773" s="252"/>
      <c r="N773" s="217"/>
      <c r="O773" s="254"/>
      <c r="P773" s="266"/>
      <c r="Q773" s="271"/>
      <c r="R773" s="219" t="str">
        <f t="shared" si="19"/>
        <v/>
      </c>
      <c r="S773" s="188"/>
    </row>
    <row r="774" spans="1:19" ht="18" customHeight="1">
      <c r="A774" s="245"/>
      <c r="B774" s="246"/>
      <c r="C774" s="188"/>
      <c r="D774" s="245"/>
      <c r="E774" s="247"/>
      <c r="F774" s="245"/>
      <c r="G774" s="188"/>
      <c r="H774" s="267"/>
      <c r="J774" s="188"/>
      <c r="M774" s="252"/>
      <c r="N774" s="217"/>
      <c r="O774" s="254"/>
      <c r="P774" s="266"/>
      <c r="Q774" s="271"/>
      <c r="R774" s="219" t="str">
        <f t="shared" si="19"/>
        <v/>
      </c>
      <c r="S774" s="188"/>
    </row>
    <row r="775" spans="1:19" ht="18" customHeight="1">
      <c r="A775" s="245"/>
      <c r="B775" s="246"/>
      <c r="C775" s="188"/>
      <c r="D775" s="245"/>
      <c r="E775" s="247"/>
      <c r="F775" s="245"/>
      <c r="G775" s="188"/>
      <c r="H775" s="267"/>
      <c r="J775" s="188"/>
      <c r="M775" s="252"/>
      <c r="N775" s="217"/>
      <c r="O775" s="254"/>
      <c r="P775" s="266"/>
      <c r="Q775" s="271"/>
      <c r="R775" s="219" t="str">
        <f t="shared" si="19"/>
        <v/>
      </c>
      <c r="S775" s="188"/>
    </row>
    <row r="776" spans="1:19" ht="18" customHeight="1">
      <c r="A776" s="245"/>
      <c r="B776" s="246"/>
      <c r="C776" s="188"/>
      <c r="D776" s="245"/>
      <c r="E776" s="247"/>
      <c r="F776" s="245"/>
      <c r="G776" s="188"/>
      <c r="H776" s="267"/>
      <c r="J776" s="188"/>
      <c r="M776" s="252"/>
      <c r="N776" s="217"/>
      <c r="O776" s="254"/>
      <c r="P776" s="266"/>
      <c r="Q776" s="271"/>
      <c r="R776" s="219" t="str">
        <f t="shared" si="19"/>
        <v/>
      </c>
      <c r="S776" s="188"/>
    </row>
    <row r="777" spans="1:19" ht="18" customHeight="1">
      <c r="A777" s="245"/>
      <c r="B777" s="246"/>
      <c r="C777" s="188"/>
      <c r="D777" s="245"/>
      <c r="E777" s="247"/>
      <c r="F777" s="245"/>
      <c r="G777" s="188"/>
      <c r="H777" s="267"/>
      <c r="J777" s="188"/>
      <c r="M777" s="252"/>
      <c r="N777" s="217"/>
      <c r="O777" s="254"/>
      <c r="P777" s="266"/>
      <c r="Q777" s="271"/>
      <c r="R777" s="219" t="str">
        <f t="shared" si="19"/>
        <v/>
      </c>
      <c r="S777" s="188"/>
    </row>
    <row r="778" spans="1:19" ht="18" customHeight="1">
      <c r="A778" s="245"/>
      <c r="B778" s="246"/>
      <c r="C778" s="188"/>
      <c r="D778" s="245"/>
      <c r="E778" s="247"/>
      <c r="F778" s="245"/>
      <c r="G778" s="188"/>
      <c r="H778" s="267"/>
      <c r="J778" s="188"/>
      <c r="M778" s="252"/>
      <c r="N778" s="217"/>
      <c r="O778" s="254"/>
      <c r="P778" s="266"/>
      <c r="Q778" s="271"/>
      <c r="R778" s="219" t="str">
        <f t="shared" si="19"/>
        <v/>
      </c>
      <c r="S778" s="188"/>
    </row>
    <row r="779" spans="1:19" ht="18" customHeight="1">
      <c r="A779" s="245"/>
      <c r="B779" s="246"/>
      <c r="C779" s="188"/>
      <c r="D779" s="245"/>
      <c r="E779" s="247"/>
      <c r="F779" s="245"/>
      <c r="G779" s="188"/>
      <c r="H779" s="267"/>
      <c r="J779" s="188"/>
      <c r="M779" s="252"/>
      <c r="N779" s="217"/>
      <c r="O779" s="254"/>
      <c r="P779" s="266"/>
      <c r="Q779" s="271"/>
      <c r="R779" s="219" t="str">
        <f t="shared" si="19"/>
        <v/>
      </c>
      <c r="S779" s="188"/>
    </row>
    <row r="780" spans="1:19" ht="18" customHeight="1">
      <c r="A780" s="245"/>
      <c r="B780" s="246"/>
      <c r="C780" s="188"/>
      <c r="D780" s="245"/>
      <c r="E780" s="247"/>
      <c r="F780" s="245"/>
      <c r="G780" s="188"/>
      <c r="H780" s="267"/>
      <c r="J780" s="188"/>
      <c r="M780" s="252"/>
      <c r="N780" s="217"/>
      <c r="O780" s="254"/>
      <c r="P780" s="266"/>
      <c r="Q780" s="271"/>
      <c r="R780" s="219" t="str">
        <f t="shared" si="19"/>
        <v/>
      </c>
      <c r="S780" s="188"/>
    </row>
    <row r="781" spans="1:19" ht="18" customHeight="1">
      <c r="A781" s="245"/>
      <c r="B781" s="246"/>
      <c r="C781" s="188"/>
      <c r="D781" s="245"/>
      <c r="E781" s="247"/>
      <c r="F781" s="245"/>
      <c r="G781" s="188"/>
      <c r="H781" s="267"/>
      <c r="J781" s="188"/>
      <c r="M781" s="252"/>
      <c r="N781" s="217"/>
      <c r="O781" s="254"/>
      <c r="P781" s="266"/>
      <c r="Q781" s="271"/>
      <c r="R781" s="219" t="str">
        <f t="shared" si="19"/>
        <v/>
      </c>
      <c r="S781" s="188"/>
    </row>
    <row r="782" spans="1:19" ht="18" customHeight="1">
      <c r="A782" s="245"/>
      <c r="B782" s="246"/>
      <c r="C782" s="188"/>
      <c r="D782" s="245"/>
      <c r="E782" s="247"/>
      <c r="F782" s="245"/>
      <c r="G782" s="188"/>
      <c r="H782" s="267"/>
      <c r="J782" s="188"/>
      <c r="M782" s="252"/>
      <c r="N782" s="217"/>
      <c r="O782" s="254"/>
      <c r="P782" s="266"/>
      <c r="Q782" s="271"/>
      <c r="R782" s="219" t="str">
        <f t="shared" si="19"/>
        <v/>
      </c>
      <c r="S782" s="188"/>
    </row>
    <row r="783" spans="1:19" ht="18" customHeight="1">
      <c r="A783" s="245"/>
      <c r="B783" s="246"/>
      <c r="C783" s="188"/>
      <c r="D783" s="245"/>
      <c r="E783" s="247"/>
      <c r="F783" s="245"/>
      <c r="G783" s="188"/>
      <c r="H783" s="267"/>
      <c r="J783" s="188"/>
      <c r="M783" s="252"/>
      <c r="N783" s="217"/>
      <c r="O783" s="254"/>
      <c r="P783" s="266"/>
      <c r="Q783" s="271"/>
      <c r="R783" s="219" t="str">
        <f t="shared" si="19"/>
        <v/>
      </c>
      <c r="S783" s="188"/>
    </row>
    <row r="784" spans="1:19" ht="18" customHeight="1">
      <c r="A784" s="245"/>
      <c r="B784" s="246"/>
      <c r="C784" s="188"/>
      <c r="D784" s="245"/>
      <c r="E784" s="247"/>
      <c r="F784" s="245"/>
      <c r="G784" s="188"/>
      <c r="H784" s="267"/>
      <c r="J784" s="188"/>
      <c r="M784" s="252"/>
      <c r="N784" s="217"/>
      <c r="O784" s="254"/>
      <c r="P784" s="266"/>
      <c r="Q784" s="271"/>
      <c r="R784" s="219" t="str">
        <f t="shared" si="19"/>
        <v/>
      </c>
      <c r="S784" s="188"/>
    </row>
    <row r="785" spans="1:19" ht="18" customHeight="1">
      <c r="A785" s="245"/>
      <c r="B785" s="246"/>
      <c r="C785" s="188"/>
      <c r="D785" s="245"/>
      <c r="E785" s="247"/>
      <c r="F785" s="245"/>
      <c r="G785" s="188"/>
      <c r="H785" s="267"/>
      <c r="J785" s="188"/>
      <c r="M785" s="252"/>
      <c r="N785" s="217"/>
      <c r="O785" s="254"/>
      <c r="P785" s="266"/>
      <c r="Q785" s="271"/>
      <c r="R785" s="219" t="str">
        <f t="shared" si="19"/>
        <v/>
      </c>
      <c r="S785" s="188"/>
    </row>
    <row r="786" spans="1:19" ht="18" customHeight="1">
      <c r="A786" s="245"/>
      <c r="B786" s="246"/>
      <c r="C786" s="188"/>
      <c r="D786" s="245"/>
      <c r="E786" s="247"/>
      <c r="F786" s="245"/>
      <c r="G786" s="188"/>
      <c r="H786" s="267"/>
      <c r="J786" s="188"/>
      <c r="M786" s="252"/>
      <c r="N786" s="217"/>
      <c r="O786" s="254"/>
      <c r="P786" s="266"/>
      <c r="Q786" s="271"/>
      <c r="R786" s="219" t="str">
        <f t="shared" si="19"/>
        <v/>
      </c>
      <c r="S786" s="188"/>
    </row>
    <row r="787" spans="1:19" ht="18" customHeight="1">
      <c r="A787" s="245"/>
      <c r="B787" s="246"/>
      <c r="C787" s="188"/>
      <c r="D787" s="245"/>
      <c r="E787" s="247"/>
      <c r="F787" s="245"/>
      <c r="G787" s="188"/>
      <c r="H787" s="267"/>
      <c r="J787" s="188"/>
      <c r="M787" s="252"/>
      <c r="N787" s="217"/>
      <c r="O787" s="254"/>
      <c r="P787" s="266"/>
      <c r="Q787" s="271"/>
      <c r="R787" s="219" t="str">
        <f t="shared" si="19"/>
        <v/>
      </c>
      <c r="S787" s="188"/>
    </row>
    <row r="788" spans="1:19" ht="18" customHeight="1">
      <c r="A788" s="245"/>
      <c r="B788" s="246"/>
      <c r="C788" s="188"/>
      <c r="D788" s="245"/>
      <c r="E788" s="247"/>
      <c r="F788" s="245"/>
      <c r="G788" s="188"/>
      <c r="H788" s="267"/>
      <c r="J788" s="188"/>
      <c r="M788" s="252"/>
      <c r="N788" s="217"/>
      <c r="O788" s="254"/>
      <c r="P788" s="266"/>
      <c r="Q788" s="271"/>
      <c r="R788" s="219" t="str">
        <f t="shared" si="19"/>
        <v/>
      </c>
      <c r="S788" s="188"/>
    </row>
    <row r="789" spans="1:19" ht="18" customHeight="1">
      <c r="A789" s="245"/>
      <c r="B789" s="246"/>
      <c r="C789" s="188"/>
      <c r="D789" s="245"/>
      <c r="E789" s="247"/>
      <c r="F789" s="245"/>
      <c r="G789" s="188"/>
      <c r="H789" s="267"/>
      <c r="J789" s="188"/>
      <c r="M789" s="252"/>
      <c r="N789" s="217"/>
      <c r="O789" s="254"/>
      <c r="P789" s="266"/>
      <c r="Q789" s="271"/>
      <c r="R789" s="219" t="str">
        <f t="shared" si="19"/>
        <v/>
      </c>
      <c r="S789" s="188"/>
    </row>
    <row r="790" spans="1:19" ht="18" customHeight="1">
      <c r="A790" s="245"/>
      <c r="B790" s="246"/>
      <c r="C790" s="188"/>
      <c r="D790" s="245"/>
      <c r="E790" s="247"/>
      <c r="F790" s="245"/>
      <c r="G790" s="188"/>
      <c r="H790" s="267"/>
      <c r="J790" s="188"/>
      <c r="M790" s="252"/>
      <c r="N790" s="217"/>
      <c r="O790" s="254"/>
      <c r="P790" s="266"/>
      <c r="Q790" s="271"/>
      <c r="R790" s="219" t="str">
        <f t="shared" si="19"/>
        <v/>
      </c>
      <c r="S790" s="188"/>
    </row>
    <row r="791" spans="1:19" ht="18" customHeight="1">
      <c r="A791" s="245"/>
      <c r="B791" s="246"/>
      <c r="C791" s="188"/>
      <c r="D791" s="245"/>
      <c r="E791" s="247"/>
      <c r="F791" s="245"/>
      <c r="G791" s="188"/>
      <c r="H791" s="267"/>
      <c r="J791" s="188"/>
      <c r="M791" s="252"/>
      <c r="N791" s="217"/>
      <c r="O791" s="254"/>
      <c r="P791" s="266"/>
      <c r="Q791" s="271"/>
      <c r="R791" s="219" t="str">
        <f t="shared" si="19"/>
        <v/>
      </c>
      <c r="S791" s="188"/>
    </row>
    <row r="792" spans="1:19" ht="18" customHeight="1">
      <c r="A792" s="245"/>
      <c r="B792" s="246"/>
      <c r="C792" s="188"/>
      <c r="D792" s="245"/>
      <c r="E792" s="247"/>
      <c r="F792" s="245"/>
      <c r="G792" s="188"/>
      <c r="H792" s="267"/>
      <c r="J792" s="188"/>
      <c r="M792" s="252"/>
      <c r="N792" s="217"/>
      <c r="O792" s="254"/>
      <c r="P792" s="266"/>
      <c r="Q792" s="271"/>
      <c r="R792" s="219" t="str">
        <f t="shared" si="19"/>
        <v/>
      </c>
      <c r="S792" s="188"/>
    </row>
    <row r="793" spans="1:19" ht="18" customHeight="1">
      <c r="A793" s="245"/>
      <c r="B793" s="246"/>
      <c r="C793" s="188"/>
      <c r="D793" s="245"/>
      <c r="E793" s="247"/>
      <c r="F793" s="245"/>
      <c r="G793" s="188"/>
      <c r="H793" s="267"/>
      <c r="J793" s="188"/>
      <c r="M793" s="252"/>
      <c r="N793" s="217"/>
      <c r="O793" s="254"/>
      <c r="P793" s="266"/>
      <c r="Q793" s="271"/>
      <c r="R793" s="219" t="str">
        <f t="shared" si="19"/>
        <v/>
      </c>
      <c r="S793" s="188"/>
    </row>
    <row r="794" spans="1:19" ht="18" customHeight="1">
      <c r="A794" s="245"/>
      <c r="B794" s="246"/>
      <c r="C794" s="188"/>
      <c r="D794" s="245"/>
      <c r="E794" s="247"/>
      <c r="F794" s="245"/>
      <c r="G794" s="188"/>
      <c r="H794" s="267"/>
      <c r="J794" s="188"/>
      <c r="M794" s="252"/>
      <c r="N794" s="217"/>
      <c r="O794" s="254"/>
      <c r="P794" s="266"/>
      <c r="Q794" s="271"/>
      <c r="R794" s="219" t="str">
        <f t="shared" si="19"/>
        <v/>
      </c>
      <c r="S794" s="188"/>
    </row>
    <row r="795" spans="1:19" ht="18" customHeight="1">
      <c r="A795" s="245"/>
      <c r="B795" s="246"/>
      <c r="C795" s="188"/>
      <c r="D795" s="245"/>
      <c r="E795" s="247"/>
      <c r="F795" s="245"/>
      <c r="G795" s="188"/>
      <c r="H795" s="267"/>
      <c r="J795" s="188"/>
      <c r="M795" s="252"/>
      <c r="N795" s="217"/>
      <c r="O795" s="254"/>
      <c r="P795" s="266"/>
      <c r="Q795" s="271"/>
      <c r="R795" s="219" t="str">
        <f t="shared" si="19"/>
        <v/>
      </c>
      <c r="S795" s="188"/>
    </row>
    <row r="796" spans="1:19" ht="18" customHeight="1">
      <c r="A796" s="245"/>
      <c r="B796" s="246"/>
      <c r="C796" s="188"/>
      <c r="D796" s="245"/>
      <c r="E796" s="247"/>
      <c r="F796" s="245"/>
      <c r="G796" s="188"/>
      <c r="H796" s="267"/>
      <c r="J796" s="188"/>
      <c r="M796" s="252"/>
      <c r="N796" s="217"/>
      <c r="O796" s="254"/>
      <c r="P796" s="266"/>
      <c r="Q796" s="271"/>
      <c r="R796" s="219" t="str">
        <f t="shared" si="19"/>
        <v/>
      </c>
      <c r="S796" s="188"/>
    </row>
    <row r="797" spans="1:19" ht="18" customHeight="1">
      <c r="A797" s="245"/>
      <c r="B797" s="246"/>
      <c r="C797" s="188"/>
      <c r="D797" s="245"/>
      <c r="E797" s="247"/>
      <c r="F797" s="245"/>
      <c r="G797" s="188"/>
      <c r="H797" s="267"/>
      <c r="J797" s="188"/>
      <c r="M797" s="252"/>
      <c r="N797" s="217"/>
      <c r="O797" s="254"/>
      <c r="P797" s="266"/>
      <c r="Q797" s="271"/>
      <c r="R797" s="219" t="str">
        <f t="shared" si="19"/>
        <v/>
      </c>
      <c r="S797" s="188"/>
    </row>
    <row r="798" spans="1:19" ht="18" customHeight="1">
      <c r="A798" s="245"/>
      <c r="B798" s="246"/>
      <c r="C798" s="188"/>
      <c r="D798" s="245"/>
      <c r="E798" s="247"/>
      <c r="F798" s="245"/>
      <c r="G798" s="188"/>
      <c r="H798" s="267"/>
      <c r="J798" s="188"/>
      <c r="M798" s="252"/>
      <c r="N798" s="217"/>
      <c r="O798" s="254"/>
      <c r="P798" s="266"/>
      <c r="Q798" s="271"/>
      <c r="R798" s="219" t="str">
        <f t="shared" si="19"/>
        <v/>
      </c>
      <c r="S798" s="188"/>
    </row>
    <row r="799" spans="1:19" ht="18" customHeight="1">
      <c r="A799" s="245"/>
      <c r="B799" s="246"/>
      <c r="C799" s="188"/>
      <c r="D799" s="245"/>
      <c r="E799" s="247"/>
      <c r="F799" s="245"/>
      <c r="G799" s="188"/>
      <c r="H799" s="267"/>
      <c r="J799" s="188"/>
      <c r="M799" s="252"/>
      <c r="N799" s="217"/>
      <c r="O799" s="254"/>
      <c r="P799" s="266"/>
      <c r="Q799" s="271"/>
      <c r="R799" s="219" t="str">
        <f t="shared" si="19"/>
        <v/>
      </c>
      <c r="S799" s="188"/>
    </row>
    <row r="800" spans="1:19" ht="18" customHeight="1">
      <c r="A800" s="245"/>
      <c r="B800" s="246"/>
      <c r="C800" s="188"/>
      <c r="D800" s="245"/>
      <c r="E800" s="247"/>
      <c r="F800" s="245"/>
      <c r="G800" s="188"/>
      <c r="H800" s="267"/>
      <c r="J800" s="188"/>
      <c r="M800" s="252"/>
      <c r="N800" s="217"/>
      <c r="O800" s="254"/>
      <c r="P800" s="266"/>
      <c r="Q800" s="271"/>
      <c r="R800" s="219" t="str">
        <f t="shared" si="19"/>
        <v/>
      </c>
      <c r="S800" s="188"/>
    </row>
    <row r="801" spans="1:19" ht="18" customHeight="1">
      <c r="A801" s="245"/>
      <c r="B801" s="246"/>
      <c r="C801" s="188"/>
      <c r="D801" s="245"/>
      <c r="E801" s="247"/>
      <c r="F801" s="245"/>
      <c r="G801" s="188"/>
      <c r="H801" s="267"/>
      <c r="J801" s="188"/>
      <c r="M801" s="252"/>
      <c r="N801" s="217"/>
      <c r="O801" s="254"/>
      <c r="P801" s="266"/>
      <c r="Q801" s="271"/>
      <c r="R801" s="219" t="str">
        <f t="shared" si="19"/>
        <v/>
      </c>
      <c r="S801" s="188"/>
    </row>
    <row r="802" spans="1:19" ht="18" customHeight="1">
      <c r="A802" s="245"/>
      <c r="B802" s="246"/>
      <c r="C802" s="188"/>
      <c r="D802" s="245"/>
      <c r="E802" s="247"/>
      <c r="F802" s="245"/>
      <c r="G802" s="188"/>
      <c r="H802" s="267"/>
      <c r="J802" s="188"/>
      <c r="M802" s="252"/>
      <c r="N802" s="217"/>
      <c r="O802" s="254"/>
      <c r="P802" s="266"/>
      <c r="Q802" s="271"/>
      <c r="R802" s="219" t="str">
        <f t="shared" si="19"/>
        <v/>
      </c>
      <c r="S802" s="188"/>
    </row>
    <row r="803" spans="1:19" ht="18" customHeight="1">
      <c r="A803" s="245"/>
      <c r="B803" s="246"/>
      <c r="C803" s="188"/>
      <c r="D803" s="245"/>
      <c r="E803" s="247"/>
      <c r="F803" s="245"/>
      <c r="G803" s="188"/>
      <c r="H803" s="267"/>
      <c r="J803" s="188"/>
      <c r="M803" s="252"/>
      <c r="N803" s="217"/>
      <c r="O803" s="254"/>
      <c r="P803" s="266"/>
      <c r="Q803" s="271"/>
      <c r="R803" s="219" t="str">
        <f t="shared" ref="R803:R834" si="20">IF(SUM(Q803)&gt;0,SUM(Q803-P803),"")</f>
        <v/>
      </c>
      <c r="S803" s="188"/>
    </row>
    <row r="804" spans="1:19" ht="18" customHeight="1">
      <c r="A804" s="245"/>
      <c r="B804" s="246"/>
      <c r="C804" s="188"/>
      <c r="D804" s="245"/>
      <c r="E804" s="247"/>
      <c r="F804" s="245"/>
      <c r="G804" s="188"/>
      <c r="H804" s="267"/>
      <c r="J804" s="188"/>
      <c r="M804" s="252"/>
      <c r="N804" s="217"/>
      <c r="O804" s="254"/>
      <c r="P804" s="266"/>
      <c r="Q804" s="271"/>
      <c r="R804" s="219" t="str">
        <f t="shared" si="20"/>
        <v/>
      </c>
      <c r="S804" s="188"/>
    </row>
    <row r="805" spans="1:19" ht="18" customHeight="1">
      <c r="A805" s="245"/>
      <c r="B805" s="246"/>
      <c r="C805" s="188"/>
      <c r="D805" s="245"/>
      <c r="E805" s="247"/>
      <c r="F805" s="245"/>
      <c r="G805" s="188"/>
      <c r="H805" s="267"/>
      <c r="J805" s="188"/>
      <c r="M805" s="252"/>
      <c r="N805" s="217"/>
      <c r="O805" s="254"/>
      <c r="P805" s="266"/>
      <c r="Q805" s="271"/>
      <c r="R805" s="219" t="str">
        <f t="shared" si="20"/>
        <v/>
      </c>
      <c r="S805" s="188"/>
    </row>
    <row r="806" spans="1:19" ht="18" customHeight="1">
      <c r="A806" s="245"/>
      <c r="B806" s="246"/>
      <c r="C806" s="188"/>
      <c r="D806" s="245"/>
      <c r="E806" s="247"/>
      <c r="F806" s="245"/>
      <c r="G806" s="188"/>
      <c r="H806" s="267"/>
      <c r="J806" s="188"/>
      <c r="M806" s="252"/>
      <c r="N806" s="217"/>
      <c r="O806" s="254"/>
      <c r="P806" s="266"/>
      <c r="Q806" s="271"/>
      <c r="R806" s="219" t="str">
        <f t="shared" si="20"/>
        <v/>
      </c>
      <c r="S806" s="188"/>
    </row>
    <row r="807" spans="1:19" ht="18" customHeight="1">
      <c r="A807" s="245"/>
      <c r="B807" s="246"/>
      <c r="C807" s="188"/>
      <c r="D807" s="245"/>
      <c r="E807" s="247"/>
      <c r="F807" s="245"/>
      <c r="G807" s="188"/>
      <c r="H807" s="267"/>
      <c r="J807" s="188"/>
      <c r="M807" s="252"/>
      <c r="N807" s="217"/>
      <c r="O807" s="254"/>
      <c r="P807" s="266"/>
      <c r="Q807" s="271"/>
      <c r="R807" s="219" t="str">
        <f t="shared" si="20"/>
        <v/>
      </c>
      <c r="S807" s="188"/>
    </row>
    <row r="808" spans="1:19" ht="18" customHeight="1">
      <c r="A808" s="245"/>
      <c r="B808" s="246"/>
      <c r="C808" s="188"/>
      <c r="D808" s="245"/>
      <c r="E808" s="247"/>
      <c r="F808" s="245"/>
      <c r="G808" s="188"/>
      <c r="H808" s="267"/>
      <c r="J808" s="188"/>
      <c r="M808" s="252"/>
      <c r="N808" s="217"/>
      <c r="O808" s="254"/>
      <c r="P808" s="266"/>
      <c r="Q808" s="271"/>
      <c r="R808" s="219" t="str">
        <f t="shared" si="20"/>
        <v/>
      </c>
      <c r="S808" s="188"/>
    </row>
    <row r="809" spans="1:19" ht="18" customHeight="1">
      <c r="A809" s="245"/>
      <c r="B809" s="246"/>
      <c r="C809" s="188"/>
      <c r="D809" s="245"/>
      <c r="E809" s="247"/>
      <c r="F809" s="245"/>
      <c r="G809" s="188"/>
      <c r="H809" s="267"/>
      <c r="J809" s="188"/>
      <c r="M809" s="252"/>
      <c r="N809" s="217"/>
      <c r="O809" s="254"/>
      <c r="P809" s="266"/>
      <c r="Q809" s="271"/>
      <c r="R809" s="219" t="str">
        <f t="shared" si="20"/>
        <v/>
      </c>
      <c r="S809" s="188"/>
    </row>
    <row r="810" spans="1:19" ht="18" customHeight="1">
      <c r="A810" s="245"/>
      <c r="B810" s="246"/>
      <c r="C810" s="188"/>
      <c r="D810" s="245"/>
      <c r="E810" s="247"/>
      <c r="F810" s="245"/>
      <c r="G810" s="188"/>
      <c r="H810" s="267"/>
      <c r="J810" s="188"/>
      <c r="M810" s="252"/>
      <c r="N810" s="217"/>
      <c r="O810" s="254"/>
      <c r="P810" s="266"/>
      <c r="Q810" s="271"/>
      <c r="R810" s="219" t="str">
        <f t="shared" si="20"/>
        <v/>
      </c>
      <c r="S810" s="188"/>
    </row>
    <row r="811" spans="1:19" ht="18" customHeight="1">
      <c r="A811" s="245"/>
      <c r="B811" s="246"/>
      <c r="C811" s="188"/>
      <c r="D811" s="245"/>
      <c r="E811" s="247"/>
      <c r="F811" s="245"/>
      <c r="G811" s="188"/>
      <c r="H811" s="267"/>
      <c r="J811" s="188"/>
      <c r="M811" s="252"/>
      <c r="N811" s="217"/>
      <c r="O811" s="254"/>
      <c r="P811" s="266"/>
      <c r="Q811" s="271"/>
      <c r="R811" s="219" t="str">
        <f t="shared" si="20"/>
        <v/>
      </c>
      <c r="S811" s="188"/>
    </row>
    <row r="812" spans="1:19" ht="18" customHeight="1">
      <c r="A812" s="245"/>
      <c r="B812" s="246"/>
      <c r="C812" s="188"/>
      <c r="D812" s="245"/>
      <c r="E812" s="247"/>
      <c r="F812" s="245"/>
      <c r="G812" s="188"/>
      <c r="H812" s="267"/>
      <c r="J812" s="188"/>
      <c r="M812" s="252"/>
      <c r="N812" s="217"/>
      <c r="O812" s="254"/>
      <c r="P812" s="266"/>
      <c r="Q812" s="271"/>
      <c r="R812" s="219" t="str">
        <f t="shared" si="20"/>
        <v/>
      </c>
      <c r="S812" s="188"/>
    </row>
    <row r="813" spans="1:19" ht="18" customHeight="1">
      <c r="A813" s="245"/>
      <c r="B813" s="246"/>
      <c r="C813" s="188"/>
      <c r="D813" s="245"/>
      <c r="E813" s="247"/>
      <c r="F813" s="245"/>
      <c r="G813" s="188"/>
      <c r="H813" s="267"/>
      <c r="J813" s="188"/>
      <c r="M813" s="252"/>
      <c r="N813" s="217"/>
      <c r="O813" s="254"/>
      <c r="P813" s="266"/>
      <c r="Q813" s="271"/>
      <c r="R813" s="219" t="str">
        <f t="shared" si="20"/>
        <v/>
      </c>
      <c r="S813" s="188"/>
    </row>
    <row r="814" spans="1:19" ht="18" customHeight="1">
      <c r="A814" s="245"/>
      <c r="B814" s="246"/>
      <c r="C814" s="188"/>
      <c r="D814" s="245"/>
      <c r="E814" s="247"/>
      <c r="F814" s="245"/>
      <c r="G814" s="188"/>
      <c r="H814" s="267"/>
      <c r="J814" s="188"/>
      <c r="M814" s="252"/>
      <c r="N814" s="217"/>
      <c r="O814" s="254"/>
      <c r="P814" s="266"/>
      <c r="Q814" s="271"/>
      <c r="R814" s="219" t="str">
        <f t="shared" si="20"/>
        <v/>
      </c>
      <c r="S814" s="188"/>
    </row>
    <row r="815" spans="1:19" ht="18" customHeight="1">
      <c r="A815" s="245"/>
      <c r="B815" s="246"/>
      <c r="C815" s="188"/>
      <c r="D815" s="245"/>
      <c r="E815" s="247"/>
      <c r="F815" s="245"/>
      <c r="G815" s="188"/>
      <c r="H815" s="267"/>
      <c r="J815" s="188"/>
      <c r="M815" s="252"/>
      <c r="N815" s="217"/>
      <c r="O815" s="254"/>
      <c r="P815" s="266"/>
      <c r="Q815" s="271"/>
      <c r="R815" s="219" t="str">
        <f t="shared" si="20"/>
        <v/>
      </c>
      <c r="S815" s="188"/>
    </row>
    <row r="816" spans="1:19" ht="18" customHeight="1">
      <c r="A816" s="245"/>
      <c r="B816" s="246"/>
      <c r="C816" s="188"/>
      <c r="D816" s="245"/>
      <c r="E816" s="247"/>
      <c r="F816" s="245"/>
      <c r="G816" s="188"/>
      <c r="H816" s="267"/>
      <c r="J816" s="188"/>
      <c r="M816" s="252"/>
      <c r="N816" s="217"/>
      <c r="O816" s="254"/>
      <c r="P816" s="266"/>
      <c r="Q816" s="271"/>
      <c r="R816" s="219" t="str">
        <f t="shared" si="20"/>
        <v/>
      </c>
      <c r="S816" s="188"/>
    </row>
    <row r="817" spans="1:19" ht="18" customHeight="1">
      <c r="A817" s="245"/>
      <c r="B817" s="246"/>
      <c r="C817" s="188"/>
      <c r="D817" s="245"/>
      <c r="E817" s="247"/>
      <c r="F817" s="245"/>
      <c r="G817" s="188"/>
      <c r="H817" s="267"/>
      <c r="J817" s="188"/>
      <c r="M817" s="252"/>
      <c r="N817" s="217"/>
      <c r="O817" s="254"/>
      <c r="P817" s="266"/>
      <c r="Q817" s="271"/>
      <c r="R817" s="219" t="str">
        <f t="shared" si="20"/>
        <v/>
      </c>
      <c r="S817" s="188"/>
    </row>
    <row r="818" spans="1:19" ht="18" customHeight="1">
      <c r="A818" s="245"/>
      <c r="B818" s="246"/>
      <c r="C818" s="188"/>
      <c r="D818" s="245"/>
      <c r="E818" s="247"/>
      <c r="F818" s="245"/>
      <c r="G818" s="188"/>
      <c r="H818" s="267"/>
      <c r="J818" s="188"/>
      <c r="M818" s="252"/>
      <c r="N818" s="217"/>
      <c r="O818" s="254"/>
      <c r="P818" s="266"/>
      <c r="Q818" s="271"/>
      <c r="R818" s="219" t="str">
        <f t="shared" si="20"/>
        <v/>
      </c>
      <c r="S818" s="188"/>
    </row>
    <row r="819" spans="1:19" ht="18" customHeight="1">
      <c r="A819" s="245"/>
      <c r="B819" s="246"/>
      <c r="C819" s="188"/>
      <c r="D819" s="245"/>
      <c r="E819" s="247"/>
      <c r="F819" s="245"/>
      <c r="G819" s="188"/>
      <c r="H819" s="267"/>
      <c r="J819" s="188"/>
      <c r="M819" s="252"/>
      <c r="N819" s="217"/>
      <c r="O819" s="254"/>
      <c r="P819" s="266"/>
      <c r="Q819" s="271"/>
      <c r="R819" s="219" t="str">
        <f t="shared" si="20"/>
        <v/>
      </c>
      <c r="S819" s="188"/>
    </row>
    <row r="820" spans="1:19" ht="18" customHeight="1">
      <c r="A820" s="245"/>
      <c r="B820" s="246"/>
      <c r="C820" s="188"/>
      <c r="D820" s="245"/>
      <c r="E820" s="247"/>
      <c r="F820" s="245"/>
      <c r="G820" s="188"/>
      <c r="H820" s="267"/>
      <c r="J820" s="188"/>
      <c r="M820" s="252"/>
      <c r="N820" s="217"/>
      <c r="O820" s="254"/>
      <c r="P820" s="266"/>
      <c r="Q820" s="271"/>
      <c r="R820" s="219" t="str">
        <f t="shared" si="20"/>
        <v/>
      </c>
      <c r="S820" s="188"/>
    </row>
    <row r="821" spans="1:19" ht="18" customHeight="1">
      <c r="A821" s="245"/>
      <c r="B821" s="246"/>
      <c r="C821" s="188"/>
      <c r="D821" s="245"/>
      <c r="E821" s="247"/>
      <c r="F821" s="245"/>
      <c r="G821" s="188"/>
      <c r="H821" s="267"/>
      <c r="J821" s="188"/>
      <c r="M821" s="252"/>
      <c r="N821" s="217"/>
      <c r="O821" s="254"/>
      <c r="P821" s="266"/>
      <c r="Q821" s="271"/>
      <c r="R821" s="219" t="str">
        <f t="shared" si="20"/>
        <v/>
      </c>
      <c r="S821" s="188"/>
    </row>
    <row r="822" spans="1:19" ht="18" customHeight="1">
      <c r="A822" s="245"/>
      <c r="B822" s="246"/>
      <c r="C822" s="188"/>
      <c r="D822" s="245"/>
      <c r="E822" s="247"/>
      <c r="F822" s="245"/>
      <c r="G822" s="188"/>
      <c r="H822" s="267"/>
      <c r="J822" s="188"/>
      <c r="M822" s="252"/>
      <c r="N822" s="217"/>
      <c r="O822" s="254"/>
      <c r="P822" s="266"/>
      <c r="Q822" s="271"/>
      <c r="R822" s="219" t="str">
        <f t="shared" si="20"/>
        <v/>
      </c>
      <c r="S822" s="188"/>
    </row>
    <row r="823" spans="1:19" ht="18" customHeight="1">
      <c r="A823" s="245"/>
      <c r="B823" s="246"/>
      <c r="C823" s="188"/>
      <c r="D823" s="245"/>
      <c r="E823" s="247"/>
      <c r="F823" s="245"/>
      <c r="G823" s="188"/>
      <c r="H823" s="267"/>
      <c r="J823" s="188"/>
      <c r="M823" s="252"/>
      <c r="N823" s="217"/>
      <c r="O823" s="254"/>
      <c r="P823" s="266"/>
      <c r="Q823" s="271"/>
      <c r="R823" s="219" t="str">
        <f t="shared" si="20"/>
        <v/>
      </c>
      <c r="S823" s="188"/>
    </row>
    <row r="824" spans="1:19" ht="18" customHeight="1">
      <c r="A824" s="245"/>
      <c r="B824" s="246"/>
      <c r="C824" s="188"/>
      <c r="D824" s="245"/>
      <c r="E824" s="247"/>
      <c r="F824" s="245"/>
      <c r="G824" s="188"/>
      <c r="H824" s="267"/>
      <c r="J824" s="188"/>
      <c r="M824" s="252"/>
      <c r="N824" s="217"/>
      <c r="O824" s="254"/>
      <c r="P824" s="266"/>
      <c r="Q824" s="271"/>
      <c r="R824" s="219" t="str">
        <f t="shared" si="20"/>
        <v/>
      </c>
      <c r="S824" s="188"/>
    </row>
    <row r="825" spans="1:19" ht="18" customHeight="1">
      <c r="A825" s="245"/>
      <c r="B825" s="246"/>
      <c r="C825" s="188"/>
      <c r="D825" s="245"/>
      <c r="E825" s="247"/>
      <c r="F825" s="245"/>
      <c r="G825" s="188"/>
      <c r="H825" s="267"/>
      <c r="J825" s="188"/>
      <c r="M825" s="252"/>
      <c r="N825" s="217"/>
      <c r="O825" s="254"/>
      <c r="P825" s="266"/>
      <c r="Q825" s="271"/>
      <c r="R825" s="219" t="str">
        <f t="shared" si="20"/>
        <v/>
      </c>
      <c r="S825" s="188"/>
    </row>
    <row r="826" spans="1:19" ht="18" customHeight="1">
      <c r="A826" s="245"/>
      <c r="B826" s="246"/>
      <c r="C826" s="188"/>
      <c r="D826" s="245"/>
      <c r="E826" s="247"/>
      <c r="F826" s="245"/>
      <c r="G826" s="188"/>
      <c r="H826" s="267"/>
      <c r="J826" s="188"/>
      <c r="M826" s="252"/>
      <c r="N826" s="217"/>
      <c r="O826" s="254"/>
      <c r="P826" s="266"/>
      <c r="Q826" s="271"/>
      <c r="R826" s="219" t="str">
        <f t="shared" si="20"/>
        <v/>
      </c>
      <c r="S826" s="188"/>
    </row>
    <row r="827" spans="1:19" ht="18" customHeight="1">
      <c r="A827" s="245"/>
      <c r="B827" s="246"/>
      <c r="C827" s="188"/>
      <c r="D827" s="245"/>
      <c r="E827" s="247"/>
      <c r="F827" s="245"/>
      <c r="G827" s="188"/>
      <c r="H827" s="267"/>
      <c r="J827" s="188"/>
      <c r="M827" s="252"/>
      <c r="N827" s="217"/>
      <c r="O827" s="254"/>
      <c r="P827" s="266"/>
      <c r="Q827" s="271"/>
      <c r="R827" s="219" t="str">
        <f t="shared" si="20"/>
        <v/>
      </c>
      <c r="S827" s="188"/>
    </row>
    <row r="828" spans="1:19" ht="18" customHeight="1">
      <c r="A828" s="245"/>
      <c r="B828" s="246"/>
      <c r="C828" s="188"/>
      <c r="D828" s="245"/>
      <c r="E828" s="247"/>
      <c r="F828" s="245"/>
      <c r="G828" s="188"/>
      <c r="H828" s="267"/>
      <c r="J828" s="188"/>
      <c r="M828" s="252"/>
      <c r="N828" s="217"/>
      <c r="O828" s="254"/>
      <c r="P828" s="266"/>
      <c r="Q828" s="271"/>
      <c r="R828" s="219" t="str">
        <f t="shared" si="20"/>
        <v/>
      </c>
      <c r="S828" s="188"/>
    </row>
    <row r="829" spans="1:19" ht="18" customHeight="1">
      <c r="A829" s="245"/>
      <c r="B829" s="246"/>
      <c r="C829" s="188"/>
      <c r="D829" s="245"/>
      <c r="E829" s="247"/>
      <c r="F829" s="245"/>
      <c r="G829" s="188"/>
      <c r="H829" s="267"/>
      <c r="J829" s="188"/>
      <c r="M829" s="252"/>
      <c r="N829" s="217"/>
      <c r="O829" s="254"/>
      <c r="P829" s="266"/>
      <c r="Q829" s="271"/>
      <c r="R829" s="219" t="str">
        <f t="shared" si="20"/>
        <v/>
      </c>
      <c r="S829" s="188"/>
    </row>
    <row r="830" spans="1:19" ht="18" customHeight="1">
      <c r="A830" s="245"/>
      <c r="B830" s="246"/>
      <c r="C830" s="188"/>
      <c r="D830" s="245"/>
      <c r="E830" s="247"/>
      <c r="F830" s="245"/>
      <c r="G830" s="188"/>
      <c r="H830" s="267"/>
      <c r="J830" s="188"/>
      <c r="M830" s="252"/>
      <c r="N830" s="217"/>
      <c r="O830" s="254"/>
      <c r="P830" s="266"/>
      <c r="Q830" s="271"/>
      <c r="R830" s="219" t="str">
        <f t="shared" si="20"/>
        <v/>
      </c>
      <c r="S830" s="188"/>
    </row>
    <row r="831" spans="1:19" ht="18" customHeight="1">
      <c r="A831" s="245"/>
      <c r="B831" s="246"/>
      <c r="C831" s="188"/>
      <c r="D831" s="245"/>
      <c r="E831" s="247"/>
      <c r="F831" s="245"/>
      <c r="G831" s="188"/>
      <c r="H831" s="267"/>
      <c r="J831" s="188"/>
      <c r="M831" s="252"/>
      <c r="N831" s="217"/>
      <c r="O831" s="254"/>
      <c r="P831" s="266"/>
      <c r="Q831" s="271"/>
      <c r="R831" s="219" t="str">
        <f t="shared" si="20"/>
        <v/>
      </c>
      <c r="S831" s="188"/>
    </row>
    <row r="832" spans="1:19" ht="18" customHeight="1">
      <c r="A832" s="245"/>
      <c r="B832" s="246"/>
      <c r="C832" s="188"/>
      <c r="D832" s="245"/>
      <c r="E832" s="247"/>
      <c r="F832" s="245"/>
      <c r="G832" s="188"/>
      <c r="H832" s="267"/>
      <c r="J832" s="188"/>
      <c r="M832" s="252"/>
      <c r="N832" s="217"/>
      <c r="O832" s="254"/>
      <c r="P832" s="266"/>
      <c r="Q832" s="271"/>
      <c r="R832" s="219" t="str">
        <f t="shared" si="20"/>
        <v/>
      </c>
      <c r="S832" s="188"/>
    </row>
    <row r="833" spans="1:19" ht="18" customHeight="1">
      <c r="A833" s="245"/>
      <c r="B833" s="246"/>
      <c r="C833" s="188"/>
      <c r="D833" s="245"/>
      <c r="E833" s="247"/>
      <c r="F833" s="245"/>
      <c r="G833" s="188"/>
      <c r="H833" s="267"/>
      <c r="J833" s="188"/>
      <c r="M833" s="252"/>
      <c r="N833" s="217"/>
      <c r="O833" s="254"/>
      <c r="P833" s="266"/>
      <c r="Q833" s="271"/>
      <c r="R833" s="219" t="str">
        <f t="shared" si="20"/>
        <v/>
      </c>
      <c r="S833" s="188"/>
    </row>
    <row r="834" spans="1:19" ht="18" customHeight="1">
      <c r="A834" s="245"/>
      <c r="B834" s="246"/>
      <c r="C834" s="188"/>
      <c r="D834" s="245"/>
      <c r="E834" s="247"/>
      <c r="F834" s="245"/>
      <c r="G834" s="188"/>
      <c r="H834" s="267"/>
      <c r="J834" s="188"/>
      <c r="M834" s="252"/>
      <c r="N834" s="217"/>
      <c r="O834" s="254"/>
      <c r="P834" s="266"/>
      <c r="Q834" s="271"/>
      <c r="R834" s="219" t="str">
        <f t="shared" si="20"/>
        <v/>
      </c>
      <c r="S834" s="188"/>
    </row>
    <row r="835" spans="1:19" ht="18" customHeight="1">
      <c r="A835" s="245"/>
      <c r="B835" s="246"/>
      <c r="C835" s="188"/>
      <c r="D835" s="245"/>
      <c r="E835" s="247"/>
      <c r="F835" s="245"/>
      <c r="G835" s="188"/>
      <c r="H835" s="267"/>
      <c r="J835" s="188"/>
      <c r="M835" s="252"/>
      <c r="N835" s="217"/>
      <c r="O835" s="254"/>
      <c r="P835" s="266"/>
      <c r="Q835" s="271"/>
      <c r="R835" s="219" t="str">
        <f t="shared" ref="R835:R854" si="21">IF(SUM(Q835)&gt;0,SUM(Q835-P835),"")</f>
        <v/>
      </c>
      <c r="S835" s="188"/>
    </row>
    <row r="836" spans="1:19" ht="18" customHeight="1">
      <c r="A836" s="245"/>
      <c r="B836" s="246"/>
      <c r="C836" s="188"/>
      <c r="D836" s="245"/>
      <c r="E836" s="247"/>
      <c r="F836" s="245"/>
      <c r="G836" s="188"/>
      <c r="H836" s="267"/>
      <c r="J836" s="188"/>
      <c r="M836" s="252"/>
      <c r="N836" s="217"/>
      <c r="O836" s="254"/>
      <c r="P836" s="266"/>
      <c r="Q836" s="271"/>
      <c r="R836" s="219" t="str">
        <f t="shared" si="21"/>
        <v/>
      </c>
      <c r="S836" s="188"/>
    </row>
    <row r="837" spans="1:19" ht="18" customHeight="1">
      <c r="A837" s="245"/>
      <c r="B837" s="246"/>
      <c r="C837" s="188"/>
      <c r="D837" s="245"/>
      <c r="E837" s="247"/>
      <c r="F837" s="245"/>
      <c r="G837" s="188"/>
      <c r="H837" s="267"/>
      <c r="J837" s="188"/>
      <c r="M837" s="252"/>
      <c r="N837" s="217"/>
      <c r="O837" s="254"/>
      <c r="P837" s="266"/>
      <c r="Q837" s="271"/>
      <c r="R837" s="219" t="str">
        <f t="shared" si="21"/>
        <v/>
      </c>
      <c r="S837" s="188"/>
    </row>
    <row r="838" spans="1:19" ht="18" customHeight="1">
      <c r="A838" s="245"/>
      <c r="B838" s="246"/>
      <c r="C838" s="188"/>
      <c r="D838" s="245"/>
      <c r="E838" s="247"/>
      <c r="F838" s="245"/>
      <c r="G838" s="188"/>
      <c r="H838" s="267"/>
      <c r="J838" s="188"/>
      <c r="M838" s="252"/>
      <c r="N838" s="217"/>
      <c r="O838" s="254"/>
      <c r="P838" s="266"/>
      <c r="Q838" s="271"/>
      <c r="R838" s="219" t="str">
        <f t="shared" si="21"/>
        <v/>
      </c>
      <c r="S838" s="188"/>
    </row>
    <row r="839" spans="1:19" ht="18" customHeight="1">
      <c r="A839" s="245"/>
      <c r="B839" s="246"/>
      <c r="C839" s="188"/>
      <c r="D839" s="245"/>
      <c r="E839" s="247"/>
      <c r="F839" s="245"/>
      <c r="G839" s="188"/>
      <c r="H839" s="267"/>
      <c r="J839" s="188" t="s">
        <v>17</v>
      </c>
      <c r="M839" s="252"/>
      <c r="N839" s="217"/>
      <c r="O839" s="254"/>
      <c r="P839" s="266"/>
      <c r="Q839" s="271"/>
      <c r="R839" s="219" t="str">
        <f t="shared" si="21"/>
        <v/>
      </c>
      <c r="S839" s="188"/>
    </row>
    <row r="840" spans="1:19" ht="18" customHeight="1">
      <c r="A840" s="245"/>
      <c r="B840" s="246"/>
      <c r="C840" s="188"/>
      <c r="D840" s="245"/>
      <c r="E840" s="247"/>
      <c r="F840" s="245"/>
      <c r="G840" s="188"/>
      <c r="H840" s="267"/>
      <c r="J840" s="188"/>
      <c r="M840" s="252"/>
      <c r="N840" s="217"/>
      <c r="O840" s="254"/>
      <c r="P840" s="266"/>
      <c r="Q840" s="271"/>
      <c r="R840" s="219" t="str">
        <f t="shared" si="21"/>
        <v/>
      </c>
      <c r="S840" s="188"/>
    </row>
    <row r="841" spans="1:19" ht="18" customHeight="1">
      <c r="A841" s="245"/>
      <c r="B841" s="246"/>
      <c r="C841" s="188"/>
      <c r="D841" s="245"/>
      <c r="E841" s="247"/>
      <c r="F841" s="245"/>
      <c r="G841" s="188"/>
      <c r="H841" s="267"/>
      <c r="J841" s="188"/>
      <c r="M841" s="252"/>
      <c r="N841" s="217"/>
      <c r="O841" s="254"/>
      <c r="P841" s="266"/>
      <c r="Q841" s="271"/>
      <c r="R841" s="219" t="str">
        <f t="shared" si="21"/>
        <v/>
      </c>
      <c r="S841" s="188"/>
    </row>
    <row r="842" spans="1:19" ht="18" customHeight="1">
      <c r="A842" s="245"/>
      <c r="B842" s="246"/>
      <c r="C842" s="188"/>
      <c r="D842" s="245"/>
      <c r="E842" s="247"/>
      <c r="F842" s="245"/>
      <c r="G842" s="188"/>
      <c r="H842" s="267"/>
      <c r="J842" s="188"/>
      <c r="M842" s="252"/>
      <c r="N842" s="217"/>
      <c r="O842" s="254"/>
      <c r="P842" s="266"/>
      <c r="Q842" s="271"/>
      <c r="R842" s="219" t="str">
        <f t="shared" si="21"/>
        <v/>
      </c>
      <c r="S842" s="188"/>
    </row>
    <row r="843" spans="1:19" ht="18" customHeight="1">
      <c r="A843" s="245"/>
      <c r="B843" s="246"/>
      <c r="C843" s="188"/>
      <c r="D843" s="245"/>
      <c r="E843" s="247"/>
      <c r="F843" s="245"/>
      <c r="G843" s="188"/>
      <c r="H843" s="267"/>
      <c r="J843" s="188"/>
      <c r="M843" s="252"/>
      <c r="N843" s="217"/>
      <c r="O843" s="254"/>
      <c r="P843" s="266"/>
      <c r="Q843" s="271"/>
      <c r="R843" s="219" t="str">
        <f t="shared" si="21"/>
        <v/>
      </c>
      <c r="S843" s="188"/>
    </row>
    <row r="844" spans="1:19" ht="18" customHeight="1">
      <c r="A844" s="245"/>
      <c r="B844" s="246"/>
      <c r="C844" s="188"/>
      <c r="D844" s="245"/>
      <c r="E844" s="247"/>
      <c r="F844" s="245"/>
      <c r="G844" s="188"/>
      <c r="H844" s="267"/>
      <c r="J844" s="188"/>
      <c r="M844" s="252"/>
      <c r="N844" s="217"/>
      <c r="O844" s="254"/>
      <c r="P844" s="266"/>
      <c r="Q844" s="271"/>
      <c r="R844" s="219" t="str">
        <f t="shared" si="21"/>
        <v/>
      </c>
      <c r="S844" s="188"/>
    </row>
    <row r="845" spans="1:19" ht="18" customHeight="1">
      <c r="A845" s="245"/>
      <c r="B845" s="246"/>
      <c r="C845" s="188"/>
      <c r="D845" s="245"/>
      <c r="E845" s="247"/>
      <c r="F845" s="245"/>
      <c r="G845" s="188"/>
      <c r="H845" s="267"/>
      <c r="J845" s="188"/>
      <c r="M845" s="252"/>
      <c r="N845" s="217"/>
      <c r="O845" s="254"/>
      <c r="P845" s="266"/>
      <c r="Q845" s="271"/>
      <c r="R845" s="219" t="str">
        <f t="shared" si="21"/>
        <v/>
      </c>
      <c r="S845" s="188"/>
    </row>
    <row r="846" spans="1:19" ht="18" customHeight="1">
      <c r="A846" s="245"/>
      <c r="B846" s="246"/>
      <c r="C846" s="188"/>
      <c r="D846" s="245"/>
      <c r="E846" s="247"/>
      <c r="F846" s="245"/>
      <c r="G846" s="188"/>
      <c r="H846" s="267"/>
      <c r="J846" s="188"/>
      <c r="M846" s="252"/>
      <c r="N846" s="217"/>
      <c r="O846" s="254"/>
      <c r="P846" s="266"/>
      <c r="Q846" s="271"/>
      <c r="R846" s="219" t="str">
        <f t="shared" si="21"/>
        <v/>
      </c>
      <c r="S846" s="188"/>
    </row>
    <row r="847" spans="1:19" ht="18" customHeight="1">
      <c r="A847" s="245"/>
      <c r="B847" s="246"/>
      <c r="C847" s="188"/>
      <c r="D847" s="245"/>
      <c r="E847" s="247"/>
      <c r="F847" s="245"/>
      <c r="G847" s="188"/>
      <c r="H847" s="267"/>
      <c r="J847" s="188"/>
      <c r="M847" s="252"/>
      <c r="N847" s="217"/>
      <c r="O847" s="254"/>
      <c r="P847" s="266"/>
      <c r="Q847" s="271"/>
      <c r="R847" s="219" t="str">
        <f t="shared" si="21"/>
        <v/>
      </c>
      <c r="S847" s="188"/>
    </row>
    <row r="848" spans="1:19" ht="18" customHeight="1">
      <c r="A848" s="245"/>
      <c r="B848" s="246"/>
      <c r="C848" s="188"/>
      <c r="D848" s="245"/>
      <c r="E848" s="247"/>
      <c r="F848" s="245"/>
      <c r="G848" s="188"/>
      <c r="H848" s="267"/>
      <c r="J848" s="188"/>
      <c r="M848" s="252"/>
      <c r="N848" s="217"/>
      <c r="O848" s="254"/>
      <c r="P848" s="266"/>
      <c r="Q848" s="271"/>
      <c r="R848" s="219" t="str">
        <f t="shared" si="21"/>
        <v/>
      </c>
      <c r="S848" s="188"/>
    </row>
    <row r="849" spans="1:19" ht="18" customHeight="1">
      <c r="A849" s="245"/>
      <c r="B849" s="246"/>
      <c r="C849" s="188"/>
      <c r="D849" s="245"/>
      <c r="E849" s="247"/>
      <c r="F849" s="245"/>
      <c r="G849" s="188"/>
      <c r="H849" s="267"/>
      <c r="J849" s="188"/>
      <c r="M849" s="252"/>
      <c r="N849" s="217"/>
      <c r="O849" s="254"/>
      <c r="P849" s="266"/>
      <c r="Q849" s="271"/>
      <c r="R849" s="219" t="str">
        <f t="shared" si="21"/>
        <v/>
      </c>
      <c r="S849" s="188"/>
    </row>
    <row r="850" spans="1:19" ht="18" customHeight="1">
      <c r="A850" s="245"/>
      <c r="B850" s="246"/>
      <c r="C850" s="188"/>
      <c r="D850" s="245"/>
      <c r="E850" s="247"/>
      <c r="F850" s="245"/>
      <c r="G850" s="188"/>
      <c r="H850" s="267"/>
      <c r="J850" s="188"/>
      <c r="M850" s="252"/>
      <c r="N850" s="217"/>
      <c r="O850" s="254"/>
      <c r="P850" s="266"/>
      <c r="Q850" s="271"/>
      <c r="R850" s="219" t="str">
        <f t="shared" si="21"/>
        <v/>
      </c>
      <c r="S850" s="188"/>
    </row>
    <row r="851" spans="1:19" ht="18" customHeight="1">
      <c r="A851" s="245"/>
      <c r="B851" s="246"/>
      <c r="C851" s="188"/>
      <c r="D851" s="245"/>
      <c r="E851" s="247"/>
      <c r="F851" s="245"/>
      <c r="G851" s="188"/>
      <c r="H851" s="267"/>
      <c r="J851" s="188"/>
      <c r="M851" s="252"/>
      <c r="N851" s="217"/>
      <c r="O851" s="254"/>
      <c r="P851" s="266"/>
      <c r="Q851" s="271"/>
      <c r="R851" s="219" t="str">
        <f t="shared" si="21"/>
        <v/>
      </c>
      <c r="S851" s="188"/>
    </row>
    <row r="852" spans="1:19" ht="18" customHeight="1">
      <c r="A852" s="245"/>
      <c r="B852" s="246"/>
      <c r="C852" s="188"/>
      <c r="D852" s="245"/>
      <c r="E852" s="247"/>
      <c r="F852" s="245"/>
      <c r="G852" s="188"/>
      <c r="H852" s="267"/>
      <c r="J852" s="188"/>
      <c r="M852" s="252"/>
      <c r="N852" s="217"/>
      <c r="O852" s="254"/>
      <c r="P852" s="266"/>
      <c r="Q852" s="271"/>
      <c r="R852" s="219" t="str">
        <f t="shared" si="21"/>
        <v/>
      </c>
      <c r="S852" s="188"/>
    </row>
    <row r="853" spans="1:19" ht="18" customHeight="1">
      <c r="A853" s="245"/>
      <c r="B853" s="246"/>
      <c r="C853" s="188"/>
      <c r="D853" s="245"/>
      <c r="E853" s="247"/>
      <c r="F853" s="245"/>
      <c r="G853" s="188"/>
      <c r="H853" s="267"/>
      <c r="J853" s="188"/>
      <c r="M853" s="252"/>
      <c r="N853" s="217"/>
      <c r="O853" s="254"/>
      <c r="P853" s="266"/>
      <c r="Q853" s="271"/>
      <c r="R853" s="219" t="str">
        <f t="shared" si="21"/>
        <v/>
      </c>
      <c r="S853" s="188"/>
    </row>
    <row r="854" spans="1:19" ht="18" customHeight="1">
      <c r="A854" s="245"/>
      <c r="B854" s="246"/>
      <c r="C854" s="188"/>
      <c r="D854" s="245"/>
      <c r="E854" s="247"/>
      <c r="F854" s="245"/>
      <c r="G854" s="188"/>
      <c r="H854" s="267"/>
      <c r="J854" s="188"/>
      <c r="M854" s="252"/>
      <c r="N854" s="217"/>
      <c r="O854" s="254"/>
      <c r="P854" s="266"/>
      <c r="Q854" s="271"/>
      <c r="R854" s="219" t="str">
        <f t="shared" si="21"/>
        <v/>
      </c>
      <c r="S854" s="188"/>
    </row>
    <row r="855" spans="1:19" ht="18" customHeight="1">
      <c r="A855" s="245"/>
      <c r="B855" s="246"/>
      <c r="C855" s="188"/>
      <c r="D855" s="245"/>
      <c r="E855" s="247"/>
      <c r="F855" s="245"/>
      <c r="G855" s="188"/>
      <c r="H855" s="267"/>
      <c r="J855" s="188"/>
      <c r="M855" s="252"/>
      <c r="N855" s="217"/>
      <c r="O855" s="254"/>
      <c r="P855" s="266"/>
      <c r="Q855" s="271"/>
      <c r="R855" s="219" t="str">
        <f t="shared" ref="R855:R918" si="22">IF(SUM(Q855)&gt;0,SUM(Q855-P855),"")</f>
        <v/>
      </c>
      <c r="S855" s="188"/>
    </row>
    <row r="856" spans="1:19" ht="18" customHeight="1">
      <c r="A856" s="245"/>
      <c r="B856" s="246"/>
      <c r="C856" s="188"/>
      <c r="D856" s="245"/>
      <c r="E856" s="247"/>
      <c r="F856" s="245"/>
      <c r="G856" s="188"/>
      <c r="H856" s="267"/>
      <c r="J856" s="188"/>
      <c r="M856" s="252"/>
      <c r="N856" s="217"/>
      <c r="O856" s="254"/>
      <c r="P856" s="266"/>
      <c r="Q856" s="271"/>
      <c r="R856" s="219" t="str">
        <f t="shared" si="22"/>
        <v/>
      </c>
      <c r="S856" s="188"/>
    </row>
    <row r="857" spans="1:19" ht="18" customHeight="1">
      <c r="A857" s="245"/>
      <c r="B857" s="246"/>
      <c r="C857" s="188"/>
      <c r="D857" s="245"/>
      <c r="E857" s="247"/>
      <c r="F857" s="245"/>
      <c r="G857" s="188"/>
      <c r="H857" s="267"/>
      <c r="J857" s="188"/>
      <c r="M857" s="252"/>
      <c r="N857" s="217"/>
      <c r="O857" s="254"/>
      <c r="P857" s="266"/>
      <c r="Q857" s="271"/>
      <c r="R857" s="219" t="str">
        <f t="shared" si="22"/>
        <v/>
      </c>
      <c r="S857" s="188"/>
    </row>
    <row r="858" spans="1:19" ht="18" customHeight="1">
      <c r="A858" s="245"/>
      <c r="B858" s="246"/>
      <c r="C858" s="188"/>
      <c r="D858" s="245"/>
      <c r="E858" s="247"/>
      <c r="F858" s="245"/>
      <c r="G858" s="188"/>
      <c r="H858" s="267"/>
      <c r="J858" s="188"/>
      <c r="M858" s="252"/>
      <c r="N858" s="217"/>
      <c r="O858" s="254"/>
      <c r="P858" s="266"/>
      <c r="Q858" s="271"/>
      <c r="R858" s="219" t="str">
        <f t="shared" si="22"/>
        <v/>
      </c>
      <c r="S858" s="188"/>
    </row>
    <row r="859" spans="1:19" ht="18" customHeight="1">
      <c r="A859" s="245"/>
      <c r="B859" s="246"/>
      <c r="C859" s="188"/>
      <c r="D859" s="245"/>
      <c r="E859" s="247"/>
      <c r="F859" s="245"/>
      <c r="G859" s="188"/>
      <c r="H859" s="267"/>
      <c r="J859" s="188"/>
      <c r="M859" s="252"/>
      <c r="N859" s="217"/>
      <c r="O859" s="254"/>
      <c r="P859" s="266"/>
      <c r="Q859" s="271"/>
      <c r="R859" s="219" t="str">
        <f t="shared" si="22"/>
        <v/>
      </c>
      <c r="S859" s="188"/>
    </row>
    <row r="860" spans="1:19" ht="18" customHeight="1">
      <c r="A860" s="245"/>
      <c r="B860" s="246"/>
      <c r="C860" s="188"/>
      <c r="D860" s="245"/>
      <c r="E860" s="247"/>
      <c r="F860" s="245"/>
      <c r="G860" s="188"/>
      <c r="H860" s="267"/>
      <c r="J860" s="188"/>
      <c r="M860" s="252"/>
      <c r="N860" s="217"/>
      <c r="O860" s="254"/>
      <c r="P860" s="266"/>
      <c r="Q860" s="271"/>
      <c r="R860" s="219" t="str">
        <f t="shared" si="22"/>
        <v/>
      </c>
      <c r="S860" s="188"/>
    </row>
    <row r="861" spans="1:19" ht="18" customHeight="1">
      <c r="A861" s="245"/>
      <c r="B861" s="246"/>
      <c r="C861" s="188"/>
      <c r="D861" s="245"/>
      <c r="E861" s="247"/>
      <c r="F861" s="245"/>
      <c r="G861" s="188"/>
      <c r="H861" s="267"/>
      <c r="J861" s="188"/>
      <c r="M861" s="252"/>
      <c r="N861" s="217"/>
      <c r="O861" s="254"/>
      <c r="P861" s="266"/>
      <c r="Q861" s="271"/>
      <c r="R861" s="219" t="str">
        <f t="shared" si="22"/>
        <v/>
      </c>
      <c r="S861" s="188"/>
    </row>
    <row r="862" spans="1:19" ht="18" customHeight="1">
      <c r="A862" s="245"/>
      <c r="B862" s="246"/>
      <c r="C862" s="188"/>
      <c r="D862" s="245"/>
      <c r="E862" s="247"/>
      <c r="F862" s="245"/>
      <c r="G862" s="188"/>
      <c r="H862" s="267"/>
      <c r="J862" s="188"/>
      <c r="M862" s="252"/>
      <c r="N862" s="217"/>
      <c r="O862" s="254"/>
      <c r="P862" s="266"/>
      <c r="Q862" s="271"/>
      <c r="R862" s="219" t="str">
        <f t="shared" si="22"/>
        <v/>
      </c>
      <c r="S862" s="188"/>
    </row>
    <row r="863" spans="1:19" ht="18" customHeight="1">
      <c r="A863" s="245"/>
      <c r="B863" s="246"/>
      <c r="C863" s="188"/>
      <c r="D863" s="245"/>
      <c r="E863" s="247"/>
      <c r="F863" s="245"/>
      <c r="G863" s="188"/>
      <c r="H863" s="267"/>
      <c r="J863" s="188"/>
      <c r="M863" s="252"/>
      <c r="N863" s="217"/>
      <c r="O863" s="254"/>
      <c r="P863" s="266"/>
      <c r="Q863" s="271"/>
      <c r="R863" s="219" t="str">
        <f t="shared" si="22"/>
        <v/>
      </c>
      <c r="S863" s="188"/>
    </row>
    <row r="864" spans="1:19" ht="18" customHeight="1">
      <c r="A864" s="245"/>
      <c r="B864" s="246"/>
      <c r="C864" s="188"/>
      <c r="D864" s="245"/>
      <c r="E864" s="247"/>
      <c r="F864" s="245"/>
      <c r="G864" s="188"/>
      <c r="H864" s="267"/>
      <c r="J864" s="188"/>
      <c r="M864" s="252"/>
      <c r="N864" s="217"/>
      <c r="O864" s="254"/>
      <c r="P864" s="266"/>
      <c r="Q864" s="271"/>
      <c r="R864" s="219" t="str">
        <f t="shared" si="22"/>
        <v/>
      </c>
      <c r="S864" s="188"/>
    </row>
    <row r="865" spans="1:19" ht="18" customHeight="1">
      <c r="A865" s="245"/>
      <c r="B865" s="246"/>
      <c r="C865" s="188"/>
      <c r="D865" s="245"/>
      <c r="E865" s="247"/>
      <c r="F865" s="245"/>
      <c r="G865" s="188"/>
      <c r="H865" s="267"/>
      <c r="J865" s="188"/>
      <c r="M865" s="252"/>
      <c r="N865" s="217"/>
      <c r="O865" s="254"/>
      <c r="P865" s="266"/>
      <c r="Q865" s="271"/>
      <c r="R865" s="219" t="str">
        <f t="shared" si="22"/>
        <v/>
      </c>
      <c r="S865" s="188"/>
    </row>
    <row r="866" spans="1:19" ht="18" customHeight="1">
      <c r="A866" s="245"/>
      <c r="B866" s="246"/>
      <c r="C866" s="188"/>
      <c r="D866" s="245"/>
      <c r="E866" s="247"/>
      <c r="F866" s="245"/>
      <c r="G866" s="188"/>
      <c r="H866" s="267"/>
      <c r="J866" s="188"/>
      <c r="M866" s="252"/>
      <c r="N866" s="217"/>
      <c r="O866" s="254"/>
      <c r="P866" s="266"/>
      <c r="Q866" s="271"/>
      <c r="R866" s="219" t="str">
        <f t="shared" si="22"/>
        <v/>
      </c>
      <c r="S866" s="188"/>
    </row>
    <row r="867" spans="1:19" ht="18" customHeight="1">
      <c r="A867" s="245"/>
      <c r="B867" s="246"/>
      <c r="C867" s="188"/>
      <c r="D867" s="245"/>
      <c r="E867" s="247"/>
      <c r="F867" s="245"/>
      <c r="G867" s="188"/>
      <c r="H867" s="267"/>
      <c r="J867" s="188"/>
      <c r="M867" s="252"/>
      <c r="N867" s="217"/>
      <c r="O867" s="254"/>
      <c r="P867" s="266"/>
      <c r="Q867" s="271"/>
      <c r="R867" s="219" t="str">
        <f t="shared" si="22"/>
        <v/>
      </c>
      <c r="S867" s="188"/>
    </row>
    <row r="868" spans="1:19" ht="18" customHeight="1">
      <c r="A868" s="245"/>
      <c r="B868" s="246"/>
      <c r="C868" s="188"/>
      <c r="D868" s="245"/>
      <c r="E868" s="247"/>
      <c r="F868" s="245"/>
      <c r="G868" s="188"/>
      <c r="H868" s="267"/>
      <c r="J868" s="188"/>
      <c r="M868" s="252"/>
      <c r="N868" s="217"/>
      <c r="O868" s="254"/>
      <c r="P868" s="266"/>
      <c r="Q868" s="271"/>
      <c r="R868" s="219" t="str">
        <f t="shared" si="22"/>
        <v/>
      </c>
      <c r="S868" s="188"/>
    </row>
    <row r="869" spans="1:19" ht="18" customHeight="1">
      <c r="A869" s="245"/>
      <c r="B869" s="246"/>
      <c r="C869" s="188"/>
      <c r="D869" s="245"/>
      <c r="E869" s="247"/>
      <c r="F869" s="245"/>
      <c r="G869" s="188"/>
      <c r="H869" s="267"/>
      <c r="J869" s="188"/>
      <c r="M869" s="252"/>
      <c r="N869" s="217"/>
      <c r="O869" s="254"/>
      <c r="P869" s="266"/>
      <c r="Q869" s="271"/>
      <c r="R869" s="219" t="str">
        <f t="shared" si="22"/>
        <v/>
      </c>
      <c r="S869" s="188"/>
    </row>
    <row r="870" spans="1:19" ht="18" customHeight="1">
      <c r="A870" s="245"/>
      <c r="B870" s="246"/>
      <c r="C870" s="188"/>
      <c r="D870" s="245"/>
      <c r="E870" s="247"/>
      <c r="F870" s="245"/>
      <c r="G870" s="188"/>
      <c r="H870" s="267"/>
      <c r="J870" s="188"/>
      <c r="M870" s="252"/>
      <c r="N870" s="217"/>
      <c r="O870" s="254"/>
      <c r="P870" s="266"/>
      <c r="Q870" s="271"/>
      <c r="R870" s="219" t="str">
        <f t="shared" si="22"/>
        <v/>
      </c>
      <c r="S870" s="188"/>
    </row>
    <row r="871" spans="1:19" ht="18" customHeight="1">
      <c r="A871" s="245"/>
      <c r="B871" s="246"/>
      <c r="C871" s="188"/>
      <c r="D871" s="245"/>
      <c r="E871" s="247"/>
      <c r="F871" s="245"/>
      <c r="G871" s="188"/>
      <c r="H871" s="267"/>
      <c r="J871" s="188"/>
      <c r="M871" s="252"/>
      <c r="N871" s="217"/>
      <c r="O871" s="254"/>
      <c r="P871" s="266"/>
      <c r="Q871" s="271"/>
      <c r="R871" s="219" t="str">
        <f t="shared" si="22"/>
        <v/>
      </c>
      <c r="S871" s="188"/>
    </row>
    <row r="872" spans="1:19" ht="18" customHeight="1">
      <c r="A872" s="245"/>
      <c r="B872" s="246"/>
      <c r="C872" s="188"/>
      <c r="D872" s="245"/>
      <c r="E872" s="247"/>
      <c r="F872" s="245"/>
      <c r="G872" s="188"/>
      <c r="H872" s="267"/>
      <c r="J872" s="188"/>
      <c r="M872" s="252"/>
      <c r="N872" s="217"/>
      <c r="O872" s="254"/>
      <c r="P872" s="266"/>
      <c r="Q872" s="271"/>
      <c r="R872" s="219" t="str">
        <f t="shared" si="22"/>
        <v/>
      </c>
      <c r="S872" s="188"/>
    </row>
    <row r="873" spans="1:19" ht="18" customHeight="1">
      <c r="A873" s="245"/>
      <c r="B873" s="246"/>
      <c r="C873" s="188"/>
      <c r="D873" s="245"/>
      <c r="E873" s="247"/>
      <c r="F873" s="245"/>
      <c r="G873" s="188"/>
      <c r="H873" s="267"/>
      <c r="J873" s="188"/>
      <c r="M873" s="252"/>
      <c r="N873" s="217"/>
      <c r="O873" s="254"/>
      <c r="P873" s="266"/>
      <c r="Q873" s="271"/>
      <c r="R873" s="219" t="str">
        <f t="shared" si="22"/>
        <v/>
      </c>
      <c r="S873" s="188"/>
    </row>
    <row r="874" spans="1:19" ht="18" customHeight="1">
      <c r="A874" s="245"/>
      <c r="B874" s="246"/>
      <c r="C874" s="188"/>
      <c r="D874" s="245"/>
      <c r="E874" s="247"/>
      <c r="F874" s="245"/>
      <c r="G874" s="188"/>
      <c r="H874" s="267"/>
      <c r="J874" s="188"/>
      <c r="M874" s="252"/>
      <c r="N874" s="217"/>
      <c r="O874" s="254"/>
      <c r="P874" s="266"/>
      <c r="Q874" s="271"/>
      <c r="R874" s="219" t="str">
        <f t="shared" si="22"/>
        <v/>
      </c>
      <c r="S874" s="188"/>
    </row>
    <row r="875" spans="1:19" ht="18" customHeight="1">
      <c r="A875" s="245"/>
      <c r="B875" s="246"/>
      <c r="C875" s="188"/>
      <c r="D875" s="245"/>
      <c r="E875" s="247"/>
      <c r="F875" s="245"/>
      <c r="G875" s="188"/>
      <c r="H875" s="267"/>
      <c r="J875" s="188"/>
      <c r="M875" s="252"/>
      <c r="N875" s="217"/>
      <c r="O875" s="254"/>
      <c r="P875" s="266"/>
      <c r="Q875" s="271"/>
      <c r="R875" s="219" t="str">
        <f t="shared" si="22"/>
        <v/>
      </c>
      <c r="S875" s="188"/>
    </row>
    <row r="876" spans="1:19" ht="18" customHeight="1">
      <c r="A876" s="245"/>
      <c r="B876" s="246"/>
      <c r="C876" s="188"/>
      <c r="D876" s="245"/>
      <c r="E876" s="247"/>
      <c r="F876" s="245"/>
      <c r="G876" s="188"/>
      <c r="H876" s="267"/>
      <c r="J876" s="188"/>
      <c r="M876" s="252"/>
      <c r="N876" s="217"/>
      <c r="O876" s="254"/>
      <c r="P876" s="266"/>
      <c r="Q876" s="271"/>
      <c r="R876" s="219" t="str">
        <f t="shared" si="22"/>
        <v/>
      </c>
      <c r="S876" s="188"/>
    </row>
    <row r="877" spans="1:19" ht="18" customHeight="1">
      <c r="A877" s="245"/>
      <c r="B877" s="246"/>
      <c r="C877" s="188"/>
      <c r="D877" s="245"/>
      <c r="E877" s="247"/>
      <c r="F877" s="245"/>
      <c r="G877" s="188"/>
      <c r="H877" s="267"/>
      <c r="J877" s="188"/>
      <c r="M877" s="252"/>
      <c r="N877" s="217"/>
      <c r="O877" s="254"/>
      <c r="P877" s="266"/>
      <c r="Q877" s="271"/>
      <c r="R877" s="219" t="str">
        <f t="shared" si="22"/>
        <v/>
      </c>
      <c r="S877" s="188"/>
    </row>
    <row r="878" spans="1:19" ht="18" customHeight="1">
      <c r="A878" s="245"/>
      <c r="B878" s="246"/>
      <c r="C878" s="188"/>
      <c r="D878" s="245"/>
      <c r="E878" s="247"/>
      <c r="F878" s="245"/>
      <c r="G878" s="188"/>
      <c r="H878" s="267"/>
      <c r="J878" s="188"/>
      <c r="M878" s="252"/>
      <c r="N878" s="217"/>
      <c r="O878" s="254"/>
      <c r="P878" s="266"/>
      <c r="Q878" s="271"/>
      <c r="R878" s="219" t="str">
        <f t="shared" si="22"/>
        <v/>
      </c>
      <c r="S878" s="188"/>
    </row>
    <row r="879" spans="1:19" ht="18" customHeight="1">
      <c r="A879" s="245"/>
      <c r="B879" s="246"/>
      <c r="C879" s="188"/>
      <c r="D879" s="245"/>
      <c r="E879" s="247"/>
      <c r="F879" s="245"/>
      <c r="G879" s="188"/>
      <c r="H879" s="267"/>
      <c r="J879" s="188"/>
      <c r="M879" s="252"/>
      <c r="N879" s="217"/>
      <c r="O879" s="254"/>
      <c r="P879" s="266"/>
      <c r="Q879" s="271"/>
      <c r="R879" s="219" t="str">
        <f t="shared" si="22"/>
        <v/>
      </c>
      <c r="S879" s="188"/>
    </row>
    <row r="880" spans="1:19" ht="18" customHeight="1">
      <c r="A880" s="245"/>
      <c r="B880" s="246"/>
      <c r="C880" s="188"/>
      <c r="D880" s="245"/>
      <c r="E880" s="247"/>
      <c r="F880" s="245"/>
      <c r="G880" s="188"/>
      <c r="H880" s="267"/>
      <c r="J880" s="188"/>
      <c r="M880" s="252"/>
      <c r="N880" s="217"/>
      <c r="O880" s="254"/>
      <c r="P880" s="266"/>
      <c r="Q880" s="271"/>
      <c r="R880" s="219" t="str">
        <f t="shared" si="22"/>
        <v/>
      </c>
      <c r="S880" s="188"/>
    </row>
    <row r="881" spans="1:19" ht="18" customHeight="1">
      <c r="A881" s="245"/>
      <c r="B881" s="246"/>
      <c r="C881" s="188"/>
      <c r="D881" s="245"/>
      <c r="E881" s="247"/>
      <c r="F881" s="245"/>
      <c r="G881" s="188"/>
      <c r="H881" s="267"/>
      <c r="J881" s="188"/>
      <c r="M881" s="252"/>
      <c r="N881" s="217"/>
      <c r="O881" s="254"/>
      <c r="P881" s="266"/>
      <c r="Q881" s="271"/>
      <c r="R881" s="219" t="str">
        <f t="shared" si="22"/>
        <v/>
      </c>
      <c r="S881" s="188"/>
    </row>
    <row r="882" spans="1:19" ht="18" customHeight="1">
      <c r="A882" s="245"/>
      <c r="B882" s="246"/>
      <c r="C882" s="188"/>
      <c r="D882" s="245"/>
      <c r="E882" s="247"/>
      <c r="F882" s="245"/>
      <c r="G882" s="188"/>
      <c r="H882" s="267"/>
      <c r="J882" s="188"/>
      <c r="M882" s="252"/>
      <c r="N882" s="217"/>
      <c r="O882" s="254"/>
      <c r="P882" s="266"/>
      <c r="Q882" s="271"/>
      <c r="R882" s="219" t="str">
        <f t="shared" si="22"/>
        <v/>
      </c>
      <c r="S882" s="188"/>
    </row>
    <row r="883" spans="1:19" ht="18" customHeight="1">
      <c r="A883" s="245"/>
      <c r="B883" s="246"/>
      <c r="C883" s="188"/>
      <c r="D883" s="245"/>
      <c r="E883" s="247"/>
      <c r="F883" s="245"/>
      <c r="G883" s="188"/>
      <c r="H883" s="267"/>
      <c r="J883" s="188"/>
      <c r="M883" s="252"/>
      <c r="N883" s="217"/>
      <c r="O883" s="254"/>
      <c r="P883" s="266"/>
      <c r="Q883" s="271"/>
      <c r="R883" s="219" t="str">
        <f t="shared" si="22"/>
        <v/>
      </c>
      <c r="S883" s="188"/>
    </row>
    <row r="884" spans="1:19" ht="18" customHeight="1">
      <c r="A884" s="245"/>
      <c r="B884" s="246"/>
      <c r="C884" s="188"/>
      <c r="D884" s="245"/>
      <c r="E884" s="247"/>
      <c r="F884" s="245"/>
      <c r="G884" s="188"/>
      <c r="H884" s="267"/>
      <c r="J884" s="188"/>
      <c r="M884" s="252"/>
      <c r="N884" s="217"/>
      <c r="O884" s="254"/>
      <c r="P884" s="266"/>
      <c r="Q884" s="271"/>
      <c r="R884" s="219" t="str">
        <f t="shared" si="22"/>
        <v/>
      </c>
      <c r="S884" s="188"/>
    </row>
    <row r="885" spans="1:19" ht="18" customHeight="1">
      <c r="A885" s="245"/>
      <c r="B885" s="246"/>
      <c r="C885" s="188"/>
      <c r="D885" s="245"/>
      <c r="E885" s="247"/>
      <c r="F885" s="245"/>
      <c r="G885" s="188"/>
      <c r="H885" s="267"/>
      <c r="J885" s="188"/>
      <c r="M885" s="252"/>
      <c r="N885" s="217"/>
      <c r="O885" s="254"/>
      <c r="P885" s="266"/>
      <c r="Q885" s="271"/>
      <c r="R885" s="219" t="str">
        <f t="shared" si="22"/>
        <v/>
      </c>
      <c r="S885" s="188"/>
    </row>
    <row r="886" spans="1:19" ht="18" customHeight="1">
      <c r="A886" s="245"/>
      <c r="B886" s="246"/>
      <c r="C886" s="188"/>
      <c r="D886" s="245"/>
      <c r="E886" s="247"/>
      <c r="F886" s="245"/>
      <c r="G886" s="188"/>
      <c r="H886" s="267"/>
      <c r="J886" s="188"/>
      <c r="M886" s="252"/>
      <c r="N886" s="217"/>
      <c r="O886" s="254"/>
      <c r="P886" s="266"/>
      <c r="Q886" s="271"/>
      <c r="R886" s="219" t="str">
        <f t="shared" si="22"/>
        <v/>
      </c>
      <c r="S886" s="188"/>
    </row>
    <row r="887" spans="1:19" ht="18" customHeight="1">
      <c r="A887" s="245"/>
      <c r="B887" s="246"/>
      <c r="C887" s="188"/>
      <c r="D887" s="245"/>
      <c r="E887" s="247"/>
      <c r="F887" s="245"/>
      <c r="G887" s="188"/>
      <c r="H887" s="267"/>
      <c r="J887" s="188"/>
      <c r="M887" s="252"/>
      <c r="N887" s="217"/>
      <c r="O887" s="254"/>
      <c r="P887" s="266"/>
      <c r="Q887" s="271"/>
      <c r="R887" s="219" t="str">
        <f t="shared" si="22"/>
        <v/>
      </c>
      <c r="S887" s="188"/>
    </row>
    <row r="888" spans="1:19" ht="18" customHeight="1">
      <c r="A888" s="245"/>
      <c r="B888" s="246"/>
      <c r="C888" s="188"/>
      <c r="D888" s="245"/>
      <c r="E888" s="247"/>
      <c r="F888" s="245"/>
      <c r="G888" s="188"/>
      <c r="H888" s="267"/>
      <c r="J888" s="188"/>
      <c r="M888" s="252"/>
      <c r="N888" s="217"/>
      <c r="O888" s="254"/>
      <c r="P888" s="266"/>
      <c r="Q888" s="271"/>
      <c r="R888" s="219" t="str">
        <f t="shared" si="22"/>
        <v/>
      </c>
      <c r="S888" s="188"/>
    </row>
    <row r="889" spans="1:19" ht="18" customHeight="1">
      <c r="A889" s="245"/>
      <c r="B889" s="246"/>
      <c r="C889" s="188"/>
      <c r="D889" s="245"/>
      <c r="E889" s="247"/>
      <c r="F889" s="245"/>
      <c r="G889" s="188"/>
      <c r="H889" s="267"/>
      <c r="J889" s="188"/>
      <c r="M889" s="252"/>
      <c r="N889" s="217"/>
      <c r="O889" s="254"/>
      <c r="P889" s="266"/>
      <c r="Q889" s="271"/>
      <c r="R889" s="219" t="str">
        <f t="shared" si="22"/>
        <v/>
      </c>
      <c r="S889" s="188"/>
    </row>
    <row r="890" spans="1:19" ht="18" customHeight="1">
      <c r="A890" s="245"/>
      <c r="B890" s="246"/>
      <c r="C890" s="188"/>
      <c r="D890" s="245"/>
      <c r="E890" s="247"/>
      <c r="F890" s="245"/>
      <c r="G890" s="188"/>
      <c r="H890" s="267"/>
      <c r="J890" s="188"/>
      <c r="M890" s="252"/>
      <c r="N890" s="217"/>
      <c r="O890" s="254"/>
      <c r="P890" s="266"/>
      <c r="Q890" s="271"/>
      <c r="R890" s="219" t="str">
        <f t="shared" si="22"/>
        <v/>
      </c>
      <c r="S890" s="188"/>
    </row>
    <row r="891" spans="1:19" ht="18" customHeight="1">
      <c r="A891" s="245"/>
      <c r="B891" s="246"/>
      <c r="C891" s="188"/>
      <c r="D891" s="245"/>
      <c r="E891" s="247"/>
      <c r="F891" s="245"/>
      <c r="G891" s="188"/>
      <c r="H891" s="267"/>
      <c r="J891" s="188"/>
      <c r="M891" s="252"/>
      <c r="N891" s="217"/>
      <c r="O891" s="254"/>
      <c r="P891" s="266"/>
      <c r="Q891" s="271"/>
      <c r="R891" s="219" t="str">
        <f t="shared" si="22"/>
        <v/>
      </c>
      <c r="S891" s="188"/>
    </row>
    <row r="892" spans="1:19" ht="18" customHeight="1">
      <c r="A892" s="245"/>
      <c r="B892" s="246"/>
      <c r="C892" s="188"/>
      <c r="D892" s="245"/>
      <c r="E892" s="247"/>
      <c r="F892" s="245"/>
      <c r="G892" s="188"/>
      <c r="H892" s="267"/>
      <c r="J892" s="188"/>
      <c r="M892" s="252"/>
      <c r="N892" s="217"/>
      <c r="O892" s="254"/>
      <c r="P892" s="266"/>
      <c r="Q892" s="271"/>
      <c r="R892" s="219" t="str">
        <f t="shared" si="22"/>
        <v/>
      </c>
      <c r="S892" s="188"/>
    </row>
    <row r="893" spans="1:19" ht="18" customHeight="1">
      <c r="A893" s="245"/>
      <c r="B893" s="246"/>
      <c r="C893" s="188"/>
      <c r="D893" s="245"/>
      <c r="E893" s="247"/>
      <c r="F893" s="245"/>
      <c r="G893" s="188"/>
      <c r="H893" s="267"/>
      <c r="J893" s="188"/>
      <c r="M893" s="252"/>
      <c r="N893" s="217"/>
      <c r="O893" s="254"/>
      <c r="P893" s="266"/>
      <c r="Q893" s="271"/>
      <c r="R893" s="219" t="str">
        <f t="shared" si="22"/>
        <v/>
      </c>
      <c r="S893" s="188"/>
    </row>
    <row r="894" spans="1:19" ht="18" customHeight="1">
      <c r="A894" s="245"/>
      <c r="B894" s="246"/>
      <c r="C894" s="188"/>
      <c r="D894" s="245"/>
      <c r="E894" s="247"/>
      <c r="F894" s="245"/>
      <c r="G894" s="188"/>
      <c r="H894" s="267"/>
      <c r="J894" s="188"/>
      <c r="M894" s="252"/>
      <c r="N894" s="217"/>
      <c r="O894" s="254"/>
      <c r="P894" s="266"/>
      <c r="Q894" s="271"/>
      <c r="R894" s="219" t="str">
        <f t="shared" si="22"/>
        <v/>
      </c>
      <c r="S894" s="188"/>
    </row>
    <row r="895" spans="1:19" ht="18" customHeight="1">
      <c r="A895" s="245"/>
      <c r="B895" s="246"/>
      <c r="C895" s="188"/>
      <c r="D895" s="245"/>
      <c r="E895" s="247"/>
      <c r="F895" s="245"/>
      <c r="G895" s="188"/>
      <c r="H895" s="267"/>
      <c r="J895" s="188"/>
      <c r="M895" s="252"/>
      <c r="N895" s="217"/>
      <c r="O895" s="254"/>
      <c r="P895" s="266"/>
      <c r="Q895" s="271"/>
      <c r="R895" s="219" t="str">
        <f t="shared" si="22"/>
        <v/>
      </c>
      <c r="S895" s="188"/>
    </row>
    <row r="896" spans="1:19" ht="18" customHeight="1">
      <c r="A896" s="245"/>
      <c r="B896" s="246"/>
      <c r="C896" s="188"/>
      <c r="D896" s="245"/>
      <c r="E896" s="247"/>
      <c r="F896" s="245"/>
      <c r="G896" s="188"/>
      <c r="H896" s="267"/>
      <c r="J896" s="188"/>
      <c r="M896" s="252"/>
      <c r="N896" s="217"/>
      <c r="O896" s="254"/>
      <c r="P896" s="266"/>
      <c r="Q896" s="271"/>
      <c r="R896" s="219" t="str">
        <f t="shared" si="22"/>
        <v/>
      </c>
      <c r="S896" s="188"/>
    </row>
    <row r="897" spans="1:19" ht="18" customHeight="1">
      <c r="A897" s="245"/>
      <c r="B897" s="246"/>
      <c r="C897" s="188"/>
      <c r="D897" s="245"/>
      <c r="E897" s="247"/>
      <c r="F897" s="245"/>
      <c r="G897" s="188"/>
      <c r="H897" s="267"/>
      <c r="J897" s="188"/>
      <c r="M897" s="252"/>
      <c r="N897" s="217"/>
      <c r="O897" s="254"/>
      <c r="P897" s="266"/>
      <c r="Q897" s="271"/>
      <c r="R897" s="219" t="str">
        <f t="shared" si="22"/>
        <v/>
      </c>
      <c r="S897" s="188"/>
    </row>
    <row r="898" spans="1:19" ht="18" customHeight="1">
      <c r="A898" s="245"/>
      <c r="B898" s="246"/>
      <c r="C898" s="188"/>
      <c r="D898" s="245"/>
      <c r="E898" s="247"/>
      <c r="F898" s="245"/>
      <c r="G898" s="188"/>
      <c r="H898" s="267"/>
      <c r="J898" s="188"/>
      <c r="M898" s="252"/>
      <c r="N898" s="217"/>
      <c r="O898" s="254"/>
      <c r="P898" s="266"/>
      <c r="Q898" s="271"/>
      <c r="R898" s="219" t="str">
        <f t="shared" si="22"/>
        <v/>
      </c>
      <c r="S898" s="188"/>
    </row>
    <row r="899" spans="1:19" ht="18" customHeight="1">
      <c r="A899" s="245"/>
      <c r="B899" s="246"/>
      <c r="C899" s="188"/>
      <c r="D899" s="245"/>
      <c r="E899" s="247"/>
      <c r="F899" s="245"/>
      <c r="G899" s="188"/>
      <c r="H899" s="267"/>
      <c r="J899" s="188"/>
      <c r="M899" s="252"/>
      <c r="N899" s="217"/>
      <c r="O899" s="254"/>
      <c r="P899" s="266"/>
      <c r="Q899" s="271"/>
      <c r="R899" s="219" t="str">
        <f t="shared" si="22"/>
        <v/>
      </c>
      <c r="S899" s="188"/>
    </row>
    <row r="900" spans="1:19" ht="18" customHeight="1">
      <c r="A900" s="245"/>
      <c r="B900" s="246"/>
      <c r="C900" s="188"/>
      <c r="D900" s="245"/>
      <c r="E900" s="247"/>
      <c r="F900" s="245"/>
      <c r="G900" s="188"/>
      <c r="H900" s="267"/>
      <c r="J900" s="188"/>
      <c r="M900" s="252"/>
      <c r="N900" s="217"/>
      <c r="O900" s="254"/>
      <c r="P900" s="266"/>
      <c r="Q900" s="271"/>
      <c r="R900" s="219" t="str">
        <f t="shared" si="22"/>
        <v/>
      </c>
      <c r="S900" s="188"/>
    </row>
    <row r="901" spans="1:19" ht="18" customHeight="1">
      <c r="A901" s="245"/>
      <c r="B901" s="246"/>
      <c r="C901" s="188"/>
      <c r="D901" s="245"/>
      <c r="E901" s="247"/>
      <c r="F901" s="245"/>
      <c r="G901" s="188"/>
      <c r="H901" s="267"/>
      <c r="J901" s="188"/>
      <c r="M901" s="252"/>
      <c r="N901" s="217"/>
      <c r="O901" s="254"/>
      <c r="P901" s="266"/>
      <c r="Q901" s="271"/>
      <c r="R901" s="219" t="str">
        <f t="shared" si="22"/>
        <v/>
      </c>
      <c r="S901" s="188"/>
    </row>
    <row r="902" spans="1:19" ht="18" customHeight="1">
      <c r="A902" s="245"/>
      <c r="B902" s="246"/>
      <c r="C902" s="188"/>
      <c r="D902" s="245"/>
      <c r="E902" s="247"/>
      <c r="F902" s="245"/>
      <c r="G902" s="188"/>
      <c r="H902" s="267"/>
      <c r="J902" s="188"/>
      <c r="M902" s="252"/>
      <c r="N902" s="217"/>
      <c r="O902" s="254"/>
      <c r="P902" s="266"/>
      <c r="Q902" s="271"/>
      <c r="R902" s="219" t="str">
        <f t="shared" si="22"/>
        <v/>
      </c>
      <c r="S902" s="188"/>
    </row>
    <row r="903" spans="1:19" ht="18" customHeight="1">
      <c r="A903" s="245"/>
      <c r="B903" s="246"/>
      <c r="C903" s="188"/>
      <c r="D903" s="245"/>
      <c r="E903" s="247"/>
      <c r="F903" s="245"/>
      <c r="G903" s="188"/>
      <c r="H903" s="267"/>
      <c r="J903" s="188"/>
      <c r="M903" s="252"/>
      <c r="N903" s="217"/>
      <c r="O903" s="254"/>
      <c r="P903" s="266"/>
      <c r="Q903" s="271"/>
      <c r="R903" s="219" t="str">
        <f t="shared" si="22"/>
        <v/>
      </c>
      <c r="S903" s="188"/>
    </row>
    <row r="904" spans="1:19" ht="18" customHeight="1">
      <c r="A904" s="245"/>
      <c r="B904" s="246"/>
      <c r="C904" s="188"/>
      <c r="D904" s="245"/>
      <c r="E904" s="247"/>
      <c r="F904" s="245"/>
      <c r="G904" s="188"/>
      <c r="H904" s="267"/>
      <c r="J904" s="188"/>
      <c r="M904" s="252"/>
      <c r="N904" s="217"/>
      <c r="O904" s="254"/>
      <c r="P904" s="266"/>
      <c r="Q904" s="271"/>
      <c r="R904" s="219" t="str">
        <f t="shared" si="22"/>
        <v/>
      </c>
      <c r="S904" s="188"/>
    </row>
    <row r="905" spans="1:19" ht="18" customHeight="1">
      <c r="A905" s="245"/>
      <c r="B905" s="246"/>
      <c r="C905" s="188"/>
      <c r="D905" s="245"/>
      <c r="E905" s="247"/>
      <c r="F905" s="245"/>
      <c r="G905" s="188"/>
      <c r="H905" s="267"/>
      <c r="J905" s="188"/>
      <c r="M905" s="252"/>
      <c r="N905" s="217"/>
      <c r="O905" s="254"/>
      <c r="P905" s="266"/>
      <c r="Q905" s="271"/>
      <c r="R905" s="219" t="str">
        <f t="shared" si="22"/>
        <v/>
      </c>
      <c r="S905" s="188"/>
    </row>
    <row r="906" spans="1:19" ht="18" customHeight="1">
      <c r="A906" s="245"/>
      <c r="B906" s="246"/>
      <c r="C906" s="188"/>
      <c r="D906" s="245"/>
      <c r="E906" s="247"/>
      <c r="F906" s="245"/>
      <c r="G906" s="188"/>
      <c r="H906" s="267"/>
      <c r="J906" s="188"/>
      <c r="M906" s="252"/>
      <c r="N906" s="217"/>
      <c r="O906" s="254"/>
      <c r="P906" s="266"/>
      <c r="Q906" s="271"/>
      <c r="R906" s="219" t="str">
        <f t="shared" si="22"/>
        <v/>
      </c>
      <c r="S906" s="188"/>
    </row>
    <row r="907" spans="1:19" ht="18" customHeight="1">
      <c r="A907" s="245"/>
      <c r="B907" s="246"/>
      <c r="C907" s="188"/>
      <c r="D907" s="245"/>
      <c r="E907" s="247"/>
      <c r="F907" s="245"/>
      <c r="G907" s="188"/>
      <c r="H907" s="267"/>
      <c r="J907" s="188"/>
      <c r="M907" s="252"/>
      <c r="N907" s="217"/>
      <c r="O907" s="254"/>
      <c r="P907" s="266"/>
      <c r="Q907" s="271"/>
      <c r="R907" s="219" t="str">
        <f t="shared" si="22"/>
        <v/>
      </c>
      <c r="S907" s="188"/>
    </row>
    <row r="908" spans="1:19" ht="18" customHeight="1">
      <c r="A908" s="245"/>
      <c r="B908" s="246"/>
      <c r="C908" s="188"/>
      <c r="D908" s="245"/>
      <c r="E908" s="247"/>
      <c r="F908" s="245"/>
      <c r="G908" s="188"/>
      <c r="H908" s="267"/>
      <c r="J908" s="188"/>
      <c r="M908" s="252"/>
      <c r="N908" s="217"/>
      <c r="O908" s="254"/>
      <c r="P908" s="266"/>
      <c r="Q908" s="271"/>
      <c r="R908" s="219" t="str">
        <f t="shared" si="22"/>
        <v/>
      </c>
      <c r="S908" s="188"/>
    </row>
    <row r="909" spans="1:19" ht="18" customHeight="1">
      <c r="A909" s="245"/>
      <c r="B909" s="246"/>
      <c r="C909" s="188"/>
      <c r="D909" s="245"/>
      <c r="E909" s="247"/>
      <c r="F909" s="245"/>
      <c r="G909" s="188"/>
      <c r="H909" s="267"/>
      <c r="J909" s="188"/>
      <c r="M909" s="252"/>
      <c r="N909" s="217"/>
      <c r="O909" s="254"/>
      <c r="P909" s="266"/>
      <c r="Q909" s="271"/>
      <c r="R909" s="219" t="str">
        <f t="shared" si="22"/>
        <v/>
      </c>
      <c r="S909" s="188"/>
    </row>
    <row r="910" spans="1:19" ht="18" customHeight="1">
      <c r="A910" s="245"/>
      <c r="B910" s="246"/>
      <c r="C910" s="188"/>
      <c r="D910" s="245"/>
      <c r="E910" s="247"/>
      <c r="F910" s="245"/>
      <c r="G910" s="188"/>
      <c r="H910" s="267"/>
      <c r="J910" s="188"/>
      <c r="M910" s="252"/>
      <c r="N910" s="217"/>
      <c r="O910" s="254"/>
      <c r="P910" s="266"/>
      <c r="Q910" s="271"/>
      <c r="R910" s="219" t="str">
        <f t="shared" si="22"/>
        <v/>
      </c>
      <c r="S910" s="188"/>
    </row>
    <row r="911" spans="1:19" ht="18" customHeight="1">
      <c r="A911" s="245"/>
      <c r="B911" s="246"/>
      <c r="C911" s="188"/>
      <c r="D911" s="245"/>
      <c r="E911" s="247"/>
      <c r="F911" s="245"/>
      <c r="G911" s="188"/>
      <c r="H911" s="267"/>
      <c r="J911" s="188"/>
      <c r="M911" s="252"/>
      <c r="N911" s="217"/>
      <c r="O911" s="254"/>
      <c r="P911" s="266"/>
      <c r="Q911" s="271"/>
      <c r="R911" s="219" t="str">
        <f t="shared" si="22"/>
        <v/>
      </c>
      <c r="S911" s="188"/>
    </row>
    <row r="912" spans="1:19" ht="18" customHeight="1">
      <c r="A912" s="245"/>
      <c r="B912" s="246"/>
      <c r="C912" s="188"/>
      <c r="D912" s="245"/>
      <c r="E912" s="247"/>
      <c r="F912" s="245"/>
      <c r="G912" s="188"/>
      <c r="H912" s="267"/>
      <c r="J912" s="188"/>
      <c r="M912" s="252"/>
      <c r="N912" s="217"/>
      <c r="O912" s="254"/>
      <c r="P912" s="266"/>
      <c r="Q912" s="271"/>
      <c r="R912" s="219" t="str">
        <f t="shared" si="22"/>
        <v/>
      </c>
      <c r="S912" s="188"/>
    </row>
    <row r="913" spans="1:19" ht="18" customHeight="1">
      <c r="A913" s="245"/>
      <c r="B913" s="246"/>
      <c r="C913" s="188"/>
      <c r="D913" s="245"/>
      <c r="E913" s="247"/>
      <c r="F913" s="245"/>
      <c r="G913" s="188"/>
      <c r="H913" s="267"/>
      <c r="J913" s="188"/>
      <c r="M913" s="252"/>
      <c r="N913" s="217"/>
      <c r="O913" s="254"/>
      <c r="P913" s="266"/>
      <c r="Q913" s="271"/>
      <c r="R913" s="219" t="str">
        <f t="shared" si="22"/>
        <v/>
      </c>
      <c r="S913" s="188"/>
    </row>
    <row r="914" spans="1:19" ht="18" customHeight="1">
      <c r="A914" s="245"/>
      <c r="B914" s="246"/>
      <c r="C914" s="188"/>
      <c r="D914" s="245"/>
      <c r="E914" s="247"/>
      <c r="F914" s="245"/>
      <c r="G914" s="188"/>
      <c r="H914" s="267"/>
      <c r="J914" s="188"/>
      <c r="M914" s="252"/>
      <c r="N914" s="217"/>
      <c r="O914" s="254"/>
      <c r="P914" s="266"/>
      <c r="Q914" s="271"/>
      <c r="R914" s="219" t="str">
        <f t="shared" si="22"/>
        <v/>
      </c>
      <c r="S914" s="188"/>
    </row>
    <row r="915" spans="1:19" ht="18" customHeight="1">
      <c r="A915" s="245"/>
      <c r="B915" s="246"/>
      <c r="C915" s="188"/>
      <c r="D915" s="245"/>
      <c r="E915" s="247"/>
      <c r="F915" s="245"/>
      <c r="G915" s="188"/>
      <c r="H915" s="267"/>
      <c r="J915" s="188"/>
      <c r="M915" s="252"/>
      <c r="N915" s="217"/>
      <c r="O915" s="254"/>
      <c r="P915" s="266"/>
      <c r="Q915" s="271"/>
      <c r="R915" s="219" t="str">
        <f t="shared" si="22"/>
        <v/>
      </c>
      <c r="S915" s="188"/>
    </row>
    <row r="916" spans="1:19" ht="18" customHeight="1">
      <c r="A916" s="245"/>
      <c r="B916" s="246"/>
      <c r="C916" s="188"/>
      <c r="D916" s="245"/>
      <c r="E916" s="247"/>
      <c r="F916" s="245"/>
      <c r="G916" s="188"/>
      <c r="H916" s="267"/>
      <c r="J916" s="188"/>
      <c r="M916" s="252"/>
      <c r="N916" s="217"/>
      <c r="O916" s="254"/>
      <c r="P916" s="266"/>
      <c r="Q916" s="271"/>
      <c r="R916" s="219" t="str">
        <f t="shared" si="22"/>
        <v/>
      </c>
      <c r="S916" s="188"/>
    </row>
    <row r="917" spans="1:19" ht="18" customHeight="1">
      <c r="A917" s="245"/>
      <c r="B917" s="246"/>
      <c r="C917" s="188"/>
      <c r="D917" s="245"/>
      <c r="E917" s="247"/>
      <c r="F917" s="245"/>
      <c r="G917" s="188"/>
      <c r="H917" s="267"/>
      <c r="J917" s="188"/>
      <c r="M917" s="252"/>
      <c r="N917" s="217"/>
      <c r="O917" s="254"/>
      <c r="P917" s="266"/>
      <c r="Q917" s="271"/>
      <c r="R917" s="219" t="str">
        <f t="shared" si="22"/>
        <v/>
      </c>
      <c r="S917" s="188"/>
    </row>
    <row r="918" spans="1:19" ht="18" customHeight="1">
      <c r="A918" s="245"/>
      <c r="B918" s="246"/>
      <c r="C918" s="188"/>
      <c r="D918" s="245"/>
      <c r="E918" s="247"/>
      <c r="F918" s="245"/>
      <c r="G918" s="188"/>
      <c r="H918" s="267"/>
      <c r="J918" s="188"/>
      <c r="M918" s="252"/>
      <c r="N918" s="217"/>
      <c r="O918" s="254"/>
      <c r="P918" s="266"/>
      <c r="Q918" s="271"/>
      <c r="R918" s="219" t="str">
        <f t="shared" si="22"/>
        <v/>
      </c>
      <c r="S918" s="188"/>
    </row>
    <row r="919" spans="1:19" ht="18" customHeight="1">
      <c r="A919" s="245"/>
      <c r="B919" s="246"/>
      <c r="C919" s="188"/>
      <c r="D919" s="245"/>
      <c r="E919" s="247"/>
      <c r="F919" s="245"/>
      <c r="G919" s="188"/>
      <c r="H919" s="267"/>
      <c r="J919" s="188"/>
      <c r="M919" s="252"/>
      <c r="N919" s="217"/>
      <c r="O919" s="254"/>
      <c r="P919" s="266"/>
      <c r="Q919" s="271"/>
      <c r="R919" s="219" t="str">
        <f t="shared" ref="R919:R982" si="23">IF(SUM(Q919)&gt;0,SUM(Q919-P919),"")</f>
        <v/>
      </c>
      <c r="S919" s="188"/>
    </row>
    <row r="920" spans="1:19" ht="18" customHeight="1">
      <c r="A920" s="245"/>
      <c r="B920" s="246"/>
      <c r="C920" s="188"/>
      <c r="D920" s="245"/>
      <c r="E920" s="247"/>
      <c r="F920" s="245"/>
      <c r="G920" s="188"/>
      <c r="H920" s="267"/>
      <c r="J920" s="188"/>
      <c r="M920" s="252"/>
      <c r="N920" s="217"/>
      <c r="O920" s="254"/>
      <c r="P920" s="266"/>
      <c r="Q920" s="271"/>
      <c r="R920" s="219" t="str">
        <f t="shared" si="23"/>
        <v/>
      </c>
      <c r="S920" s="188"/>
    </row>
    <row r="921" spans="1:19" ht="18" customHeight="1">
      <c r="A921" s="245"/>
      <c r="B921" s="246"/>
      <c r="C921" s="188"/>
      <c r="D921" s="245"/>
      <c r="E921" s="247"/>
      <c r="F921" s="245"/>
      <c r="G921" s="188"/>
      <c r="H921" s="267"/>
      <c r="J921" s="188"/>
      <c r="M921" s="252"/>
      <c r="N921" s="217"/>
      <c r="O921" s="254"/>
      <c r="P921" s="266"/>
      <c r="Q921" s="271"/>
      <c r="R921" s="219" t="str">
        <f t="shared" si="23"/>
        <v/>
      </c>
      <c r="S921" s="188"/>
    </row>
    <row r="922" spans="1:19" ht="18" customHeight="1">
      <c r="A922" s="245"/>
      <c r="B922" s="246"/>
      <c r="C922" s="188"/>
      <c r="D922" s="245"/>
      <c r="E922" s="247"/>
      <c r="F922" s="245"/>
      <c r="G922" s="188"/>
      <c r="H922" s="267"/>
      <c r="J922" s="188"/>
      <c r="M922" s="252"/>
      <c r="N922" s="217"/>
      <c r="O922" s="254"/>
      <c r="P922" s="266"/>
      <c r="Q922" s="271"/>
      <c r="R922" s="219" t="str">
        <f t="shared" si="23"/>
        <v/>
      </c>
      <c r="S922" s="188"/>
    </row>
    <row r="923" spans="1:19" ht="18" customHeight="1">
      <c r="A923" s="245"/>
      <c r="B923" s="246"/>
      <c r="C923" s="188"/>
      <c r="D923" s="245"/>
      <c r="E923" s="247"/>
      <c r="F923" s="245"/>
      <c r="G923" s="188"/>
      <c r="H923" s="267"/>
      <c r="J923" s="188"/>
      <c r="M923" s="252"/>
      <c r="N923" s="217"/>
      <c r="O923" s="254"/>
      <c r="P923" s="266"/>
      <c r="Q923" s="271"/>
      <c r="R923" s="219" t="str">
        <f t="shared" si="23"/>
        <v/>
      </c>
      <c r="S923" s="188"/>
    </row>
    <row r="924" spans="1:19" ht="18" customHeight="1">
      <c r="A924" s="245"/>
      <c r="B924" s="246"/>
      <c r="C924" s="188"/>
      <c r="D924" s="245"/>
      <c r="E924" s="247"/>
      <c r="F924" s="245"/>
      <c r="G924" s="188"/>
      <c r="H924" s="267"/>
      <c r="J924" s="188"/>
      <c r="M924" s="252"/>
      <c r="N924" s="217"/>
      <c r="O924" s="254"/>
      <c r="P924" s="266"/>
      <c r="Q924" s="271"/>
      <c r="R924" s="219" t="str">
        <f t="shared" si="23"/>
        <v/>
      </c>
      <c r="S924" s="188"/>
    </row>
    <row r="925" spans="1:19" ht="18" customHeight="1">
      <c r="A925" s="245"/>
      <c r="B925" s="246"/>
      <c r="C925" s="188"/>
      <c r="D925" s="245"/>
      <c r="E925" s="247"/>
      <c r="F925" s="245"/>
      <c r="G925" s="188"/>
      <c r="H925" s="267"/>
      <c r="J925" s="188"/>
      <c r="M925" s="252"/>
      <c r="N925" s="217"/>
      <c r="O925" s="254"/>
      <c r="P925" s="266"/>
      <c r="Q925" s="271"/>
      <c r="R925" s="219" t="str">
        <f t="shared" si="23"/>
        <v/>
      </c>
      <c r="S925" s="188"/>
    </row>
    <row r="926" spans="1:19" ht="18" customHeight="1">
      <c r="A926" s="245"/>
      <c r="B926" s="246"/>
      <c r="C926" s="188"/>
      <c r="D926" s="245"/>
      <c r="E926" s="247"/>
      <c r="F926" s="245"/>
      <c r="G926" s="188"/>
      <c r="H926" s="267"/>
      <c r="J926" s="188"/>
      <c r="M926" s="252"/>
      <c r="N926" s="217"/>
      <c r="O926" s="254"/>
      <c r="P926" s="266"/>
      <c r="Q926" s="271"/>
      <c r="R926" s="219" t="str">
        <f t="shared" si="23"/>
        <v/>
      </c>
      <c r="S926" s="188"/>
    </row>
    <row r="927" spans="1:19" ht="18" customHeight="1">
      <c r="A927" s="245"/>
      <c r="B927" s="246"/>
      <c r="C927" s="188"/>
      <c r="D927" s="245"/>
      <c r="E927" s="247"/>
      <c r="F927" s="245"/>
      <c r="G927" s="188"/>
      <c r="H927" s="267"/>
      <c r="J927" s="188"/>
      <c r="M927" s="252"/>
      <c r="N927" s="217"/>
      <c r="O927" s="254"/>
      <c r="P927" s="266"/>
      <c r="Q927" s="271"/>
      <c r="R927" s="219" t="str">
        <f t="shared" si="23"/>
        <v/>
      </c>
      <c r="S927" s="188"/>
    </row>
    <row r="928" spans="1:19" ht="18" customHeight="1">
      <c r="A928" s="245"/>
      <c r="B928" s="246"/>
      <c r="C928" s="188"/>
      <c r="D928" s="245"/>
      <c r="E928" s="247"/>
      <c r="F928" s="245"/>
      <c r="G928" s="188"/>
      <c r="H928" s="267"/>
      <c r="J928" s="188"/>
      <c r="M928" s="252"/>
      <c r="N928" s="217"/>
      <c r="O928" s="254"/>
      <c r="P928" s="266"/>
      <c r="Q928" s="271"/>
      <c r="R928" s="219" t="str">
        <f t="shared" si="23"/>
        <v/>
      </c>
      <c r="S928" s="188"/>
    </row>
    <row r="929" spans="1:19" ht="18" customHeight="1">
      <c r="A929" s="245"/>
      <c r="B929" s="246"/>
      <c r="C929" s="188"/>
      <c r="D929" s="245"/>
      <c r="E929" s="247"/>
      <c r="F929" s="245"/>
      <c r="G929" s="188"/>
      <c r="H929" s="267"/>
      <c r="J929" s="188"/>
      <c r="M929" s="252"/>
      <c r="N929" s="217"/>
      <c r="O929" s="254"/>
      <c r="P929" s="266"/>
      <c r="Q929" s="271"/>
      <c r="R929" s="219" t="str">
        <f t="shared" si="23"/>
        <v/>
      </c>
      <c r="S929" s="188"/>
    </row>
    <row r="930" spans="1:19" ht="18" customHeight="1">
      <c r="A930" s="245"/>
      <c r="B930" s="246"/>
      <c r="C930" s="188"/>
      <c r="D930" s="245"/>
      <c r="E930" s="247"/>
      <c r="F930" s="245"/>
      <c r="G930" s="188"/>
      <c r="H930" s="267"/>
      <c r="J930" s="188"/>
      <c r="M930" s="252"/>
      <c r="N930" s="217"/>
      <c r="O930" s="254"/>
      <c r="P930" s="266"/>
      <c r="Q930" s="271"/>
      <c r="R930" s="219" t="str">
        <f t="shared" si="23"/>
        <v/>
      </c>
      <c r="S930" s="188"/>
    </row>
    <row r="931" spans="1:19" ht="18" customHeight="1">
      <c r="A931" s="245"/>
      <c r="B931" s="246"/>
      <c r="C931" s="188"/>
      <c r="D931" s="245"/>
      <c r="E931" s="247"/>
      <c r="F931" s="245"/>
      <c r="G931" s="188"/>
      <c r="H931" s="267"/>
      <c r="J931" s="188"/>
      <c r="M931" s="252"/>
      <c r="N931" s="217"/>
      <c r="O931" s="254"/>
      <c r="P931" s="266"/>
      <c r="Q931" s="271"/>
      <c r="R931" s="219" t="str">
        <f t="shared" si="23"/>
        <v/>
      </c>
      <c r="S931" s="188"/>
    </row>
    <row r="932" spans="1:19" ht="18" customHeight="1">
      <c r="A932" s="245"/>
      <c r="B932" s="246"/>
      <c r="C932" s="188"/>
      <c r="D932" s="245"/>
      <c r="E932" s="247"/>
      <c r="F932" s="245"/>
      <c r="G932" s="188"/>
      <c r="H932" s="267"/>
      <c r="J932" s="188"/>
      <c r="M932" s="252"/>
      <c r="N932" s="217"/>
      <c r="O932" s="254"/>
      <c r="P932" s="266"/>
      <c r="Q932" s="271"/>
      <c r="R932" s="219" t="str">
        <f t="shared" si="23"/>
        <v/>
      </c>
      <c r="S932" s="188"/>
    </row>
    <row r="933" spans="1:19" ht="18" customHeight="1">
      <c r="A933" s="245"/>
      <c r="B933" s="246"/>
      <c r="C933" s="188"/>
      <c r="D933" s="245"/>
      <c r="E933" s="247"/>
      <c r="F933" s="245"/>
      <c r="G933" s="188"/>
      <c r="H933" s="267"/>
      <c r="J933" s="188"/>
      <c r="M933" s="252"/>
      <c r="N933" s="217"/>
      <c r="O933" s="254"/>
      <c r="P933" s="266"/>
      <c r="Q933" s="271"/>
      <c r="R933" s="219" t="str">
        <f t="shared" si="23"/>
        <v/>
      </c>
      <c r="S933" s="188"/>
    </row>
    <row r="934" spans="1:19" ht="18" customHeight="1">
      <c r="A934" s="245"/>
      <c r="B934" s="246"/>
      <c r="C934" s="188"/>
      <c r="D934" s="245"/>
      <c r="E934" s="247"/>
      <c r="F934" s="245"/>
      <c r="G934" s="188"/>
      <c r="H934" s="267"/>
      <c r="J934" s="188"/>
      <c r="M934" s="252"/>
      <c r="N934" s="217"/>
      <c r="O934" s="254"/>
      <c r="P934" s="266"/>
      <c r="Q934" s="271"/>
      <c r="R934" s="219" t="str">
        <f t="shared" si="23"/>
        <v/>
      </c>
      <c r="S934" s="188"/>
    </row>
    <row r="935" spans="1:19" ht="18" customHeight="1">
      <c r="A935" s="245"/>
      <c r="B935" s="246"/>
      <c r="C935" s="188"/>
      <c r="D935" s="245"/>
      <c r="E935" s="247"/>
      <c r="F935" s="245"/>
      <c r="G935" s="188"/>
      <c r="H935" s="267"/>
      <c r="J935" s="188"/>
      <c r="M935" s="252"/>
      <c r="N935" s="217"/>
      <c r="O935" s="254"/>
      <c r="P935" s="266"/>
      <c r="Q935" s="271"/>
      <c r="R935" s="219" t="str">
        <f t="shared" si="23"/>
        <v/>
      </c>
      <c r="S935" s="188"/>
    </row>
    <row r="936" spans="1:19" ht="18" customHeight="1">
      <c r="A936" s="245"/>
      <c r="B936" s="246"/>
      <c r="C936" s="188"/>
      <c r="D936" s="245"/>
      <c r="E936" s="247"/>
      <c r="F936" s="245"/>
      <c r="G936" s="188"/>
      <c r="H936" s="267"/>
      <c r="J936" s="188"/>
      <c r="M936" s="252"/>
      <c r="N936" s="217"/>
      <c r="O936" s="254"/>
      <c r="P936" s="266"/>
      <c r="Q936" s="271"/>
      <c r="R936" s="219" t="str">
        <f t="shared" si="23"/>
        <v/>
      </c>
      <c r="S936" s="188"/>
    </row>
    <row r="937" spans="1:19" ht="18" customHeight="1">
      <c r="A937" s="245"/>
      <c r="B937" s="246"/>
      <c r="C937" s="188"/>
      <c r="D937" s="245"/>
      <c r="E937" s="247"/>
      <c r="F937" s="245"/>
      <c r="G937" s="188"/>
      <c r="H937" s="267"/>
      <c r="J937" s="188"/>
      <c r="M937" s="252"/>
      <c r="N937" s="217"/>
      <c r="O937" s="254"/>
      <c r="P937" s="266"/>
      <c r="Q937" s="271"/>
      <c r="R937" s="219" t="str">
        <f t="shared" si="23"/>
        <v/>
      </c>
      <c r="S937" s="188"/>
    </row>
    <row r="938" spans="1:19" ht="18" customHeight="1">
      <c r="A938" s="245"/>
      <c r="B938" s="246"/>
      <c r="C938" s="188"/>
      <c r="D938" s="245"/>
      <c r="E938" s="247"/>
      <c r="F938" s="245"/>
      <c r="G938" s="188"/>
      <c r="H938" s="267"/>
      <c r="J938" s="188"/>
      <c r="M938" s="252"/>
      <c r="N938" s="217"/>
      <c r="O938" s="254"/>
      <c r="P938" s="266"/>
      <c r="Q938" s="271"/>
      <c r="R938" s="219" t="str">
        <f t="shared" si="23"/>
        <v/>
      </c>
      <c r="S938" s="188"/>
    </row>
    <row r="939" spans="1:19" ht="18" customHeight="1">
      <c r="A939" s="245"/>
      <c r="B939" s="246"/>
      <c r="C939" s="188"/>
      <c r="D939" s="245"/>
      <c r="E939" s="247"/>
      <c r="F939" s="245"/>
      <c r="G939" s="188"/>
      <c r="H939" s="267"/>
      <c r="J939" s="188"/>
      <c r="M939" s="252"/>
      <c r="N939" s="217"/>
      <c r="O939" s="254"/>
      <c r="P939" s="266"/>
      <c r="Q939" s="271"/>
      <c r="R939" s="219" t="str">
        <f t="shared" si="23"/>
        <v/>
      </c>
      <c r="S939" s="188"/>
    </row>
    <row r="940" spans="1:19" ht="18" customHeight="1">
      <c r="A940" s="245"/>
      <c r="B940" s="246"/>
      <c r="C940" s="188"/>
      <c r="D940" s="245"/>
      <c r="E940" s="247"/>
      <c r="F940" s="245"/>
      <c r="G940" s="188"/>
      <c r="H940" s="267"/>
      <c r="J940" s="188"/>
      <c r="M940" s="252"/>
      <c r="N940" s="217"/>
      <c r="O940" s="254"/>
      <c r="P940" s="266"/>
      <c r="Q940" s="271"/>
      <c r="R940" s="219" t="str">
        <f t="shared" si="23"/>
        <v/>
      </c>
      <c r="S940" s="188"/>
    </row>
    <row r="941" spans="1:19" ht="18" customHeight="1">
      <c r="A941" s="245"/>
      <c r="B941" s="246"/>
      <c r="C941" s="188"/>
      <c r="D941" s="245"/>
      <c r="E941" s="247"/>
      <c r="F941" s="245"/>
      <c r="G941" s="188"/>
      <c r="H941" s="267"/>
      <c r="J941" s="188"/>
      <c r="M941" s="252"/>
      <c r="N941" s="217"/>
      <c r="O941" s="254"/>
      <c r="P941" s="266"/>
      <c r="Q941" s="271"/>
      <c r="R941" s="219" t="str">
        <f t="shared" si="23"/>
        <v/>
      </c>
      <c r="S941" s="188"/>
    </row>
    <row r="942" spans="1:19" ht="18" customHeight="1">
      <c r="A942" s="245"/>
      <c r="B942" s="246"/>
      <c r="C942" s="188"/>
      <c r="D942" s="245"/>
      <c r="E942" s="247"/>
      <c r="F942" s="245"/>
      <c r="G942" s="188"/>
      <c r="H942" s="267"/>
      <c r="J942" s="188"/>
      <c r="M942" s="252"/>
      <c r="N942" s="217"/>
      <c r="O942" s="254"/>
      <c r="P942" s="266"/>
      <c r="Q942" s="271"/>
      <c r="R942" s="219" t="str">
        <f t="shared" si="23"/>
        <v/>
      </c>
      <c r="S942" s="188"/>
    </row>
    <row r="943" spans="1:19" ht="18" customHeight="1">
      <c r="A943" s="245"/>
      <c r="B943" s="246"/>
      <c r="C943" s="188"/>
      <c r="D943" s="245"/>
      <c r="E943" s="247"/>
      <c r="F943" s="245"/>
      <c r="G943" s="188"/>
      <c r="H943" s="267"/>
      <c r="J943" s="188"/>
      <c r="M943" s="252"/>
      <c r="N943" s="217"/>
      <c r="O943" s="254"/>
      <c r="P943" s="266"/>
      <c r="Q943" s="271"/>
      <c r="R943" s="219" t="str">
        <f t="shared" si="23"/>
        <v/>
      </c>
      <c r="S943" s="188"/>
    </row>
    <row r="944" spans="1:19" ht="18" customHeight="1">
      <c r="A944" s="245"/>
      <c r="B944" s="246"/>
      <c r="C944" s="188"/>
      <c r="D944" s="245"/>
      <c r="E944" s="247"/>
      <c r="F944" s="245"/>
      <c r="G944" s="188"/>
      <c r="H944" s="267"/>
      <c r="J944" s="188"/>
      <c r="M944" s="252"/>
      <c r="N944" s="217"/>
      <c r="O944" s="254"/>
      <c r="P944" s="266"/>
      <c r="Q944" s="271"/>
      <c r="R944" s="219" t="str">
        <f t="shared" si="23"/>
        <v/>
      </c>
      <c r="S944" s="188"/>
    </row>
    <row r="945" spans="1:19" ht="18" customHeight="1">
      <c r="A945" s="245"/>
      <c r="B945" s="246"/>
      <c r="C945" s="188"/>
      <c r="D945" s="245"/>
      <c r="E945" s="247"/>
      <c r="F945" s="245"/>
      <c r="G945" s="188"/>
      <c r="H945" s="267"/>
      <c r="J945" s="188"/>
      <c r="M945" s="252"/>
      <c r="N945" s="217"/>
      <c r="O945" s="254"/>
      <c r="P945" s="266"/>
      <c r="Q945" s="271"/>
      <c r="R945" s="219" t="str">
        <f t="shared" si="23"/>
        <v/>
      </c>
      <c r="S945" s="188"/>
    </row>
    <row r="946" spans="1:19" ht="18" customHeight="1">
      <c r="A946" s="245"/>
      <c r="B946" s="246"/>
      <c r="C946" s="188"/>
      <c r="D946" s="245"/>
      <c r="E946" s="247"/>
      <c r="F946" s="245"/>
      <c r="G946" s="188"/>
      <c r="H946" s="267"/>
      <c r="J946" s="188"/>
      <c r="M946" s="252"/>
      <c r="N946" s="217"/>
      <c r="O946" s="254"/>
      <c r="P946" s="266"/>
      <c r="Q946" s="271"/>
      <c r="R946" s="219" t="str">
        <f t="shared" si="23"/>
        <v/>
      </c>
      <c r="S946" s="188"/>
    </row>
    <row r="947" spans="1:19" ht="18" customHeight="1">
      <c r="A947" s="245"/>
      <c r="B947" s="246"/>
      <c r="C947" s="188"/>
      <c r="D947" s="245"/>
      <c r="E947" s="247"/>
      <c r="F947" s="245"/>
      <c r="G947" s="188"/>
      <c r="H947" s="267"/>
      <c r="J947" s="188"/>
      <c r="M947" s="252"/>
      <c r="N947" s="217"/>
      <c r="O947" s="254"/>
      <c r="P947" s="266"/>
      <c r="Q947" s="271"/>
      <c r="R947" s="219" t="str">
        <f t="shared" si="23"/>
        <v/>
      </c>
      <c r="S947" s="188"/>
    </row>
    <row r="948" spans="1:19" ht="18" customHeight="1">
      <c r="A948" s="245"/>
      <c r="B948" s="246"/>
      <c r="C948" s="188"/>
      <c r="D948" s="245"/>
      <c r="E948" s="247"/>
      <c r="F948" s="245"/>
      <c r="G948" s="188"/>
      <c r="H948" s="267"/>
      <c r="J948" s="188"/>
      <c r="M948" s="252"/>
      <c r="N948" s="217"/>
      <c r="O948" s="254"/>
      <c r="P948" s="266"/>
      <c r="Q948" s="271"/>
      <c r="R948" s="219" t="str">
        <f t="shared" si="23"/>
        <v/>
      </c>
      <c r="S948" s="188"/>
    </row>
    <row r="949" spans="1:19" ht="18" customHeight="1">
      <c r="A949" s="245"/>
      <c r="B949" s="246"/>
      <c r="C949" s="188"/>
      <c r="D949" s="245"/>
      <c r="E949" s="247"/>
      <c r="F949" s="245"/>
      <c r="G949" s="188"/>
      <c r="H949" s="267"/>
      <c r="J949" s="188"/>
      <c r="M949" s="252"/>
      <c r="N949" s="217"/>
      <c r="O949" s="254"/>
      <c r="P949" s="266"/>
      <c r="Q949" s="271"/>
      <c r="R949" s="219" t="str">
        <f t="shared" si="23"/>
        <v/>
      </c>
      <c r="S949" s="188"/>
    </row>
    <row r="950" spans="1:19" ht="18" customHeight="1">
      <c r="A950" s="245"/>
      <c r="B950" s="246"/>
      <c r="C950" s="188"/>
      <c r="D950" s="245"/>
      <c r="E950" s="247"/>
      <c r="F950" s="245"/>
      <c r="G950" s="188"/>
      <c r="H950" s="267"/>
      <c r="J950" s="188"/>
      <c r="M950" s="252"/>
      <c r="N950" s="217"/>
      <c r="O950" s="254"/>
      <c r="P950" s="266"/>
      <c r="Q950" s="271"/>
      <c r="R950" s="219" t="str">
        <f t="shared" si="23"/>
        <v/>
      </c>
      <c r="S950" s="188"/>
    </row>
    <row r="951" spans="1:19" ht="18" customHeight="1">
      <c r="A951" s="245"/>
      <c r="B951" s="246"/>
      <c r="C951" s="188"/>
      <c r="D951" s="245"/>
      <c r="E951" s="247"/>
      <c r="F951" s="245"/>
      <c r="G951" s="188"/>
      <c r="H951" s="267"/>
      <c r="J951" s="188"/>
      <c r="M951" s="252"/>
      <c r="N951" s="217"/>
      <c r="O951" s="254"/>
      <c r="P951" s="266"/>
      <c r="Q951" s="271"/>
      <c r="R951" s="219" t="str">
        <f t="shared" si="23"/>
        <v/>
      </c>
      <c r="S951" s="188"/>
    </row>
    <row r="952" spans="1:19" ht="18" customHeight="1">
      <c r="A952" s="245"/>
      <c r="B952" s="246"/>
      <c r="C952" s="188"/>
      <c r="D952" s="245"/>
      <c r="E952" s="247"/>
      <c r="F952" s="245"/>
      <c r="G952" s="188"/>
      <c r="H952" s="267"/>
      <c r="J952" s="188"/>
      <c r="M952" s="252"/>
      <c r="N952" s="217"/>
      <c r="O952" s="254"/>
      <c r="P952" s="266"/>
      <c r="Q952" s="271"/>
      <c r="R952" s="219" t="str">
        <f t="shared" si="23"/>
        <v/>
      </c>
      <c r="S952" s="188"/>
    </row>
    <row r="953" spans="1:19" ht="18" customHeight="1">
      <c r="A953" s="245"/>
      <c r="B953" s="246"/>
      <c r="C953" s="188"/>
      <c r="D953" s="245"/>
      <c r="E953" s="247"/>
      <c r="F953" s="245"/>
      <c r="G953" s="188"/>
      <c r="H953" s="267"/>
      <c r="J953" s="188"/>
      <c r="M953" s="252"/>
      <c r="N953" s="217"/>
      <c r="O953" s="254"/>
      <c r="P953" s="266"/>
      <c r="Q953" s="271"/>
      <c r="R953" s="219" t="str">
        <f t="shared" si="23"/>
        <v/>
      </c>
      <c r="S953" s="188"/>
    </row>
    <row r="954" spans="1:19" ht="18" customHeight="1">
      <c r="A954" s="245"/>
      <c r="B954" s="246"/>
      <c r="C954" s="188"/>
      <c r="D954" s="245"/>
      <c r="E954" s="247"/>
      <c r="F954" s="245"/>
      <c r="G954" s="188"/>
      <c r="H954" s="267"/>
      <c r="J954" s="188"/>
      <c r="M954" s="252"/>
      <c r="N954" s="217"/>
      <c r="O954" s="254"/>
      <c r="P954" s="266"/>
      <c r="Q954" s="271"/>
      <c r="R954" s="219" t="str">
        <f t="shared" si="23"/>
        <v/>
      </c>
      <c r="S954" s="188"/>
    </row>
    <row r="955" spans="1:19" ht="18" customHeight="1">
      <c r="A955" s="245"/>
      <c r="B955" s="246"/>
      <c r="C955" s="188"/>
      <c r="D955" s="245"/>
      <c r="E955" s="247"/>
      <c r="F955" s="245"/>
      <c r="G955" s="188"/>
      <c r="H955" s="267"/>
      <c r="J955" s="188"/>
      <c r="M955" s="252"/>
      <c r="N955" s="217"/>
      <c r="O955" s="254"/>
      <c r="P955" s="266"/>
      <c r="Q955" s="271"/>
      <c r="R955" s="219" t="str">
        <f t="shared" si="23"/>
        <v/>
      </c>
      <c r="S955" s="188"/>
    </row>
    <row r="956" spans="1:19" ht="18" customHeight="1">
      <c r="A956" s="245"/>
      <c r="B956" s="246"/>
      <c r="C956" s="188"/>
      <c r="D956" s="245"/>
      <c r="E956" s="247"/>
      <c r="F956" s="245"/>
      <c r="G956" s="188"/>
      <c r="H956" s="267"/>
      <c r="J956" s="188"/>
      <c r="M956" s="252"/>
      <c r="N956" s="217"/>
      <c r="O956" s="254"/>
      <c r="P956" s="266"/>
      <c r="Q956" s="271"/>
      <c r="R956" s="219" t="str">
        <f t="shared" si="23"/>
        <v/>
      </c>
      <c r="S956" s="188"/>
    </row>
    <row r="957" spans="1:19" ht="18" customHeight="1">
      <c r="A957" s="245"/>
      <c r="B957" s="246"/>
      <c r="C957" s="188"/>
      <c r="D957" s="245"/>
      <c r="E957" s="247"/>
      <c r="F957" s="245"/>
      <c r="G957" s="188"/>
      <c r="H957" s="267"/>
      <c r="J957" s="188"/>
      <c r="M957" s="252"/>
      <c r="N957" s="217"/>
      <c r="O957" s="254"/>
      <c r="P957" s="266"/>
      <c r="Q957" s="271"/>
      <c r="R957" s="219" t="str">
        <f t="shared" si="23"/>
        <v/>
      </c>
      <c r="S957" s="188"/>
    </row>
    <row r="958" spans="1:19" ht="18" customHeight="1">
      <c r="A958" s="245"/>
      <c r="B958" s="246"/>
      <c r="C958" s="188"/>
      <c r="D958" s="245"/>
      <c r="E958" s="247"/>
      <c r="F958" s="245"/>
      <c r="G958" s="188"/>
      <c r="H958" s="267"/>
      <c r="J958" s="188"/>
      <c r="M958" s="252"/>
      <c r="N958" s="217"/>
      <c r="O958" s="254"/>
      <c r="P958" s="266"/>
      <c r="Q958" s="271"/>
      <c r="R958" s="219" t="str">
        <f t="shared" si="23"/>
        <v/>
      </c>
      <c r="S958" s="188"/>
    </row>
    <row r="959" spans="1:19" ht="18" customHeight="1">
      <c r="A959" s="245"/>
      <c r="B959" s="246"/>
      <c r="C959" s="188"/>
      <c r="D959" s="245"/>
      <c r="E959" s="247"/>
      <c r="F959" s="245"/>
      <c r="G959" s="188"/>
      <c r="H959" s="267"/>
      <c r="J959" s="188"/>
      <c r="M959" s="252"/>
      <c r="N959" s="217"/>
      <c r="O959" s="254"/>
      <c r="P959" s="266"/>
      <c r="Q959" s="271"/>
      <c r="R959" s="219" t="str">
        <f t="shared" si="23"/>
        <v/>
      </c>
      <c r="S959" s="188"/>
    </row>
    <row r="960" spans="1:19" ht="18" customHeight="1">
      <c r="A960" s="245"/>
      <c r="B960" s="246"/>
      <c r="C960" s="188"/>
      <c r="D960" s="245"/>
      <c r="E960" s="247"/>
      <c r="F960" s="245"/>
      <c r="G960" s="188"/>
      <c r="H960" s="267"/>
      <c r="J960" s="188"/>
      <c r="M960" s="252"/>
      <c r="N960" s="217"/>
      <c r="O960" s="254"/>
      <c r="P960" s="266"/>
      <c r="Q960" s="271"/>
      <c r="R960" s="219" t="str">
        <f t="shared" si="23"/>
        <v/>
      </c>
      <c r="S960" s="188"/>
    </row>
    <row r="961" spans="1:19" ht="18" customHeight="1">
      <c r="A961" s="245"/>
      <c r="B961" s="246"/>
      <c r="C961" s="188"/>
      <c r="D961" s="245"/>
      <c r="E961" s="247"/>
      <c r="F961" s="245"/>
      <c r="G961" s="188"/>
      <c r="H961" s="267"/>
      <c r="J961" s="188"/>
      <c r="M961" s="252"/>
      <c r="N961" s="217"/>
      <c r="O961" s="254"/>
      <c r="P961" s="266"/>
      <c r="Q961" s="271"/>
      <c r="R961" s="219" t="str">
        <f t="shared" si="23"/>
        <v/>
      </c>
      <c r="S961" s="188"/>
    </row>
    <row r="962" spans="1:19" ht="18" customHeight="1">
      <c r="A962" s="245"/>
      <c r="B962" s="246"/>
      <c r="C962" s="188"/>
      <c r="D962" s="245"/>
      <c r="E962" s="247"/>
      <c r="F962" s="245"/>
      <c r="G962" s="188"/>
      <c r="H962" s="267"/>
      <c r="J962" s="188"/>
      <c r="M962" s="252"/>
      <c r="N962" s="217"/>
      <c r="O962" s="254"/>
      <c r="P962" s="266"/>
      <c r="Q962" s="271"/>
      <c r="R962" s="219" t="str">
        <f t="shared" si="23"/>
        <v/>
      </c>
      <c r="S962" s="188"/>
    </row>
    <row r="963" spans="1:19" ht="18" customHeight="1">
      <c r="A963" s="245"/>
      <c r="B963" s="246"/>
      <c r="C963" s="188"/>
      <c r="D963" s="245"/>
      <c r="E963" s="247"/>
      <c r="F963" s="245"/>
      <c r="G963" s="188"/>
      <c r="H963" s="267"/>
      <c r="J963" s="188"/>
      <c r="M963" s="252"/>
      <c r="N963" s="217"/>
      <c r="O963" s="254"/>
      <c r="P963" s="266"/>
      <c r="Q963" s="271"/>
      <c r="R963" s="219" t="str">
        <f t="shared" si="23"/>
        <v/>
      </c>
      <c r="S963" s="188"/>
    </row>
    <row r="964" spans="1:19" ht="18" customHeight="1">
      <c r="A964" s="245"/>
      <c r="B964" s="246"/>
      <c r="C964" s="188"/>
      <c r="D964" s="245"/>
      <c r="E964" s="247"/>
      <c r="F964" s="245"/>
      <c r="G964" s="188"/>
      <c r="H964" s="267"/>
      <c r="J964" s="188"/>
      <c r="M964" s="252"/>
      <c r="N964" s="217"/>
      <c r="O964" s="254"/>
      <c r="P964" s="266"/>
      <c r="Q964" s="271"/>
      <c r="R964" s="219" t="str">
        <f t="shared" si="23"/>
        <v/>
      </c>
      <c r="S964" s="188"/>
    </row>
    <row r="965" spans="1:19" ht="18" customHeight="1">
      <c r="A965" s="245"/>
      <c r="B965" s="246"/>
      <c r="C965" s="188"/>
      <c r="D965" s="245"/>
      <c r="E965" s="247"/>
      <c r="F965" s="245"/>
      <c r="G965" s="188"/>
      <c r="H965" s="267"/>
      <c r="J965" s="188"/>
      <c r="M965" s="252"/>
      <c r="N965" s="217"/>
      <c r="O965" s="254"/>
      <c r="P965" s="266"/>
      <c r="Q965" s="271"/>
      <c r="R965" s="219" t="str">
        <f t="shared" si="23"/>
        <v/>
      </c>
      <c r="S965" s="188"/>
    </row>
    <row r="966" spans="1:19" ht="18" customHeight="1">
      <c r="A966" s="245"/>
      <c r="B966" s="246"/>
      <c r="C966" s="188"/>
      <c r="D966" s="245"/>
      <c r="E966" s="247"/>
      <c r="F966" s="245"/>
      <c r="G966" s="188"/>
      <c r="H966" s="267"/>
      <c r="J966" s="188"/>
      <c r="M966" s="252"/>
      <c r="N966" s="217"/>
      <c r="O966" s="254"/>
      <c r="P966" s="266"/>
      <c r="Q966" s="271"/>
      <c r="R966" s="219" t="str">
        <f t="shared" si="23"/>
        <v/>
      </c>
      <c r="S966" s="188"/>
    </row>
    <row r="967" spans="1:19" ht="18" customHeight="1">
      <c r="A967" s="245"/>
      <c r="B967" s="246"/>
      <c r="C967" s="188"/>
      <c r="D967" s="245"/>
      <c r="E967" s="247"/>
      <c r="F967" s="245"/>
      <c r="G967" s="188"/>
      <c r="H967" s="267"/>
      <c r="J967" s="188"/>
      <c r="M967" s="252"/>
      <c r="N967" s="217"/>
      <c r="O967" s="254"/>
      <c r="P967" s="266"/>
      <c r="Q967" s="271"/>
      <c r="R967" s="219" t="str">
        <f t="shared" si="23"/>
        <v/>
      </c>
      <c r="S967" s="188"/>
    </row>
    <row r="968" spans="1:19" ht="18" customHeight="1">
      <c r="A968" s="245"/>
      <c r="B968" s="246"/>
      <c r="C968" s="188"/>
      <c r="D968" s="245"/>
      <c r="E968" s="247"/>
      <c r="F968" s="245"/>
      <c r="G968" s="188"/>
      <c r="H968" s="267"/>
      <c r="J968" s="188"/>
      <c r="M968" s="252"/>
      <c r="N968" s="217"/>
      <c r="O968" s="254"/>
      <c r="P968" s="266"/>
      <c r="Q968" s="271"/>
      <c r="R968" s="219" t="str">
        <f t="shared" si="23"/>
        <v/>
      </c>
      <c r="S968" s="188"/>
    </row>
    <row r="969" spans="1:19" ht="18" customHeight="1">
      <c r="A969" s="245"/>
      <c r="B969" s="246"/>
      <c r="C969" s="188"/>
      <c r="D969" s="245"/>
      <c r="E969" s="247"/>
      <c r="F969" s="245"/>
      <c r="G969" s="188"/>
      <c r="H969" s="267"/>
      <c r="J969" s="188"/>
      <c r="M969" s="252"/>
      <c r="N969" s="217"/>
      <c r="O969" s="254"/>
      <c r="P969" s="266"/>
      <c r="Q969" s="271"/>
      <c r="R969" s="219" t="str">
        <f t="shared" si="23"/>
        <v/>
      </c>
      <c r="S969" s="188"/>
    </row>
    <row r="970" spans="1:19" ht="18" customHeight="1">
      <c r="A970" s="245"/>
      <c r="B970" s="246"/>
      <c r="C970" s="188"/>
      <c r="D970" s="245"/>
      <c r="E970" s="247"/>
      <c r="F970" s="245"/>
      <c r="G970" s="188"/>
      <c r="H970" s="267"/>
      <c r="J970" s="188"/>
      <c r="M970" s="252"/>
      <c r="N970" s="217"/>
      <c r="O970" s="254"/>
      <c r="P970" s="266"/>
      <c r="Q970" s="271"/>
      <c r="R970" s="219" t="str">
        <f t="shared" si="23"/>
        <v/>
      </c>
      <c r="S970" s="188"/>
    </row>
    <row r="971" spans="1:19" ht="18" customHeight="1">
      <c r="A971" s="245"/>
      <c r="B971" s="246"/>
      <c r="C971" s="188"/>
      <c r="D971" s="245"/>
      <c r="E971" s="247"/>
      <c r="F971" s="245"/>
      <c r="G971" s="188"/>
      <c r="H971" s="267"/>
      <c r="J971" s="188"/>
      <c r="M971" s="252"/>
      <c r="N971" s="217"/>
      <c r="O971" s="254"/>
      <c r="P971" s="266"/>
      <c r="Q971" s="271"/>
      <c r="R971" s="219" t="str">
        <f t="shared" si="23"/>
        <v/>
      </c>
      <c r="S971" s="188"/>
    </row>
    <row r="972" spans="1:19" ht="18" customHeight="1">
      <c r="A972" s="245"/>
      <c r="B972" s="246"/>
      <c r="C972" s="188"/>
      <c r="D972" s="245"/>
      <c r="E972" s="247"/>
      <c r="F972" s="245"/>
      <c r="G972" s="188"/>
      <c r="H972" s="267"/>
      <c r="J972" s="188"/>
      <c r="M972" s="252"/>
      <c r="N972" s="217"/>
      <c r="O972" s="254"/>
      <c r="P972" s="266"/>
      <c r="Q972" s="271"/>
      <c r="R972" s="219" t="str">
        <f t="shared" si="23"/>
        <v/>
      </c>
      <c r="S972" s="188"/>
    </row>
    <row r="973" spans="1:19" ht="18" customHeight="1">
      <c r="A973" s="245"/>
      <c r="B973" s="246"/>
      <c r="C973" s="188"/>
      <c r="D973" s="245"/>
      <c r="E973" s="247"/>
      <c r="F973" s="245"/>
      <c r="G973" s="188"/>
      <c r="H973" s="267"/>
      <c r="J973" s="188"/>
      <c r="M973" s="252"/>
      <c r="N973" s="217"/>
      <c r="O973" s="254"/>
      <c r="P973" s="266"/>
      <c r="Q973" s="271"/>
      <c r="R973" s="219" t="str">
        <f t="shared" si="23"/>
        <v/>
      </c>
      <c r="S973" s="188"/>
    </row>
    <row r="974" spans="1:19" ht="18" customHeight="1">
      <c r="A974" s="245"/>
      <c r="B974" s="246"/>
      <c r="C974" s="188"/>
      <c r="D974" s="245"/>
      <c r="E974" s="247"/>
      <c r="F974" s="245"/>
      <c r="G974" s="188"/>
      <c r="H974" s="267"/>
      <c r="J974" s="188"/>
      <c r="M974" s="252"/>
      <c r="N974" s="217"/>
      <c r="O974" s="254"/>
      <c r="P974" s="266"/>
      <c r="Q974" s="271"/>
      <c r="R974" s="219" t="str">
        <f t="shared" si="23"/>
        <v/>
      </c>
      <c r="S974" s="188"/>
    </row>
    <row r="975" spans="1:19" ht="18" customHeight="1">
      <c r="A975" s="245"/>
      <c r="B975" s="246"/>
      <c r="C975" s="188"/>
      <c r="D975" s="245"/>
      <c r="E975" s="247"/>
      <c r="F975" s="245"/>
      <c r="G975" s="188"/>
      <c r="H975" s="267"/>
      <c r="J975" s="188"/>
      <c r="M975" s="252"/>
      <c r="N975" s="217"/>
      <c r="O975" s="254"/>
      <c r="P975" s="266"/>
      <c r="Q975" s="271"/>
      <c r="R975" s="219" t="str">
        <f t="shared" si="23"/>
        <v/>
      </c>
      <c r="S975" s="188"/>
    </row>
    <row r="976" spans="1:19" ht="18" customHeight="1">
      <c r="A976" s="245"/>
      <c r="B976" s="246"/>
      <c r="C976" s="188"/>
      <c r="D976" s="245"/>
      <c r="E976" s="247"/>
      <c r="F976" s="245"/>
      <c r="G976" s="188"/>
      <c r="H976" s="267"/>
      <c r="J976" s="188"/>
      <c r="M976" s="252"/>
      <c r="N976" s="217"/>
      <c r="O976" s="254"/>
      <c r="P976" s="266"/>
      <c r="Q976" s="271"/>
      <c r="R976" s="219" t="str">
        <f t="shared" si="23"/>
        <v/>
      </c>
      <c r="S976" s="188"/>
    </row>
    <row r="977" spans="1:19" ht="18" customHeight="1">
      <c r="A977" s="245"/>
      <c r="B977" s="246"/>
      <c r="C977" s="188"/>
      <c r="D977" s="245"/>
      <c r="E977" s="247"/>
      <c r="F977" s="245"/>
      <c r="G977" s="188"/>
      <c r="H977" s="267"/>
      <c r="J977" s="188"/>
      <c r="M977" s="252"/>
      <c r="N977" s="217"/>
      <c r="O977" s="254"/>
      <c r="P977" s="266"/>
      <c r="Q977" s="271"/>
      <c r="R977" s="219" t="str">
        <f t="shared" si="23"/>
        <v/>
      </c>
      <c r="S977" s="188"/>
    </row>
    <row r="978" spans="1:19" ht="18" customHeight="1">
      <c r="A978" s="245"/>
      <c r="B978" s="246"/>
      <c r="C978" s="188"/>
      <c r="D978" s="245"/>
      <c r="E978" s="247"/>
      <c r="F978" s="245"/>
      <c r="G978" s="188"/>
      <c r="H978" s="267"/>
      <c r="J978" s="188"/>
      <c r="M978" s="252"/>
      <c r="N978" s="217"/>
      <c r="O978" s="254"/>
      <c r="P978" s="266"/>
      <c r="Q978" s="271"/>
      <c r="R978" s="219" t="str">
        <f t="shared" si="23"/>
        <v/>
      </c>
      <c r="S978" s="188"/>
    </row>
    <row r="979" spans="1:19" ht="18" customHeight="1">
      <c r="A979" s="245"/>
      <c r="B979" s="246"/>
      <c r="C979" s="188"/>
      <c r="D979" s="245"/>
      <c r="E979" s="247"/>
      <c r="F979" s="245"/>
      <c r="G979" s="188"/>
      <c r="H979" s="267"/>
      <c r="J979" s="188"/>
      <c r="M979" s="252"/>
      <c r="N979" s="217"/>
      <c r="O979" s="254"/>
      <c r="P979" s="266"/>
      <c r="Q979" s="271"/>
      <c r="R979" s="219" t="str">
        <f t="shared" si="23"/>
        <v/>
      </c>
      <c r="S979" s="188"/>
    </row>
    <row r="980" spans="1:19" ht="18" customHeight="1">
      <c r="A980" s="245"/>
      <c r="B980" s="246"/>
      <c r="C980" s="188"/>
      <c r="D980" s="245"/>
      <c r="E980" s="247"/>
      <c r="F980" s="245"/>
      <c r="G980" s="188"/>
      <c r="H980" s="267"/>
      <c r="J980" s="188"/>
      <c r="M980" s="252"/>
      <c r="N980" s="217"/>
      <c r="O980" s="254"/>
      <c r="P980" s="266"/>
      <c r="Q980" s="271"/>
      <c r="R980" s="219" t="str">
        <f t="shared" si="23"/>
        <v/>
      </c>
      <c r="S980" s="188"/>
    </row>
    <row r="981" spans="1:19" ht="18" customHeight="1">
      <c r="A981" s="245"/>
      <c r="B981" s="246"/>
      <c r="C981" s="188"/>
      <c r="D981" s="245"/>
      <c r="E981" s="247"/>
      <c r="F981" s="245"/>
      <c r="G981" s="188"/>
      <c r="H981" s="267"/>
      <c r="J981" s="188"/>
      <c r="M981" s="252"/>
      <c r="N981" s="217"/>
      <c r="O981" s="254"/>
      <c r="P981" s="266"/>
      <c r="Q981" s="271"/>
      <c r="R981" s="219" t="str">
        <f t="shared" si="23"/>
        <v/>
      </c>
      <c r="S981" s="188"/>
    </row>
    <row r="982" spans="1:19" ht="18" customHeight="1">
      <c r="A982" s="245"/>
      <c r="B982" s="246"/>
      <c r="C982" s="188"/>
      <c r="D982" s="245"/>
      <c r="E982" s="247"/>
      <c r="F982" s="245"/>
      <c r="G982" s="188"/>
      <c r="H982" s="267"/>
      <c r="J982" s="188"/>
      <c r="M982" s="252"/>
      <c r="N982" s="217"/>
      <c r="O982" s="254"/>
      <c r="P982" s="266"/>
      <c r="Q982" s="271"/>
      <c r="R982" s="219" t="str">
        <f t="shared" si="23"/>
        <v/>
      </c>
      <c r="S982" s="188"/>
    </row>
    <row r="983" spans="1:19" ht="18" customHeight="1">
      <c r="A983" s="245"/>
      <c r="B983" s="246"/>
      <c r="C983" s="188"/>
      <c r="D983" s="245"/>
      <c r="E983" s="247"/>
      <c r="F983" s="245"/>
      <c r="G983" s="188"/>
      <c r="H983" s="267"/>
      <c r="J983" s="188"/>
      <c r="M983" s="252"/>
      <c r="N983" s="217"/>
      <c r="O983" s="254"/>
      <c r="P983" s="266"/>
      <c r="Q983" s="271"/>
      <c r="R983" s="219" t="str">
        <f t="shared" ref="R983:R1046" si="24">IF(SUM(Q983)&gt;0,SUM(Q983-P983),"")</f>
        <v/>
      </c>
      <c r="S983" s="188"/>
    </row>
    <row r="984" spans="1:19" ht="18" customHeight="1">
      <c r="A984" s="245"/>
      <c r="B984" s="246"/>
      <c r="C984" s="188"/>
      <c r="D984" s="245"/>
      <c r="E984" s="247"/>
      <c r="F984" s="245"/>
      <c r="G984" s="188"/>
      <c r="H984" s="267"/>
      <c r="J984" s="188"/>
      <c r="M984" s="252"/>
      <c r="N984" s="217"/>
      <c r="O984" s="254"/>
      <c r="P984" s="266"/>
      <c r="Q984" s="271"/>
      <c r="R984" s="219" t="str">
        <f t="shared" si="24"/>
        <v/>
      </c>
      <c r="S984" s="188"/>
    </row>
    <row r="985" spans="1:19" ht="18" customHeight="1">
      <c r="A985" s="245"/>
      <c r="B985" s="246"/>
      <c r="C985" s="188"/>
      <c r="D985" s="245"/>
      <c r="E985" s="247"/>
      <c r="F985" s="245"/>
      <c r="G985" s="188"/>
      <c r="H985" s="267"/>
      <c r="J985" s="188"/>
      <c r="M985" s="252"/>
      <c r="N985" s="217"/>
      <c r="O985" s="254"/>
      <c r="P985" s="266"/>
      <c r="Q985" s="271"/>
      <c r="R985" s="219" t="str">
        <f t="shared" si="24"/>
        <v/>
      </c>
      <c r="S985" s="188"/>
    </row>
    <row r="986" spans="1:19" ht="18" customHeight="1">
      <c r="A986" s="245"/>
      <c r="B986" s="246"/>
      <c r="C986" s="188"/>
      <c r="D986" s="245"/>
      <c r="E986" s="247"/>
      <c r="F986" s="245"/>
      <c r="G986" s="188"/>
      <c r="H986" s="267"/>
      <c r="J986" s="188"/>
      <c r="M986" s="252"/>
      <c r="N986" s="217"/>
      <c r="O986" s="254"/>
      <c r="P986" s="266"/>
      <c r="Q986" s="271"/>
      <c r="R986" s="219" t="str">
        <f t="shared" si="24"/>
        <v/>
      </c>
      <c r="S986" s="188"/>
    </row>
    <row r="987" spans="1:19" ht="18" customHeight="1">
      <c r="A987" s="245"/>
      <c r="B987" s="246"/>
      <c r="C987" s="188"/>
      <c r="D987" s="245"/>
      <c r="E987" s="247"/>
      <c r="F987" s="245"/>
      <c r="G987" s="188"/>
      <c r="H987" s="267"/>
      <c r="J987" s="188"/>
      <c r="M987" s="252"/>
      <c r="N987" s="217"/>
      <c r="O987" s="254"/>
      <c r="P987" s="266"/>
      <c r="Q987" s="271"/>
      <c r="R987" s="219" t="str">
        <f t="shared" si="24"/>
        <v/>
      </c>
      <c r="S987" s="188"/>
    </row>
    <row r="988" spans="1:19" ht="18" customHeight="1">
      <c r="A988" s="245"/>
      <c r="B988" s="246"/>
      <c r="C988" s="188"/>
      <c r="D988" s="245"/>
      <c r="E988" s="247"/>
      <c r="F988" s="245"/>
      <c r="G988" s="188"/>
      <c r="H988" s="267"/>
      <c r="J988" s="188"/>
      <c r="M988" s="252"/>
      <c r="N988" s="217"/>
      <c r="O988" s="254"/>
      <c r="P988" s="266"/>
      <c r="Q988" s="271"/>
      <c r="R988" s="219" t="str">
        <f t="shared" si="24"/>
        <v/>
      </c>
      <c r="S988" s="188"/>
    </row>
    <row r="989" spans="1:19" ht="18" customHeight="1">
      <c r="A989" s="245"/>
      <c r="B989" s="246"/>
      <c r="C989" s="188"/>
      <c r="D989" s="245"/>
      <c r="E989" s="247"/>
      <c r="F989" s="245"/>
      <c r="G989" s="188"/>
      <c r="H989" s="267"/>
      <c r="J989" s="188"/>
      <c r="M989" s="252"/>
      <c r="N989" s="217"/>
      <c r="O989" s="254"/>
      <c r="P989" s="266"/>
      <c r="Q989" s="271"/>
      <c r="R989" s="219" t="str">
        <f t="shared" si="24"/>
        <v/>
      </c>
      <c r="S989" s="188"/>
    </row>
    <row r="990" spans="1:19" ht="18" customHeight="1">
      <c r="A990" s="245"/>
      <c r="B990" s="246"/>
      <c r="C990" s="188"/>
      <c r="D990" s="245"/>
      <c r="E990" s="247"/>
      <c r="F990" s="245"/>
      <c r="G990" s="188"/>
      <c r="H990" s="267"/>
      <c r="J990" s="188"/>
      <c r="M990" s="252"/>
      <c r="N990" s="217"/>
      <c r="O990" s="254"/>
      <c r="P990" s="266"/>
      <c r="Q990" s="271"/>
      <c r="R990" s="219" t="str">
        <f t="shared" si="24"/>
        <v/>
      </c>
      <c r="S990" s="188"/>
    </row>
    <row r="991" spans="1:19" ht="18" customHeight="1">
      <c r="A991" s="245"/>
      <c r="B991" s="246"/>
      <c r="C991" s="188"/>
      <c r="D991" s="245"/>
      <c r="E991" s="247"/>
      <c r="F991" s="245"/>
      <c r="G991" s="188"/>
      <c r="H991" s="267"/>
      <c r="J991" s="188"/>
      <c r="M991" s="252"/>
      <c r="N991" s="217"/>
      <c r="O991" s="254"/>
      <c r="P991" s="266"/>
      <c r="Q991" s="271"/>
      <c r="R991" s="219" t="str">
        <f t="shared" si="24"/>
        <v/>
      </c>
      <c r="S991" s="188"/>
    </row>
    <row r="992" spans="1:19" ht="18" customHeight="1">
      <c r="A992" s="245"/>
      <c r="B992" s="246"/>
      <c r="C992" s="188"/>
      <c r="D992" s="245"/>
      <c r="E992" s="247"/>
      <c r="F992" s="245"/>
      <c r="G992" s="188"/>
      <c r="H992" s="267"/>
      <c r="J992" s="188"/>
      <c r="M992" s="252"/>
      <c r="N992" s="217"/>
      <c r="O992" s="254"/>
      <c r="P992" s="266"/>
      <c r="Q992" s="271"/>
      <c r="R992" s="219" t="str">
        <f t="shared" si="24"/>
        <v/>
      </c>
      <c r="S992" s="188"/>
    </row>
    <row r="993" spans="1:19" ht="18" customHeight="1">
      <c r="A993" s="245"/>
      <c r="B993" s="246"/>
      <c r="C993" s="188"/>
      <c r="D993" s="245"/>
      <c r="E993" s="247"/>
      <c r="F993" s="245"/>
      <c r="G993" s="188"/>
      <c r="H993" s="267"/>
      <c r="J993" s="188"/>
      <c r="M993" s="252"/>
      <c r="N993" s="217"/>
      <c r="O993" s="254"/>
      <c r="P993" s="266"/>
      <c r="Q993" s="271"/>
      <c r="R993" s="219" t="str">
        <f t="shared" si="24"/>
        <v/>
      </c>
      <c r="S993" s="188"/>
    </row>
    <row r="994" spans="1:19" ht="18" customHeight="1">
      <c r="A994" s="245"/>
      <c r="B994" s="246"/>
      <c r="C994" s="188"/>
      <c r="D994" s="245"/>
      <c r="E994" s="247"/>
      <c r="F994" s="245"/>
      <c r="G994" s="188"/>
      <c r="H994" s="267"/>
      <c r="J994" s="188"/>
      <c r="M994" s="252"/>
      <c r="N994" s="217"/>
      <c r="O994" s="254"/>
      <c r="P994" s="266"/>
      <c r="Q994" s="271"/>
      <c r="R994" s="219" t="str">
        <f t="shared" si="24"/>
        <v/>
      </c>
      <c r="S994" s="188"/>
    </row>
    <row r="995" spans="1:19" ht="18" customHeight="1">
      <c r="A995" s="245"/>
      <c r="B995" s="246"/>
      <c r="C995" s="188"/>
      <c r="D995" s="245"/>
      <c r="E995" s="247"/>
      <c r="F995" s="245"/>
      <c r="G995" s="188"/>
      <c r="H995" s="267"/>
      <c r="J995" s="188"/>
      <c r="M995" s="252"/>
      <c r="N995" s="217"/>
      <c r="O995" s="254"/>
      <c r="P995" s="266"/>
      <c r="Q995" s="271"/>
      <c r="R995" s="219" t="str">
        <f t="shared" si="24"/>
        <v/>
      </c>
      <c r="S995" s="188"/>
    </row>
    <row r="996" spans="1:19" ht="18" customHeight="1">
      <c r="A996" s="245"/>
      <c r="B996" s="246"/>
      <c r="C996" s="188"/>
      <c r="D996" s="245"/>
      <c r="E996" s="247"/>
      <c r="F996" s="245"/>
      <c r="G996" s="188"/>
      <c r="H996" s="267"/>
      <c r="J996" s="188"/>
      <c r="M996" s="252"/>
      <c r="N996" s="217"/>
      <c r="O996" s="254"/>
      <c r="P996" s="266"/>
      <c r="Q996" s="271"/>
      <c r="R996" s="219" t="str">
        <f t="shared" si="24"/>
        <v/>
      </c>
      <c r="S996" s="188"/>
    </row>
    <row r="997" spans="1:19" ht="18" customHeight="1">
      <c r="A997" s="245"/>
      <c r="B997" s="246"/>
      <c r="C997" s="188"/>
      <c r="D997" s="245"/>
      <c r="E997" s="247"/>
      <c r="F997" s="245"/>
      <c r="G997" s="188"/>
      <c r="H997" s="267"/>
      <c r="J997" s="188"/>
      <c r="M997" s="252"/>
      <c r="N997" s="217"/>
      <c r="O997" s="254"/>
      <c r="P997" s="266"/>
      <c r="Q997" s="271"/>
      <c r="R997" s="219" t="str">
        <f t="shared" si="24"/>
        <v/>
      </c>
      <c r="S997" s="188"/>
    </row>
    <row r="998" spans="1:19" ht="18" customHeight="1">
      <c r="A998" s="245"/>
      <c r="B998" s="246"/>
      <c r="C998" s="188"/>
      <c r="D998" s="245"/>
      <c r="E998" s="247"/>
      <c r="F998" s="245"/>
      <c r="G998" s="188"/>
      <c r="H998" s="267"/>
      <c r="J998" s="188"/>
      <c r="M998" s="252"/>
      <c r="N998" s="217"/>
      <c r="O998" s="254"/>
      <c r="P998" s="266"/>
      <c r="Q998" s="271"/>
      <c r="R998" s="219" t="str">
        <f t="shared" si="24"/>
        <v/>
      </c>
      <c r="S998" s="188"/>
    </row>
    <row r="999" spans="1:19" ht="18" customHeight="1">
      <c r="A999" s="245"/>
      <c r="B999" s="246"/>
      <c r="C999" s="188"/>
      <c r="D999" s="245"/>
      <c r="E999" s="247"/>
      <c r="F999" s="245"/>
      <c r="G999" s="188"/>
      <c r="H999" s="267"/>
      <c r="J999" s="188"/>
      <c r="M999" s="252"/>
      <c r="N999" s="217"/>
      <c r="O999" s="254"/>
      <c r="P999" s="266"/>
      <c r="Q999" s="271"/>
      <c r="R999" s="219" t="str">
        <f t="shared" si="24"/>
        <v/>
      </c>
      <c r="S999" s="188"/>
    </row>
    <row r="1000" spans="1:19" ht="18" customHeight="1">
      <c r="A1000" s="245"/>
      <c r="B1000" s="246"/>
      <c r="C1000" s="188"/>
      <c r="D1000" s="245"/>
      <c r="E1000" s="247"/>
      <c r="F1000" s="245"/>
      <c r="G1000" s="188"/>
      <c r="H1000" s="267"/>
      <c r="J1000" s="188"/>
      <c r="M1000" s="252"/>
      <c r="N1000" s="217"/>
      <c r="O1000" s="254"/>
      <c r="P1000" s="266"/>
      <c r="Q1000" s="271"/>
      <c r="R1000" s="219" t="str">
        <f t="shared" si="24"/>
        <v/>
      </c>
      <c r="S1000" s="188"/>
    </row>
    <row r="1001" spans="1:19" ht="18" customHeight="1">
      <c r="A1001" s="245"/>
      <c r="B1001" s="246"/>
      <c r="C1001" s="188"/>
      <c r="D1001" s="245"/>
      <c r="E1001" s="247"/>
      <c r="F1001" s="245"/>
      <c r="G1001" s="188"/>
      <c r="H1001" s="267"/>
      <c r="J1001" s="188"/>
      <c r="M1001" s="252"/>
      <c r="N1001" s="217"/>
      <c r="O1001" s="254"/>
      <c r="P1001" s="266"/>
      <c r="Q1001" s="271"/>
      <c r="R1001" s="219" t="str">
        <f t="shared" si="24"/>
        <v/>
      </c>
      <c r="S1001" s="188"/>
    </row>
    <row r="1002" spans="1:19" ht="18" customHeight="1">
      <c r="A1002" s="245"/>
      <c r="B1002" s="246"/>
      <c r="C1002" s="188"/>
      <c r="D1002" s="245"/>
      <c r="E1002" s="247"/>
      <c r="F1002" s="245"/>
      <c r="G1002" s="188"/>
      <c r="H1002" s="267"/>
      <c r="J1002" s="188"/>
      <c r="M1002" s="252"/>
      <c r="N1002" s="217"/>
      <c r="O1002" s="254"/>
      <c r="P1002" s="266"/>
      <c r="Q1002" s="271"/>
      <c r="R1002" s="219" t="str">
        <f t="shared" si="24"/>
        <v/>
      </c>
      <c r="S1002" s="188"/>
    </row>
    <row r="1003" spans="1:19" ht="18" customHeight="1">
      <c r="A1003" s="245"/>
      <c r="B1003" s="246"/>
      <c r="C1003" s="188"/>
      <c r="D1003" s="245"/>
      <c r="E1003" s="247"/>
      <c r="F1003" s="245"/>
      <c r="G1003" s="188"/>
      <c r="H1003" s="267"/>
      <c r="J1003" s="188"/>
      <c r="M1003" s="252"/>
      <c r="N1003" s="217"/>
      <c r="O1003" s="254"/>
      <c r="P1003" s="266"/>
      <c r="Q1003" s="271"/>
      <c r="R1003" s="219" t="str">
        <f t="shared" si="24"/>
        <v/>
      </c>
      <c r="S1003" s="188"/>
    </row>
    <row r="1004" spans="1:19" ht="18" customHeight="1">
      <c r="A1004" s="245"/>
      <c r="B1004" s="246"/>
      <c r="C1004" s="188"/>
      <c r="D1004" s="245"/>
      <c r="E1004" s="247"/>
      <c r="F1004" s="245"/>
      <c r="G1004" s="188"/>
      <c r="H1004" s="267"/>
      <c r="J1004" s="188"/>
      <c r="M1004" s="252"/>
      <c r="N1004" s="217"/>
      <c r="O1004" s="254"/>
      <c r="P1004" s="266"/>
      <c r="Q1004" s="271"/>
      <c r="R1004" s="219" t="str">
        <f t="shared" si="24"/>
        <v/>
      </c>
      <c r="S1004" s="188"/>
    </row>
    <row r="1005" spans="1:19" ht="18" customHeight="1">
      <c r="A1005" s="245"/>
      <c r="B1005" s="246"/>
      <c r="C1005" s="188"/>
      <c r="D1005" s="245"/>
      <c r="E1005" s="247"/>
      <c r="F1005" s="245"/>
      <c r="G1005" s="188"/>
      <c r="H1005" s="267"/>
      <c r="J1005" s="188"/>
      <c r="M1005" s="252"/>
      <c r="N1005" s="217"/>
      <c r="O1005" s="254"/>
      <c r="P1005" s="266"/>
      <c r="Q1005" s="271"/>
      <c r="R1005" s="219" t="str">
        <f t="shared" si="24"/>
        <v/>
      </c>
      <c r="S1005" s="188"/>
    </row>
    <row r="1006" spans="1:19" ht="18" customHeight="1">
      <c r="A1006" s="245"/>
      <c r="B1006" s="246"/>
      <c r="C1006" s="188"/>
      <c r="D1006" s="245"/>
      <c r="E1006" s="247"/>
      <c r="F1006" s="245"/>
      <c r="G1006" s="188"/>
      <c r="H1006" s="267"/>
      <c r="J1006" s="188"/>
      <c r="M1006" s="252"/>
      <c r="N1006" s="217"/>
      <c r="O1006" s="254"/>
      <c r="P1006" s="266"/>
      <c r="Q1006" s="271"/>
      <c r="R1006" s="219" t="str">
        <f t="shared" si="24"/>
        <v/>
      </c>
      <c r="S1006" s="188"/>
    </row>
    <row r="1007" spans="1:19" ht="18" customHeight="1">
      <c r="A1007" s="245"/>
      <c r="B1007" s="246"/>
      <c r="C1007" s="188"/>
      <c r="D1007" s="245"/>
      <c r="E1007" s="247"/>
      <c r="F1007" s="245"/>
      <c r="G1007" s="188"/>
      <c r="H1007" s="267"/>
      <c r="J1007" s="188"/>
      <c r="M1007" s="252"/>
      <c r="N1007" s="217"/>
      <c r="O1007" s="254"/>
      <c r="P1007" s="266"/>
      <c r="Q1007" s="271"/>
      <c r="R1007" s="219" t="str">
        <f t="shared" si="24"/>
        <v/>
      </c>
      <c r="S1007" s="188"/>
    </row>
    <row r="1008" spans="1:19" ht="18" customHeight="1">
      <c r="A1008" s="245"/>
      <c r="B1008" s="246"/>
      <c r="C1008" s="188"/>
      <c r="D1008" s="245"/>
      <c r="E1008" s="247"/>
      <c r="F1008" s="245"/>
      <c r="G1008" s="188"/>
      <c r="H1008" s="267"/>
      <c r="J1008" s="188"/>
      <c r="M1008" s="252"/>
      <c r="N1008" s="217"/>
      <c r="O1008" s="254"/>
      <c r="P1008" s="266"/>
      <c r="Q1008" s="271"/>
      <c r="R1008" s="219" t="str">
        <f t="shared" si="24"/>
        <v/>
      </c>
      <c r="S1008" s="188"/>
    </row>
    <row r="1009" spans="1:19" ht="18" customHeight="1">
      <c r="A1009" s="245"/>
      <c r="B1009" s="246"/>
      <c r="C1009" s="188"/>
      <c r="D1009" s="245"/>
      <c r="E1009" s="247"/>
      <c r="F1009" s="245"/>
      <c r="G1009" s="188"/>
      <c r="H1009" s="267"/>
      <c r="J1009" s="188"/>
      <c r="M1009" s="252"/>
      <c r="N1009" s="217"/>
      <c r="O1009" s="254"/>
      <c r="P1009" s="266"/>
      <c r="Q1009" s="271"/>
      <c r="R1009" s="219" t="str">
        <f t="shared" si="24"/>
        <v/>
      </c>
      <c r="S1009" s="188"/>
    </row>
    <row r="1010" spans="1:19" ht="18" customHeight="1">
      <c r="A1010" s="245"/>
      <c r="B1010" s="246"/>
      <c r="C1010" s="188"/>
      <c r="D1010" s="245"/>
      <c r="E1010" s="247"/>
      <c r="F1010" s="245"/>
      <c r="G1010" s="188"/>
      <c r="H1010" s="267"/>
      <c r="J1010" s="188"/>
      <c r="M1010" s="252"/>
      <c r="N1010" s="217"/>
      <c r="O1010" s="254"/>
      <c r="P1010" s="266"/>
      <c r="Q1010" s="271"/>
      <c r="R1010" s="219" t="str">
        <f t="shared" si="24"/>
        <v/>
      </c>
      <c r="S1010" s="188"/>
    </row>
    <row r="1011" spans="1:19" ht="18" customHeight="1">
      <c r="A1011" s="245"/>
      <c r="B1011" s="246"/>
      <c r="C1011" s="188"/>
      <c r="D1011" s="245"/>
      <c r="E1011" s="247"/>
      <c r="F1011" s="245"/>
      <c r="G1011" s="188"/>
      <c r="H1011" s="267"/>
      <c r="J1011" s="188"/>
      <c r="M1011" s="252"/>
      <c r="N1011" s="217"/>
      <c r="O1011" s="254"/>
      <c r="P1011" s="266"/>
      <c r="Q1011" s="271"/>
      <c r="R1011" s="219" t="str">
        <f t="shared" si="24"/>
        <v/>
      </c>
      <c r="S1011" s="188"/>
    </row>
    <row r="1012" spans="1:19" ht="18" customHeight="1">
      <c r="A1012" s="245"/>
      <c r="B1012" s="246"/>
      <c r="C1012" s="188"/>
      <c r="D1012" s="245"/>
      <c r="E1012" s="247"/>
      <c r="F1012" s="245"/>
      <c r="G1012" s="188"/>
      <c r="H1012" s="267"/>
      <c r="J1012" s="188"/>
      <c r="M1012" s="252"/>
      <c r="N1012" s="217"/>
      <c r="O1012" s="254"/>
      <c r="P1012" s="266"/>
      <c r="Q1012" s="271"/>
      <c r="R1012" s="219" t="str">
        <f t="shared" si="24"/>
        <v/>
      </c>
      <c r="S1012" s="188"/>
    </row>
    <row r="1013" spans="1:19" ht="18" customHeight="1">
      <c r="A1013" s="245"/>
      <c r="B1013" s="246"/>
      <c r="C1013" s="188"/>
      <c r="D1013" s="245"/>
      <c r="E1013" s="247"/>
      <c r="F1013" s="245"/>
      <c r="G1013" s="188"/>
      <c r="H1013" s="267"/>
      <c r="J1013" s="188"/>
      <c r="M1013" s="252"/>
      <c r="N1013" s="217"/>
      <c r="O1013" s="254"/>
      <c r="P1013" s="266"/>
      <c r="Q1013" s="271"/>
      <c r="R1013" s="219" t="str">
        <f t="shared" si="24"/>
        <v/>
      </c>
      <c r="S1013" s="188"/>
    </row>
    <row r="1014" spans="1:19" ht="18" customHeight="1">
      <c r="A1014" s="245"/>
      <c r="B1014" s="246"/>
      <c r="C1014" s="188"/>
      <c r="D1014" s="245"/>
      <c r="E1014" s="247"/>
      <c r="F1014" s="245"/>
      <c r="G1014" s="188"/>
      <c r="H1014" s="267"/>
      <c r="J1014" s="188"/>
      <c r="M1014" s="252"/>
      <c r="N1014" s="217"/>
      <c r="O1014" s="254"/>
      <c r="P1014" s="266"/>
      <c r="Q1014" s="271"/>
      <c r="R1014" s="219" t="str">
        <f t="shared" si="24"/>
        <v/>
      </c>
      <c r="S1014" s="188"/>
    </row>
    <row r="1015" spans="1:19" ht="18" customHeight="1">
      <c r="A1015" s="245"/>
      <c r="B1015" s="246"/>
      <c r="C1015" s="188"/>
      <c r="D1015" s="245"/>
      <c r="E1015" s="247"/>
      <c r="F1015" s="245"/>
      <c r="G1015" s="188"/>
      <c r="H1015" s="267"/>
      <c r="J1015" s="188"/>
      <c r="M1015" s="252"/>
      <c r="N1015" s="217"/>
      <c r="O1015" s="254"/>
      <c r="P1015" s="266"/>
      <c r="Q1015" s="271"/>
      <c r="R1015" s="219" t="str">
        <f t="shared" si="24"/>
        <v/>
      </c>
      <c r="S1015" s="188"/>
    </row>
    <row r="1016" spans="1:19" ht="18" customHeight="1">
      <c r="A1016" s="245"/>
      <c r="B1016" s="246"/>
      <c r="C1016" s="188"/>
      <c r="D1016" s="245"/>
      <c r="E1016" s="247"/>
      <c r="F1016" s="245"/>
      <c r="G1016" s="188"/>
      <c r="H1016" s="267"/>
      <c r="J1016" s="188"/>
      <c r="M1016" s="252"/>
      <c r="N1016" s="217"/>
      <c r="O1016" s="254"/>
      <c r="P1016" s="266"/>
      <c r="Q1016" s="271"/>
      <c r="R1016" s="219" t="str">
        <f t="shared" si="24"/>
        <v/>
      </c>
      <c r="S1016" s="188"/>
    </row>
    <row r="1017" spans="1:19" ht="18" customHeight="1">
      <c r="A1017" s="245"/>
      <c r="B1017" s="246"/>
      <c r="C1017" s="188"/>
      <c r="D1017" s="245"/>
      <c r="E1017" s="247"/>
      <c r="F1017" s="245"/>
      <c r="G1017" s="188"/>
      <c r="H1017" s="267"/>
      <c r="J1017" s="188"/>
      <c r="M1017" s="252"/>
      <c r="N1017" s="217"/>
      <c r="O1017" s="254"/>
      <c r="P1017" s="266"/>
      <c r="Q1017" s="271"/>
      <c r="R1017" s="219" t="str">
        <f t="shared" si="24"/>
        <v/>
      </c>
      <c r="S1017" s="188"/>
    </row>
    <row r="1018" spans="1:19" ht="18" customHeight="1">
      <c r="A1018" s="245"/>
      <c r="B1018" s="246"/>
      <c r="C1018" s="188"/>
      <c r="D1018" s="245"/>
      <c r="E1018" s="247"/>
      <c r="F1018" s="245"/>
      <c r="G1018" s="188"/>
      <c r="H1018" s="267"/>
      <c r="J1018" s="188"/>
      <c r="M1018" s="252"/>
      <c r="N1018" s="217"/>
      <c r="O1018" s="254"/>
      <c r="P1018" s="266"/>
      <c r="Q1018" s="271"/>
      <c r="R1018" s="219" t="str">
        <f t="shared" si="24"/>
        <v/>
      </c>
      <c r="S1018" s="188"/>
    </row>
    <row r="1019" spans="1:19" ht="18" customHeight="1">
      <c r="A1019" s="245"/>
      <c r="B1019" s="246"/>
      <c r="C1019" s="188"/>
      <c r="D1019" s="245"/>
      <c r="E1019" s="247"/>
      <c r="F1019" s="245"/>
      <c r="G1019" s="188"/>
      <c r="H1019" s="267"/>
      <c r="J1019" s="188"/>
      <c r="M1019" s="252"/>
      <c r="N1019" s="217"/>
      <c r="O1019" s="254"/>
      <c r="P1019" s="266"/>
      <c r="Q1019" s="271"/>
      <c r="R1019" s="219" t="str">
        <f t="shared" si="24"/>
        <v/>
      </c>
      <c r="S1019" s="188"/>
    </row>
    <row r="1020" spans="1:19" ht="18" customHeight="1">
      <c r="A1020" s="245"/>
      <c r="B1020" s="246"/>
      <c r="C1020" s="188"/>
      <c r="D1020" s="245"/>
      <c r="E1020" s="247"/>
      <c r="F1020" s="245"/>
      <c r="G1020" s="188"/>
      <c r="H1020" s="267"/>
      <c r="J1020" s="188"/>
      <c r="M1020" s="252"/>
      <c r="N1020" s="217"/>
      <c r="O1020" s="254"/>
      <c r="P1020" s="266"/>
      <c r="Q1020" s="271"/>
      <c r="R1020" s="219" t="str">
        <f t="shared" si="24"/>
        <v/>
      </c>
      <c r="S1020" s="188"/>
    </row>
    <row r="1021" spans="1:19" ht="18" customHeight="1">
      <c r="A1021" s="245"/>
      <c r="B1021" s="246"/>
      <c r="C1021" s="188"/>
      <c r="D1021" s="245"/>
      <c r="E1021" s="247"/>
      <c r="F1021" s="245"/>
      <c r="G1021" s="188"/>
      <c r="H1021" s="267"/>
      <c r="J1021" s="188"/>
      <c r="M1021" s="252"/>
      <c r="N1021" s="217"/>
      <c r="O1021" s="254"/>
      <c r="P1021" s="266"/>
      <c r="Q1021" s="271"/>
      <c r="R1021" s="219" t="str">
        <f t="shared" si="24"/>
        <v/>
      </c>
      <c r="S1021" s="188"/>
    </row>
    <row r="1022" spans="1:19" ht="18" customHeight="1">
      <c r="A1022" s="245"/>
      <c r="B1022" s="246"/>
      <c r="C1022" s="188"/>
      <c r="D1022" s="245"/>
      <c r="E1022" s="247"/>
      <c r="F1022" s="245"/>
      <c r="G1022" s="188"/>
      <c r="H1022" s="267"/>
      <c r="J1022" s="188"/>
      <c r="M1022" s="252"/>
      <c r="N1022" s="217"/>
      <c r="O1022" s="254"/>
      <c r="P1022" s="266"/>
      <c r="Q1022" s="271"/>
      <c r="R1022" s="219" t="str">
        <f t="shared" si="24"/>
        <v/>
      </c>
      <c r="S1022" s="188"/>
    </row>
    <row r="1023" spans="1:19" ht="18" customHeight="1">
      <c r="A1023" s="245"/>
      <c r="B1023" s="246"/>
      <c r="C1023" s="188"/>
      <c r="D1023" s="245"/>
      <c r="E1023" s="247"/>
      <c r="F1023" s="245"/>
      <c r="G1023" s="188"/>
      <c r="H1023" s="267"/>
      <c r="J1023" s="188"/>
      <c r="M1023" s="252"/>
      <c r="N1023" s="217"/>
      <c r="O1023" s="254"/>
      <c r="P1023" s="266"/>
      <c r="Q1023" s="271"/>
      <c r="R1023" s="219" t="str">
        <f t="shared" si="24"/>
        <v/>
      </c>
      <c r="S1023" s="188"/>
    </row>
    <row r="1024" spans="1:19" ht="18" customHeight="1">
      <c r="A1024" s="245"/>
      <c r="B1024" s="246"/>
      <c r="C1024" s="188"/>
      <c r="D1024" s="245"/>
      <c r="E1024" s="247"/>
      <c r="F1024" s="245"/>
      <c r="G1024" s="188"/>
      <c r="H1024" s="267"/>
      <c r="J1024" s="188"/>
      <c r="M1024" s="252"/>
      <c r="N1024" s="217"/>
      <c r="O1024" s="254"/>
      <c r="P1024" s="266"/>
      <c r="Q1024" s="271"/>
      <c r="R1024" s="219" t="str">
        <f t="shared" si="24"/>
        <v/>
      </c>
      <c r="S1024" s="188"/>
    </row>
    <row r="1025" spans="1:19" ht="18" customHeight="1">
      <c r="A1025" s="245"/>
      <c r="B1025" s="246"/>
      <c r="C1025" s="188"/>
      <c r="D1025" s="245"/>
      <c r="E1025" s="247"/>
      <c r="F1025" s="245"/>
      <c r="G1025" s="188"/>
      <c r="H1025" s="267"/>
      <c r="J1025" s="188"/>
      <c r="M1025" s="252"/>
      <c r="N1025" s="217"/>
      <c r="O1025" s="254"/>
      <c r="P1025" s="266"/>
      <c r="Q1025" s="271"/>
      <c r="R1025" s="219" t="str">
        <f t="shared" si="24"/>
        <v/>
      </c>
      <c r="S1025" s="188"/>
    </row>
    <row r="1026" spans="1:19" ht="18" customHeight="1">
      <c r="A1026" s="245"/>
      <c r="B1026" s="246"/>
      <c r="C1026" s="188"/>
      <c r="D1026" s="245"/>
      <c r="E1026" s="247"/>
      <c r="F1026" s="245"/>
      <c r="G1026" s="188"/>
      <c r="H1026" s="267"/>
      <c r="J1026" s="188"/>
      <c r="M1026" s="252"/>
      <c r="N1026" s="217"/>
      <c r="O1026" s="254"/>
      <c r="P1026" s="266"/>
      <c r="Q1026" s="271"/>
      <c r="R1026" s="219" t="str">
        <f t="shared" si="24"/>
        <v/>
      </c>
      <c r="S1026" s="188"/>
    </row>
    <row r="1027" spans="1:19" ht="18" customHeight="1">
      <c r="A1027" s="245"/>
      <c r="B1027" s="246"/>
      <c r="C1027" s="188"/>
      <c r="D1027" s="245"/>
      <c r="E1027" s="247"/>
      <c r="F1027" s="245"/>
      <c r="G1027" s="188"/>
      <c r="H1027" s="267"/>
      <c r="J1027" s="188"/>
      <c r="M1027" s="252"/>
      <c r="N1027" s="217"/>
      <c r="O1027" s="254"/>
      <c r="P1027" s="266"/>
      <c r="Q1027" s="271"/>
      <c r="R1027" s="219" t="str">
        <f t="shared" si="24"/>
        <v/>
      </c>
      <c r="S1027" s="188"/>
    </row>
    <row r="1028" spans="1:19" ht="18" customHeight="1">
      <c r="A1028" s="245"/>
      <c r="B1028" s="246"/>
      <c r="C1028" s="188"/>
      <c r="D1028" s="245"/>
      <c r="E1028" s="247"/>
      <c r="F1028" s="245"/>
      <c r="G1028" s="188"/>
      <c r="H1028" s="267"/>
      <c r="J1028" s="188"/>
      <c r="M1028" s="252"/>
      <c r="N1028" s="217"/>
      <c r="O1028" s="254"/>
      <c r="P1028" s="266"/>
      <c r="Q1028" s="271"/>
      <c r="R1028" s="219" t="str">
        <f t="shared" si="24"/>
        <v/>
      </c>
      <c r="S1028" s="188"/>
    </row>
    <row r="1029" spans="1:19" ht="18" customHeight="1">
      <c r="A1029" s="245"/>
      <c r="B1029" s="246"/>
      <c r="C1029" s="188"/>
      <c r="D1029" s="245"/>
      <c r="E1029" s="247"/>
      <c r="F1029" s="245"/>
      <c r="G1029" s="188"/>
      <c r="H1029" s="267"/>
      <c r="J1029" s="188"/>
      <c r="M1029" s="252"/>
      <c r="N1029" s="217"/>
      <c r="O1029" s="254"/>
      <c r="P1029" s="266"/>
      <c r="Q1029" s="271"/>
      <c r="R1029" s="219" t="str">
        <f t="shared" si="24"/>
        <v/>
      </c>
      <c r="S1029" s="188"/>
    </row>
    <row r="1030" spans="1:19" ht="18" customHeight="1">
      <c r="A1030" s="245"/>
      <c r="B1030" s="246"/>
      <c r="C1030" s="188"/>
      <c r="D1030" s="245"/>
      <c r="E1030" s="247"/>
      <c r="F1030" s="245"/>
      <c r="G1030" s="188"/>
      <c r="H1030" s="267"/>
      <c r="J1030" s="188"/>
      <c r="M1030" s="252"/>
      <c r="N1030" s="217"/>
      <c r="O1030" s="254"/>
      <c r="P1030" s="266"/>
      <c r="Q1030" s="271"/>
      <c r="R1030" s="219" t="str">
        <f t="shared" si="24"/>
        <v/>
      </c>
      <c r="S1030" s="188"/>
    </row>
    <row r="1031" spans="1:19" ht="18" customHeight="1">
      <c r="A1031" s="245"/>
      <c r="B1031" s="246"/>
      <c r="C1031" s="188"/>
      <c r="D1031" s="245"/>
      <c r="E1031" s="247"/>
      <c r="F1031" s="245"/>
      <c r="G1031" s="188"/>
      <c r="H1031" s="267"/>
      <c r="J1031" s="188"/>
      <c r="M1031" s="252"/>
      <c r="N1031" s="217"/>
      <c r="O1031" s="254"/>
      <c r="P1031" s="266"/>
      <c r="Q1031" s="271"/>
      <c r="R1031" s="219" t="str">
        <f t="shared" si="24"/>
        <v/>
      </c>
      <c r="S1031" s="188"/>
    </row>
    <row r="1032" spans="1:19" ht="18" customHeight="1">
      <c r="A1032" s="245"/>
      <c r="B1032" s="246"/>
      <c r="C1032" s="188"/>
      <c r="D1032" s="245"/>
      <c r="E1032" s="247"/>
      <c r="F1032" s="245"/>
      <c r="G1032" s="188"/>
      <c r="H1032" s="267"/>
      <c r="J1032" s="188"/>
      <c r="M1032" s="252"/>
      <c r="N1032" s="217"/>
      <c r="O1032" s="254"/>
      <c r="P1032" s="266"/>
      <c r="Q1032" s="271"/>
      <c r="R1032" s="219" t="str">
        <f t="shared" si="24"/>
        <v/>
      </c>
      <c r="S1032" s="188"/>
    </row>
    <row r="1033" spans="1:19" ht="18" customHeight="1">
      <c r="A1033" s="245"/>
      <c r="B1033" s="246"/>
      <c r="C1033" s="188"/>
      <c r="D1033" s="245"/>
      <c r="E1033" s="247"/>
      <c r="F1033" s="245"/>
      <c r="G1033" s="188"/>
      <c r="H1033" s="267"/>
      <c r="J1033" s="188"/>
      <c r="M1033" s="252"/>
      <c r="N1033" s="217"/>
      <c r="O1033" s="254"/>
      <c r="P1033" s="266"/>
      <c r="Q1033" s="271"/>
      <c r="R1033" s="219" t="str">
        <f t="shared" si="24"/>
        <v/>
      </c>
      <c r="S1033" s="188"/>
    </row>
    <row r="1034" spans="1:19" ht="18" customHeight="1">
      <c r="A1034" s="245"/>
      <c r="B1034" s="246"/>
      <c r="C1034" s="188"/>
      <c r="D1034" s="245"/>
      <c r="E1034" s="247"/>
      <c r="F1034" s="245"/>
      <c r="G1034" s="188"/>
      <c r="H1034" s="267"/>
      <c r="J1034" s="188"/>
      <c r="M1034" s="252"/>
      <c r="N1034" s="217"/>
      <c r="O1034" s="254"/>
      <c r="P1034" s="266"/>
      <c r="Q1034" s="271"/>
      <c r="R1034" s="219" t="str">
        <f t="shared" si="24"/>
        <v/>
      </c>
      <c r="S1034" s="188"/>
    </row>
    <row r="1035" spans="1:19" ht="18" customHeight="1">
      <c r="A1035" s="245"/>
      <c r="B1035" s="246"/>
      <c r="C1035" s="188"/>
      <c r="D1035" s="245"/>
      <c r="E1035" s="247"/>
      <c r="F1035" s="245"/>
      <c r="G1035" s="188"/>
      <c r="H1035" s="267"/>
      <c r="J1035" s="188"/>
      <c r="M1035" s="252"/>
      <c r="N1035" s="217"/>
      <c r="O1035" s="254"/>
      <c r="P1035" s="266"/>
      <c r="Q1035" s="271"/>
      <c r="R1035" s="219" t="str">
        <f t="shared" si="24"/>
        <v/>
      </c>
      <c r="S1035" s="188"/>
    </row>
    <row r="1036" spans="1:19" ht="18" customHeight="1">
      <c r="A1036" s="245"/>
      <c r="B1036" s="246"/>
      <c r="C1036" s="188"/>
      <c r="D1036" s="245"/>
      <c r="E1036" s="247"/>
      <c r="F1036" s="245"/>
      <c r="G1036" s="188"/>
      <c r="H1036" s="267"/>
      <c r="J1036" s="188"/>
      <c r="M1036" s="252"/>
      <c r="N1036" s="217"/>
      <c r="O1036" s="254"/>
      <c r="P1036" s="266"/>
      <c r="Q1036" s="271"/>
      <c r="R1036" s="219" t="str">
        <f t="shared" si="24"/>
        <v/>
      </c>
      <c r="S1036" s="188"/>
    </row>
    <row r="1037" spans="1:19" ht="18" customHeight="1">
      <c r="A1037" s="245"/>
      <c r="B1037" s="246"/>
      <c r="C1037" s="188"/>
      <c r="D1037" s="245"/>
      <c r="E1037" s="247"/>
      <c r="F1037" s="245"/>
      <c r="G1037" s="188"/>
      <c r="H1037" s="267"/>
      <c r="J1037" s="188"/>
      <c r="M1037" s="252"/>
      <c r="N1037" s="217"/>
      <c r="O1037" s="254"/>
      <c r="P1037" s="266"/>
      <c r="Q1037" s="271"/>
      <c r="R1037" s="219" t="str">
        <f t="shared" si="24"/>
        <v/>
      </c>
      <c r="S1037" s="188"/>
    </row>
    <row r="1038" spans="1:19" ht="18" customHeight="1">
      <c r="A1038" s="245"/>
      <c r="B1038" s="246"/>
      <c r="C1038" s="188"/>
      <c r="D1038" s="245"/>
      <c r="E1038" s="247"/>
      <c r="F1038" s="245"/>
      <c r="G1038" s="188"/>
      <c r="H1038" s="267"/>
      <c r="J1038" s="188"/>
      <c r="M1038" s="252"/>
      <c r="N1038" s="217"/>
      <c r="O1038" s="254"/>
      <c r="P1038" s="266"/>
      <c r="Q1038" s="271"/>
      <c r="R1038" s="219" t="str">
        <f t="shared" si="24"/>
        <v/>
      </c>
      <c r="S1038" s="188"/>
    </row>
    <row r="1039" spans="1:19" ht="18" customHeight="1">
      <c r="A1039" s="245"/>
      <c r="B1039" s="246"/>
      <c r="C1039" s="188"/>
      <c r="D1039" s="245"/>
      <c r="E1039" s="247"/>
      <c r="F1039" s="245"/>
      <c r="G1039" s="188"/>
      <c r="H1039" s="267"/>
      <c r="J1039" s="188"/>
      <c r="M1039" s="252"/>
      <c r="N1039" s="217"/>
      <c r="O1039" s="254"/>
      <c r="P1039" s="266"/>
      <c r="Q1039" s="271"/>
      <c r="R1039" s="219" t="str">
        <f t="shared" si="24"/>
        <v/>
      </c>
      <c r="S1039" s="188"/>
    </row>
    <row r="1040" spans="1:19" ht="18" customHeight="1">
      <c r="A1040" s="245"/>
      <c r="B1040" s="246"/>
      <c r="C1040" s="188"/>
      <c r="D1040" s="245"/>
      <c r="E1040" s="247"/>
      <c r="F1040" s="245"/>
      <c r="G1040" s="188"/>
      <c r="H1040" s="267"/>
      <c r="J1040" s="188"/>
      <c r="M1040" s="252"/>
      <c r="N1040" s="217"/>
      <c r="O1040" s="254"/>
      <c r="P1040" s="266"/>
      <c r="Q1040" s="271"/>
      <c r="R1040" s="219" t="str">
        <f t="shared" si="24"/>
        <v/>
      </c>
      <c r="S1040" s="188"/>
    </row>
    <row r="1041" spans="1:19" ht="18" customHeight="1">
      <c r="A1041" s="245"/>
      <c r="B1041" s="246"/>
      <c r="C1041" s="188"/>
      <c r="D1041" s="245"/>
      <c r="E1041" s="247"/>
      <c r="F1041" s="245"/>
      <c r="G1041" s="188"/>
      <c r="H1041" s="267"/>
      <c r="J1041" s="188"/>
      <c r="M1041" s="252"/>
      <c r="N1041" s="217"/>
      <c r="O1041" s="254"/>
      <c r="P1041" s="266"/>
      <c r="Q1041" s="271"/>
      <c r="R1041" s="219" t="str">
        <f t="shared" si="24"/>
        <v/>
      </c>
      <c r="S1041" s="188"/>
    </row>
    <row r="1042" spans="1:19" ht="18" customHeight="1">
      <c r="A1042" s="245"/>
      <c r="B1042" s="246"/>
      <c r="C1042" s="188"/>
      <c r="D1042" s="245"/>
      <c r="E1042" s="247"/>
      <c r="F1042" s="245"/>
      <c r="G1042" s="188"/>
      <c r="H1042" s="267"/>
      <c r="J1042" s="188"/>
      <c r="M1042" s="252"/>
      <c r="N1042" s="217"/>
      <c r="O1042" s="254"/>
      <c r="P1042" s="266"/>
      <c r="Q1042" s="271"/>
      <c r="R1042" s="219" t="str">
        <f t="shared" si="24"/>
        <v/>
      </c>
      <c r="S1042" s="188"/>
    </row>
    <row r="1043" spans="1:19" ht="18" customHeight="1">
      <c r="A1043" s="245"/>
      <c r="B1043" s="246"/>
      <c r="C1043" s="188"/>
      <c r="D1043" s="245"/>
      <c r="E1043" s="247"/>
      <c r="F1043" s="245"/>
      <c r="G1043" s="188"/>
      <c r="H1043" s="267"/>
      <c r="J1043" s="188"/>
      <c r="M1043" s="252"/>
      <c r="N1043" s="217"/>
      <c r="O1043" s="254"/>
      <c r="P1043" s="266"/>
      <c r="Q1043" s="271"/>
      <c r="R1043" s="219" t="str">
        <f t="shared" si="24"/>
        <v/>
      </c>
      <c r="S1043" s="188"/>
    </row>
    <row r="1044" spans="1:19" ht="18" customHeight="1">
      <c r="A1044" s="245"/>
      <c r="B1044" s="246"/>
      <c r="C1044" s="188"/>
      <c r="D1044" s="245"/>
      <c r="E1044" s="247"/>
      <c r="F1044" s="245"/>
      <c r="G1044" s="188"/>
      <c r="H1044" s="267"/>
      <c r="J1044" s="188"/>
      <c r="M1044" s="252"/>
      <c r="N1044" s="217"/>
      <c r="O1044" s="254"/>
      <c r="P1044" s="266"/>
      <c r="Q1044" s="271"/>
      <c r="R1044" s="219" t="str">
        <f t="shared" si="24"/>
        <v/>
      </c>
      <c r="S1044" s="188"/>
    </row>
    <row r="1045" spans="1:19" ht="18" customHeight="1">
      <c r="A1045" s="245"/>
      <c r="B1045" s="246"/>
      <c r="C1045" s="188"/>
      <c r="D1045" s="245"/>
      <c r="E1045" s="247"/>
      <c r="F1045" s="245"/>
      <c r="G1045" s="188"/>
      <c r="H1045" s="267"/>
      <c r="J1045" s="188"/>
      <c r="M1045" s="252"/>
      <c r="N1045" s="217"/>
      <c r="O1045" s="254"/>
      <c r="P1045" s="266"/>
      <c r="Q1045" s="271"/>
      <c r="R1045" s="219" t="str">
        <f t="shared" si="24"/>
        <v/>
      </c>
      <c r="S1045" s="188"/>
    </row>
    <row r="1046" spans="1:19" ht="18" customHeight="1">
      <c r="A1046" s="245"/>
      <c r="B1046" s="246"/>
      <c r="C1046" s="188"/>
      <c r="D1046" s="245"/>
      <c r="E1046" s="247"/>
      <c r="F1046" s="245"/>
      <c r="G1046" s="188"/>
      <c r="H1046" s="267"/>
      <c r="J1046" s="188"/>
      <c r="M1046" s="252"/>
      <c r="N1046" s="217"/>
      <c r="O1046" s="254"/>
      <c r="P1046" s="266"/>
      <c r="Q1046" s="271"/>
      <c r="R1046" s="219" t="str">
        <f t="shared" si="24"/>
        <v/>
      </c>
      <c r="S1046" s="188"/>
    </row>
    <row r="1047" spans="1:19" ht="18" customHeight="1">
      <c r="A1047" s="245"/>
      <c r="B1047" s="246"/>
      <c r="C1047" s="188"/>
      <c r="D1047" s="245"/>
      <c r="E1047" s="247"/>
      <c r="F1047" s="245"/>
      <c r="G1047" s="188"/>
      <c r="H1047" s="267"/>
      <c r="J1047" s="188"/>
      <c r="M1047" s="252"/>
      <c r="N1047" s="217"/>
      <c r="O1047" s="254"/>
      <c r="P1047" s="266"/>
      <c r="Q1047" s="271"/>
      <c r="R1047" s="219" t="str">
        <f t="shared" ref="R1047:R1110" si="25">IF(SUM(Q1047)&gt;0,SUM(Q1047-P1047),"")</f>
        <v/>
      </c>
      <c r="S1047" s="188"/>
    </row>
    <row r="1048" spans="1:19" ht="18" customHeight="1">
      <c r="A1048" s="245"/>
      <c r="B1048" s="246"/>
      <c r="C1048" s="188"/>
      <c r="D1048" s="245"/>
      <c r="E1048" s="247"/>
      <c r="F1048" s="245"/>
      <c r="G1048" s="188"/>
      <c r="H1048" s="267"/>
      <c r="J1048" s="188"/>
      <c r="M1048" s="252"/>
      <c r="N1048" s="217"/>
      <c r="O1048" s="254"/>
      <c r="P1048" s="266"/>
      <c r="Q1048" s="271"/>
      <c r="R1048" s="219" t="str">
        <f t="shared" si="25"/>
        <v/>
      </c>
      <c r="S1048" s="188"/>
    </row>
    <row r="1049" spans="1:19" ht="18" customHeight="1">
      <c r="A1049" s="245"/>
      <c r="B1049" s="246"/>
      <c r="C1049" s="188"/>
      <c r="D1049" s="245"/>
      <c r="E1049" s="247"/>
      <c r="F1049" s="245"/>
      <c r="G1049" s="188"/>
      <c r="H1049" s="267"/>
      <c r="J1049" s="188"/>
      <c r="M1049" s="252"/>
      <c r="N1049" s="217"/>
      <c r="O1049" s="254"/>
      <c r="P1049" s="266"/>
      <c r="Q1049" s="271"/>
      <c r="R1049" s="219" t="str">
        <f t="shared" si="25"/>
        <v/>
      </c>
      <c r="S1049" s="188"/>
    </row>
    <row r="1050" spans="1:19" ht="18" customHeight="1">
      <c r="A1050" s="245"/>
      <c r="B1050" s="246"/>
      <c r="C1050" s="188"/>
      <c r="D1050" s="245"/>
      <c r="E1050" s="247"/>
      <c r="F1050" s="245"/>
      <c r="G1050" s="188"/>
      <c r="H1050" s="267"/>
      <c r="J1050" s="188"/>
      <c r="M1050" s="252"/>
      <c r="N1050" s="217"/>
      <c r="O1050" s="254"/>
      <c r="P1050" s="266"/>
      <c r="Q1050" s="271"/>
      <c r="R1050" s="219" t="str">
        <f t="shared" si="25"/>
        <v/>
      </c>
      <c r="S1050" s="188"/>
    </row>
    <row r="1051" spans="1:19" ht="18" customHeight="1">
      <c r="A1051" s="245"/>
      <c r="B1051" s="246"/>
      <c r="C1051" s="188"/>
      <c r="D1051" s="245"/>
      <c r="E1051" s="247"/>
      <c r="F1051" s="245"/>
      <c r="G1051" s="188"/>
      <c r="H1051" s="267"/>
      <c r="J1051" s="188"/>
      <c r="M1051" s="252"/>
      <c r="N1051" s="217"/>
      <c r="O1051" s="254"/>
      <c r="P1051" s="266"/>
      <c r="Q1051" s="271"/>
      <c r="R1051" s="219" t="str">
        <f t="shared" si="25"/>
        <v/>
      </c>
      <c r="S1051" s="188"/>
    </row>
    <row r="1052" spans="1:19" ht="18" customHeight="1">
      <c r="A1052" s="245"/>
      <c r="B1052" s="246"/>
      <c r="C1052" s="188"/>
      <c r="D1052" s="245"/>
      <c r="E1052" s="247"/>
      <c r="F1052" s="245"/>
      <c r="G1052" s="188"/>
      <c r="H1052" s="267"/>
      <c r="J1052" s="188"/>
      <c r="M1052" s="252"/>
      <c r="N1052" s="217"/>
      <c r="O1052" s="254"/>
      <c r="P1052" s="266"/>
      <c r="Q1052" s="271"/>
      <c r="R1052" s="219" t="str">
        <f t="shared" si="25"/>
        <v/>
      </c>
      <c r="S1052" s="188"/>
    </row>
    <row r="1053" spans="1:19" ht="18" customHeight="1">
      <c r="A1053" s="245"/>
      <c r="B1053" s="246"/>
      <c r="C1053" s="188"/>
      <c r="D1053" s="245"/>
      <c r="E1053" s="247"/>
      <c r="F1053" s="245"/>
      <c r="G1053" s="188"/>
      <c r="H1053" s="267"/>
      <c r="J1053" s="188"/>
      <c r="M1053" s="252"/>
      <c r="N1053" s="217"/>
      <c r="O1053" s="254"/>
      <c r="P1053" s="266"/>
      <c r="Q1053" s="271"/>
      <c r="R1053" s="219" t="str">
        <f t="shared" si="25"/>
        <v/>
      </c>
      <c r="S1053" s="188"/>
    </row>
    <row r="1054" spans="1:19" ht="18" customHeight="1">
      <c r="A1054" s="245"/>
      <c r="B1054" s="246"/>
      <c r="C1054" s="188"/>
      <c r="D1054" s="245"/>
      <c r="E1054" s="247"/>
      <c r="F1054" s="245"/>
      <c r="G1054" s="188"/>
      <c r="H1054" s="267"/>
      <c r="J1054" s="188"/>
      <c r="M1054" s="252"/>
      <c r="N1054" s="217"/>
      <c r="O1054" s="254"/>
      <c r="P1054" s="266"/>
      <c r="Q1054" s="271"/>
      <c r="R1054" s="219" t="str">
        <f t="shared" si="25"/>
        <v/>
      </c>
      <c r="S1054" s="188"/>
    </row>
    <row r="1055" spans="1:19" ht="18" customHeight="1">
      <c r="A1055" s="245"/>
      <c r="B1055" s="246"/>
      <c r="C1055" s="188"/>
      <c r="D1055" s="245"/>
      <c r="E1055" s="247"/>
      <c r="F1055" s="245"/>
      <c r="G1055" s="188"/>
      <c r="H1055" s="267"/>
      <c r="J1055" s="188"/>
      <c r="M1055" s="252"/>
      <c r="N1055" s="217"/>
      <c r="O1055" s="254"/>
      <c r="P1055" s="266"/>
      <c r="Q1055" s="271"/>
      <c r="R1055" s="219" t="str">
        <f t="shared" si="25"/>
        <v/>
      </c>
      <c r="S1055" s="188"/>
    </row>
    <row r="1056" spans="1:19" ht="18" customHeight="1">
      <c r="A1056" s="245"/>
      <c r="B1056" s="246"/>
      <c r="C1056" s="188"/>
      <c r="D1056" s="245"/>
      <c r="E1056" s="247"/>
      <c r="F1056" s="245"/>
      <c r="G1056" s="188"/>
      <c r="H1056" s="267"/>
      <c r="J1056" s="188"/>
      <c r="M1056" s="252"/>
      <c r="N1056" s="217"/>
      <c r="O1056" s="254"/>
      <c r="P1056" s="266"/>
      <c r="Q1056" s="271"/>
      <c r="R1056" s="219" t="str">
        <f t="shared" si="25"/>
        <v/>
      </c>
      <c r="S1056" s="188"/>
    </row>
    <row r="1057" spans="1:19" ht="18" customHeight="1">
      <c r="A1057" s="245"/>
      <c r="B1057" s="246"/>
      <c r="C1057" s="188"/>
      <c r="D1057" s="245"/>
      <c r="E1057" s="247"/>
      <c r="F1057" s="245"/>
      <c r="G1057" s="188"/>
      <c r="H1057" s="267"/>
      <c r="J1057" s="188"/>
      <c r="M1057" s="252"/>
      <c r="N1057" s="217"/>
      <c r="O1057" s="254"/>
      <c r="P1057" s="266"/>
      <c r="Q1057" s="271"/>
      <c r="R1057" s="219" t="str">
        <f t="shared" si="25"/>
        <v/>
      </c>
      <c r="S1057" s="188"/>
    </row>
    <row r="1058" spans="1:19" ht="18" customHeight="1">
      <c r="A1058" s="245"/>
      <c r="B1058" s="246"/>
      <c r="C1058" s="188"/>
      <c r="D1058" s="245"/>
      <c r="E1058" s="247"/>
      <c r="F1058" s="245"/>
      <c r="G1058" s="188"/>
      <c r="H1058" s="267"/>
      <c r="J1058" s="188"/>
      <c r="M1058" s="252"/>
      <c r="N1058" s="217"/>
      <c r="O1058" s="254"/>
      <c r="P1058" s="266"/>
      <c r="Q1058" s="271"/>
      <c r="R1058" s="219" t="str">
        <f t="shared" si="25"/>
        <v/>
      </c>
      <c r="S1058" s="188"/>
    </row>
    <row r="1059" spans="1:19" ht="18" customHeight="1">
      <c r="A1059" s="245"/>
      <c r="B1059" s="246"/>
      <c r="C1059" s="188"/>
      <c r="D1059" s="245"/>
      <c r="E1059" s="247"/>
      <c r="F1059" s="245"/>
      <c r="G1059" s="188"/>
      <c r="H1059" s="267"/>
      <c r="J1059" s="188"/>
      <c r="M1059" s="252"/>
      <c r="N1059" s="217"/>
      <c r="O1059" s="254"/>
      <c r="P1059" s="266"/>
      <c r="Q1059" s="271"/>
      <c r="R1059" s="219" t="str">
        <f t="shared" si="25"/>
        <v/>
      </c>
      <c r="S1059" s="188"/>
    </row>
    <row r="1060" spans="1:19" ht="18" customHeight="1">
      <c r="A1060" s="245"/>
      <c r="B1060" s="246"/>
      <c r="C1060" s="188"/>
      <c r="D1060" s="245"/>
      <c r="E1060" s="247"/>
      <c r="F1060" s="245"/>
      <c r="G1060" s="188"/>
      <c r="H1060" s="267"/>
      <c r="J1060" s="188"/>
      <c r="M1060" s="252"/>
      <c r="N1060" s="217"/>
      <c r="O1060" s="254"/>
      <c r="P1060" s="266"/>
      <c r="Q1060" s="271"/>
      <c r="R1060" s="219" t="str">
        <f t="shared" si="25"/>
        <v/>
      </c>
      <c r="S1060" s="188"/>
    </row>
    <row r="1061" spans="1:19" ht="18" customHeight="1">
      <c r="A1061" s="245"/>
      <c r="B1061" s="246"/>
      <c r="C1061" s="188"/>
      <c r="D1061" s="245"/>
      <c r="E1061" s="247"/>
      <c r="F1061" s="245"/>
      <c r="G1061" s="188"/>
      <c r="H1061" s="267"/>
      <c r="J1061" s="188"/>
      <c r="M1061" s="252"/>
      <c r="N1061" s="217"/>
      <c r="O1061" s="254"/>
      <c r="P1061" s="266"/>
      <c r="Q1061" s="271"/>
      <c r="R1061" s="219" t="str">
        <f t="shared" si="25"/>
        <v/>
      </c>
      <c r="S1061" s="188"/>
    </row>
    <row r="1062" spans="1:19" ht="18" customHeight="1">
      <c r="A1062" s="245"/>
      <c r="B1062" s="246"/>
      <c r="C1062" s="188"/>
      <c r="D1062" s="245"/>
      <c r="E1062" s="247"/>
      <c r="F1062" s="245"/>
      <c r="G1062" s="188"/>
      <c r="H1062" s="267"/>
      <c r="J1062" s="188"/>
      <c r="M1062" s="252"/>
      <c r="N1062" s="217"/>
      <c r="O1062" s="254"/>
      <c r="P1062" s="266"/>
      <c r="Q1062" s="271"/>
      <c r="R1062" s="219" t="str">
        <f t="shared" si="25"/>
        <v/>
      </c>
      <c r="S1062" s="188"/>
    </row>
    <row r="1063" spans="1:19" ht="18" customHeight="1">
      <c r="A1063" s="245"/>
      <c r="B1063" s="246"/>
      <c r="C1063" s="188"/>
      <c r="D1063" s="245"/>
      <c r="E1063" s="247"/>
      <c r="F1063" s="245"/>
      <c r="G1063" s="188"/>
      <c r="H1063" s="267"/>
      <c r="J1063" s="188"/>
      <c r="M1063" s="252"/>
      <c r="N1063" s="217"/>
      <c r="O1063" s="254"/>
      <c r="P1063" s="266"/>
      <c r="Q1063" s="271"/>
      <c r="R1063" s="219" t="str">
        <f t="shared" si="25"/>
        <v/>
      </c>
      <c r="S1063" s="188"/>
    </row>
    <row r="1064" spans="1:19" ht="18" customHeight="1">
      <c r="A1064" s="245"/>
      <c r="B1064" s="246"/>
      <c r="C1064" s="188"/>
      <c r="D1064" s="245"/>
      <c r="E1064" s="247"/>
      <c r="F1064" s="245"/>
      <c r="G1064" s="188"/>
      <c r="H1064" s="267"/>
      <c r="J1064" s="188"/>
      <c r="M1064" s="252"/>
      <c r="N1064" s="217"/>
      <c r="O1064" s="254"/>
      <c r="P1064" s="266"/>
      <c r="Q1064" s="271"/>
      <c r="R1064" s="219" t="str">
        <f t="shared" si="25"/>
        <v/>
      </c>
      <c r="S1064" s="188"/>
    </row>
    <row r="1065" spans="1:19" ht="18" customHeight="1">
      <c r="A1065" s="245"/>
      <c r="B1065" s="246"/>
      <c r="C1065" s="188"/>
      <c r="D1065" s="245"/>
      <c r="E1065" s="247"/>
      <c r="F1065" s="245"/>
      <c r="G1065" s="188"/>
      <c r="H1065" s="267"/>
      <c r="J1065" s="188"/>
      <c r="M1065" s="252"/>
      <c r="N1065" s="217"/>
      <c r="O1065" s="254"/>
      <c r="P1065" s="266"/>
      <c r="Q1065" s="271"/>
      <c r="R1065" s="219" t="str">
        <f t="shared" si="25"/>
        <v/>
      </c>
      <c r="S1065" s="188"/>
    </row>
    <row r="1066" spans="1:19" ht="18" customHeight="1">
      <c r="A1066" s="245"/>
      <c r="B1066" s="246"/>
      <c r="C1066" s="188"/>
      <c r="D1066" s="245"/>
      <c r="E1066" s="247"/>
      <c r="F1066" s="245"/>
      <c r="G1066" s="188"/>
      <c r="H1066" s="267"/>
      <c r="J1066" s="188"/>
      <c r="M1066" s="252"/>
      <c r="N1066" s="217"/>
      <c r="O1066" s="254"/>
      <c r="P1066" s="266"/>
      <c r="Q1066" s="271"/>
      <c r="R1066" s="219" t="str">
        <f t="shared" si="25"/>
        <v/>
      </c>
      <c r="S1066" s="188"/>
    </row>
    <row r="1067" spans="1:19" ht="18" customHeight="1">
      <c r="A1067" s="245"/>
      <c r="B1067" s="246"/>
      <c r="C1067" s="188"/>
      <c r="D1067" s="245"/>
      <c r="E1067" s="247"/>
      <c r="F1067" s="245"/>
      <c r="G1067" s="188"/>
      <c r="H1067" s="267"/>
      <c r="J1067" s="188"/>
      <c r="M1067" s="252"/>
      <c r="N1067" s="217"/>
      <c r="O1067" s="254"/>
      <c r="P1067" s="266"/>
      <c r="Q1067" s="271"/>
      <c r="R1067" s="219" t="str">
        <f t="shared" si="25"/>
        <v/>
      </c>
      <c r="S1067" s="188"/>
    </row>
    <row r="1068" spans="1:19" ht="18" customHeight="1">
      <c r="A1068" s="245"/>
      <c r="B1068" s="246"/>
      <c r="C1068" s="188"/>
      <c r="D1068" s="245"/>
      <c r="E1068" s="247"/>
      <c r="F1068" s="245"/>
      <c r="G1068" s="188"/>
      <c r="H1068" s="267"/>
      <c r="J1068" s="188"/>
      <c r="M1068" s="252"/>
      <c r="N1068" s="217"/>
      <c r="O1068" s="254"/>
      <c r="P1068" s="266"/>
      <c r="Q1068" s="271"/>
      <c r="R1068" s="219" t="str">
        <f t="shared" si="25"/>
        <v/>
      </c>
      <c r="S1068" s="188"/>
    </row>
    <row r="1069" spans="1:19" ht="18" customHeight="1">
      <c r="A1069" s="245"/>
      <c r="B1069" s="246"/>
      <c r="C1069" s="188"/>
      <c r="D1069" s="245"/>
      <c r="E1069" s="247"/>
      <c r="F1069" s="245"/>
      <c r="G1069" s="188"/>
      <c r="H1069" s="267"/>
      <c r="J1069" s="188"/>
      <c r="M1069" s="252"/>
      <c r="N1069" s="217"/>
      <c r="O1069" s="254"/>
      <c r="P1069" s="266"/>
      <c r="Q1069" s="271"/>
      <c r="R1069" s="219" t="str">
        <f t="shared" si="25"/>
        <v/>
      </c>
      <c r="S1069" s="188"/>
    </row>
    <row r="1070" spans="1:19" ht="18" customHeight="1">
      <c r="A1070" s="245"/>
      <c r="B1070" s="246"/>
      <c r="C1070" s="188"/>
      <c r="D1070" s="245"/>
      <c r="E1070" s="247"/>
      <c r="F1070" s="245"/>
      <c r="G1070" s="188"/>
      <c r="H1070" s="267"/>
      <c r="J1070" s="188"/>
      <c r="M1070" s="252"/>
      <c r="N1070" s="217"/>
      <c r="O1070" s="254"/>
      <c r="P1070" s="266"/>
      <c r="Q1070" s="271"/>
      <c r="R1070" s="219" t="str">
        <f t="shared" si="25"/>
        <v/>
      </c>
      <c r="S1070" s="188"/>
    </row>
    <row r="1071" spans="1:19" ht="18" customHeight="1">
      <c r="A1071" s="245"/>
      <c r="B1071" s="246"/>
      <c r="C1071" s="188"/>
      <c r="D1071" s="245"/>
      <c r="E1071" s="247"/>
      <c r="F1071" s="245"/>
      <c r="G1071" s="188"/>
      <c r="H1071" s="267"/>
      <c r="J1071" s="188"/>
      <c r="M1071" s="252"/>
      <c r="N1071" s="217"/>
      <c r="O1071" s="254"/>
      <c r="P1071" s="266"/>
      <c r="Q1071" s="271"/>
      <c r="R1071" s="219" t="str">
        <f t="shared" si="25"/>
        <v/>
      </c>
      <c r="S1071" s="188"/>
    </row>
    <row r="1072" spans="1:19" ht="18" customHeight="1">
      <c r="A1072" s="245"/>
      <c r="B1072" s="246"/>
      <c r="C1072" s="188"/>
      <c r="D1072" s="245"/>
      <c r="E1072" s="247"/>
      <c r="F1072" s="245"/>
      <c r="G1072" s="188"/>
      <c r="H1072" s="267"/>
      <c r="J1072" s="188"/>
      <c r="M1072" s="252"/>
      <c r="N1072" s="217"/>
      <c r="O1072" s="254"/>
      <c r="P1072" s="266"/>
      <c r="Q1072" s="271"/>
      <c r="R1072" s="219" t="str">
        <f t="shared" si="25"/>
        <v/>
      </c>
      <c r="S1072" s="188"/>
    </row>
    <row r="1073" spans="1:19" ht="18" customHeight="1">
      <c r="A1073" s="245"/>
      <c r="B1073" s="246"/>
      <c r="C1073" s="188"/>
      <c r="D1073" s="245"/>
      <c r="E1073" s="247"/>
      <c r="F1073" s="245"/>
      <c r="G1073" s="188"/>
      <c r="H1073" s="267"/>
      <c r="J1073" s="188"/>
      <c r="M1073" s="252"/>
      <c r="N1073" s="217"/>
      <c r="O1073" s="254"/>
      <c r="P1073" s="266"/>
      <c r="Q1073" s="271"/>
      <c r="R1073" s="219" t="str">
        <f t="shared" si="25"/>
        <v/>
      </c>
      <c r="S1073" s="188"/>
    </row>
    <row r="1074" spans="1:19" ht="18" customHeight="1">
      <c r="A1074" s="245"/>
      <c r="B1074" s="246"/>
      <c r="C1074" s="188"/>
      <c r="D1074" s="245"/>
      <c r="E1074" s="247"/>
      <c r="F1074" s="245"/>
      <c r="G1074" s="188"/>
      <c r="H1074" s="267"/>
      <c r="J1074" s="188"/>
      <c r="M1074" s="252"/>
      <c r="N1074" s="217"/>
      <c r="O1074" s="254"/>
      <c r="P1074" s="266"/>
      <c r="Q1074" s="271"/>
      <c r="R1074" s="219" t="str">
        <f t="shared" si="25"/>
        <v/>
      </c>
      <c r="S1074" s="188"/>
    </row>
    <row r="1075" spans="1:19" ht="18" customHeight="1">
      <c r="A1075" s="245"/>
      <c r="B1075" s="246"/>
      <c r="C1075" s="188"/>
      <c r="D1075" s="245"/>
      <c r="E1075" s="247"/>
      <c r="F1075" s="245"/>
      <c r="G1075" s="188"/>
      <c r="H1075" s="267"/>
      <c r="J1075" s="188"/>
      <c r="M1075" s="252"/>
      <c r="N1075" s="217"/>
      <c r="O1075" s="254"/>
      <c r="P1075" s="266"/>
      <c r="Q1075" s="271"/>
      <c r="R1075" s="219" t="str">
        <f t="shared" si="25"/>
        <v/>
      </c>
      <c r="S1075" s="188"/>
    </row>
    <row r="1076" spans="1:19" ht="18" customHeight="1">
      <c r="A1076" s="245"/>
      <c r="B1076" s="246"/>
      <c r="C1076" s="188"/>
      <c r="D1076" s="245"/>
      <c r="E1076" s="247"/>
      <c r="F1076" s="245"/>
      <c r="G1076" s="188"/>
      <c r="H1076" s="267"/>
      <c r="J1076" s="188"/>
      <c r="M1076" s="252"/>
      <c r="N1076" s="217"/>
      <c r="O1076" s="254"/>
      <c r="P1076" s="266"/>
      <c r="Q1076" s="271"/>
      <c r="R1076" s="219" t="str">
        <f t="shared" si="25"/>
        <v/>
      </c>
      <c r="S1076" s="188"/>
    </row>
    <row r="1077" spans="1:19" ht="18" customHeight="1">
      <c r="A1077" s="245"/>
      <c r="B1077" s="246"/>
      <c r="C1077" s="188"/>
      <c r="D1077" s="245"/>
      <c r="E1077" s="247"/>
      <c r="F1077" s="245"/>
      <c r="G1077" s="188"/>
      <c r="H1077" s="267"/>
      <c r="J1077" s="188"/>
      <c r="M1077" s="252"/>
      <c r="N1077" s="217"/>
      <c r="O1077" s="254"/>
      <c r="P1077" s="266"/>
      <c r="Q1077" s="271"/>
      <c r="R1077" s="219" t="str">
        <f t="shared" si="25"/>
        <v/>
      </c>
      <c r="S1077" s="188"/>
    </row>
    <row r="1078" spans="1:19" ht="18" customHeight="1">
      <c r="A1078" s="245"/>
      <c r="B1078" s="246"/>
      <c r="C1078" s="188"/>
      <c r="D1078" s="245"/>
      <c r="E1078" s="247"/>
      <c r="F1078" s="245"/>
      <c r="G1078" s="188"/>
      <c r="H1078" s="267"/>
      <c r="J1078" s="188"/>
      <c r="M1078" s="252"/>
      <c r="N1078" s="217"/>
      <c r="O1078" s="254"/>
      <c r="P1078" s="266"/>
      <c r="Q1078" s="271"/>
      <c r="R1078" s="219" t="str">
        <f t="shared" si="25"/>
        <v/>
      </c>
      <c r="S1078" s="188"/>
    </row>
    <row r="1079" spans="1:19" ht="18" customHeight="1">
      <c r="A1079" s="245"/>
      <c r="B1079" s="246"/>
      <c r="C1079" s="188"/>
      <c r="D1079" s="245"/>
      <c r="E1079" s="247"/>
      <c r="F1079" s="245"/>
      <c r="G1079" s="188"/>
      <c r="H1079" s="267"/>
      <c r="J1079" s="188"/>
      <c r="M1079" s="252"/>
      <c r="N1079" s="217"/>
      <c r="O1079" s="254"/>
      <c r="P1079" s="266"/>
      <c r="Q1079" s="271"/>
      <c r="R1079" s="219" t="str">
        <f t="shared" si="25"/>
        <v/>
      </c>
      <c r="S1079" s="188"/>
    </row>
    <row r="1080" spans="1:19" ht="18" customHeight="1">
      <c r="A1080" s="245"/>
      <c r="B1080" s="246"/>
      <c r="C1080" s="188"/>
      <c r="D1080" s="245"/>
      <c r="E1080" s="247"/>
      <c r="F1080" s="245"/>
      <c r="G1080" s="188"/>
      <c r="H1080" s="267"/>
      <c r="J1080" s="188"/>
      <c r="M1080" s="252"/>
      <c r="N1080" s="217"/>
      <c r="O1080" s="254"/>
      <c r="P1080" s="266"/>
      <c r="Q1080" s="271"/>
      <c r="R1080" s="219" t="str">
        <f t="shared" si="25"/>
        <v/>
      </c>
      <c r="S1080" s="188"/>
    </row>
    <row r="1081" spans="1:19" ht="18" customHeight="1">
      <c r="A1081" s="245"/>
      <c r="B1081" s="246"/>
      <c r="C1081" s="188"/>
      <c r="D1081" s="245"/>
      <c r="E1081" s="247"/>
      <c r="F1081" s="245"/>
      <c r="G1081" s="188"/>
      <c r="H1081" s="267"/>
      <c r="J1081" s="188"/>
      <c r="M1081" s="252"/>
      <c r="N1081" s="217"/>
      <c r="O1081" s="254"/>
      <c r="P1081" s="266"/>
      <c r="Q1081" s="271"/>
      <c r="R1081" s="219" t="str">
        <f t="shared" si="25"/>
        <v/>
      </c>
      <c r="S1081" s="188"/>
    </row>
    <row r="1082" spans="1:19" ht="18" customHeight="1">
      <c r="A1082" s="245"/>
      <c r="B1082" s="246"/>
      <c r="C1082" s="188"/>
      <c r="D1082" s="245"/>
      <c r="E1082" s="247"/>
      <c r="F1082" s="245"/>
      <c r="G1082" s="188"/>
      <c r="H1082" s="267"/>
      <c r="J1082" s="188"/>
      <c r="M1082" s="252"/>
      <c r="N1082" s="217"/>
      <c r="O1082" s="254"/>
      <c r="P1082" s="266"/>
      <c r="Q1082" s="271"/>
      <c r="R1082" s="219" t="str">
        <f t="shared" si="25"/>
        <v/>
      </c>
      <c r="S1082" s="188"/>
    </row>
    <row r="1083" spans="1:19" ht="18" customHeight="1">
      <c r="A1083" s="245"/>
      <c r="B1083" s="246"/>
      <c r="C1083" s="188"/>
      <c r="D1083" s="245"/>
      <c r="E1083" s="247"/>
      <c r="F1083" s="245"/>
      <c r="G1083" s="188"/>
      <c r="H1083" s="267"/>
      <c r="J1083" s="188"/>
      <c r="M1083" s="252"/>
      <c r="N1083" s="217"/>
      <c r="O1083" s="254"/>
      <c r="P1083" s="266"/>
      <c r="Q1083" s="271"/>
      <c r="R1083" s="219" t="str">
        <f t="shared" si="25"/>
        <v/>
      </c>
      <c r="S1083" s="188"/>
    </row>
    <row r="1084" spans="1:19" ht="18" customHeight="1">
      <c r="A1084" s="245"/>
      <c r="B1084" s="246"/>
      <c r="C1084" s="188"/>
      <c r="D1084" s="245"/>
      <c r="E1084" s="247"/>
      <c r="F1084" s="245"/>
      <c r="G1084" s="188"/>
      <c r="H1084" s="267"/>
      <c r="J1084" s="188"/>
      <c r="M1084" s="252"/>
      <c r="N1084" s="217"/>
      <c r="O1084" s="254"/>
      <c r="P1084" s="266"/>
      <c r="Q1084" s="271"/>
      <c r="R1084" s="219" t="str">
        <f t="shared" si="25"/>
        <v/>
      </c>
      <c r="S1084" s="188"/>
    </row>
    <row r="1085" spans="1:19" ht="18" customHeight="1">
      <c r="A1085" s="245"/>
      <c r="B1085" s="246"/>
      <c r="C1085" s="188"/>
      <c r="D1085" s="245"/>
      <c r="E1085" s="247"/>
      <c r="F1085" s="245"/>
      <c r="G1085" s="188"/>
      <c r="H1085" s="267"/>
      <c r="J1085" s="188"/>
      <c r="M1085" s="252"/>
      <c r="N1085" s="217"/>
      <c r="O1085" s="254"/>
      <c r="P1085" s="266"/>
      <c r="Q1085" s="271"/>
      <c r="R1085" s="219" t="str">
        <f t="shared" si="25"/>
        <v/>
      </c>
      <c r="S1085" s="188"/>
    </row>
    <row r="1086" spans="1:19" ht="18" customHeight="1">
      <c r="A1086" s="245"/>
      <c r="B1086" s="246"/>
      <c r="C1086" s="188"/>
      <c r="D1086" s="245"/>
      <c r="E1086" s="247"/>
      <c r="F1086" s="245"/>
      <c r="G1086" s="188"/>
      <c r="H1086" s="267"/>
      <c r="J1086" s="188"/>
      <c r="M1086" s="252"/>
      <c r="N1086" s="217"/>
      <c r="O1086" s="254"/>
      <c r="P1086" s="266"/>
      <c r="Q1086" s="271"/>
      <c r="R1086" s="219" t="str">
        <f t="shared" si="25"/>
        <v/>
      </c>
      <c r="S1086" s="188"/>
    </row>
    <row r="1087" spans="1:19" ht="18" customHeight="1">
      <c r="A1087" s="245"/>
      <c r="B1087" s="246"/>
      <c r="C1087" s="188"/>
      <c r="D1087" s="245"/>
      <c r="E1087" s="247"/>
      <c r="F1087" s="245"/>
      <c r="G1087" s="188"/>
      <c r="H1087" s="267"/>
      <c r="J1087" s="188"/>
      <c r="M1087" s="252"/>
      <c r="N1087" s="217"/>
      <c r="O1087" s="254"/>
      <c r="P1087" s="266"/>
      <c r="Q1087" s="271"/>
      <c r="R1087" s="219" t="str">
        <f t="shared" si="25"/>
        <v/>
      </c>
      <c r="S1087" s="188"/>
    </row>
    <row r="1088" spans="1:19" ht="18" customHeight="1">
      <c r="A1088" s="245"/>
      <c r="B1088" s="246"/>
      <c r="C1088" s="188"/>
      <c r="D1088" s="245"/>
      <c r="E1088" s="247"/>
      <c r="F1088" s="245"/>
      <c r="G1088" s="188"/>
      <c r="H1088" s="267"/>
      <c r="J1088" s="188"/>
      <c r="M1088" s="252"/>
      <c r="N1088" s="217"/>
      <c r="O1088" s="254"/>
      <c r="P1088" s="266"/>
      <c r="Q1088" s="271"/>
      <c r="R1088" s="219" t="str">
        <f t="shared" si="25"/>
        <v/>
      </c>
      <c r="S1088" s="188"/>
    </row>
    <row r="1089" spans="1:19" ht="18" customHeight="1">
      <c r="A1089" s="245"/>
      <c r="B1089" s="246"/>
      <c r="C1089" s="188"/>
      <c r="D1089" s="245"/>
      <c r="E1089" s="247"/>
      <c r="F1089" s="245"/>
      <c r="G1089" s="188"/>
      <c r="H1089" s="267"/>
      <c r="J1089" s="188"/>
      <c r="M1089" s="252"/>
      <c r="N1089" s="217"/>
      <c r="O1089" s="254"/>
      <c r="P1089" s="266"/>
      <c r="Q1089" s="271"/>
      <c r="R1089" s="219" t="str">
        <f t="shared" si="25"/>
        <v/>
      </c>
      <c r="S1089" s="188"/>
    </row>
    <row r="1090" spans="1:19" ht="18" customHeight="1">
      <c r="A1090" s="245"/>
      <c r="B1090" s="246"/>
      <c r="C1090" s="188"/>
      <c r="D1090" s="245"/>
      <c r="E1090" s="247"/>
      <c r="F1090" s="245"/>
      <c r="G1090" s="188"/>
      <c r="H1090" s="267"/>
      <c r="J1090" s="188"/>
      <c r="M1090" s="252"/>
      <c r="N1090" s="217"/>
      <c r="O1090" s="254"/>
      <c r="P1090" s="266"/>
      <c r="Q1090" s="271"/>
      <c r="R1090" s="219" t="str">
        <f t="shared" si="25"/>
        <v/>
      </c>
      <c r="S1090" s="188"/>
    </row>
    <row r="1091" spans="1:19" ht="18" customHeight="1">
      <c r="A1091" s="245"/>
      <c r="B1091" s="246"/>
      <c r="C1091" s="188"/>
      <c r="D1091" s="245"/>
      <c r="E1091" s="247"/>
      <c r="F1091" s="245"/>
      <c r="G1091" s="188"/>
      <c r="H1091" s="267"/>
      <c r="J1091" s="188"/>
      <c r="M1091" s="252"/>
      <c r="N1091" s="217"/>
      <c r="O1091" s="254"/>
      <c r="P1091" s="266"/>
      <c r="Q1091" s="271"/>
      <c r="R1091" s="219" t="str">
        <f t="shared" si="25"/>
        <v/>
      </c>
      <c r="S1091" s="188"/>
    </row>
    <row r="1092" spans="1:19" ht="18" customHeight="1">
      <c r="A1092" s="245"/>
      <c r="B1092" s="246"/>
      <c r="C1092" s="188"/>
      <c r="D1092" s="245"/>
      <c r="E1092" s="247"/>
      <c r="F1092" s="245"/>
      <c r="G1092" s="188"/>
      <c r="H1092" s="267"/>
      <c r="J1092" s="188"/>
      <c r="M1092" s="252"/>
      <c r="N1092" s="217"/>
      <c r="O1092" s="254"/>
      <c r="P1092" s="266"/>
      <c r="Q1092" s="271"/>
      <c r="R1092" s="219" t="str">
        <f t="shared" si="25"/>
        <v/>
      </c>
      <c r="S1092" s="188"/>
    </row>
    <row r="1093" spans="1:19" ht="18" customHeight="1">
      <c r="A1093" s="245"/>
      <c r="B1093" s="246"/>
      <c r="C1093" s="188"/>
      <c r="D1093" s="245"/>
      <c r="E1093" s="247"/>
      <c r="F1093" s="245"/>
      <c r="G1093" s="188"/>
      <c r="H1093" s="267"/>
      <c r="J1093" s="188"/>
      <c r="M1093" s="252"/>
      <c r="N1093" s="217"/>
      <c r="O1093" s="254"/>
      <c r="P1093" s="266"/>
      <c r="Q1093" s="271"/>
      <c r="R1093" s="219" t="str">
        <f t="shared" si="25"/>
        <v/>
      </c>
      <c r="S1093" s="188"/>
    </row>
    <row r="1094" spans="1:19" ht="18" customHeight="1">
      <c r="A1094" s="245"/>
      <c r="B1094" s="246"/>
      <c r="C1094" s="188"/>
      <c r="D1094" s="245"/>
      <c r="E1094" s="247"/>
      <c r="F1094" s="245"/>
      <c r="G1094" s="188"/>
      <c r="H1094" s="267"/>
      <c r="J1094" s="188"/>
      <c r="M1094" s="252"/>
      <c r="N1094" s="217"/>
      <c r="O1094" s="254"/>
      <c r="P1094" s="266"/>
      <c r="Q1094" s="271"/>
      <c r="R1094" s="219" t="str">
        <f t="shared" si="25"/>
        <v/>
      </c>
      <c r="S1094" s="188"/>
    </row>
    <row r="1095" spans="1:19" ht="18" customHeight="1">
      <c r="A1095" s="245"/>
      <c r="B1095" s="246"/>
      <c r="C1095" s="188"/>
      <c r="D1095" s="245"/>
      <c r="E1095" s="247"/>
      <c r="F1095" s="245"/>
      <c r="G1095" s="188"/>
      <c r="H1095" s="267"/>
      <c r="J1095" s="188"/>
      <c r="M1095" s="252"/>
      <c r="N1095" s="217"/>
      <c r="O1095" s="254"/>
      <c r="P1095" s="266"/>
      <c r="Q1095" s="271"/>
      <c r="R1095" s="219" t="str">
        <f t="shared" si="25"/>
        <v/>
      </c>
      <c r="S1095" s="188"/>
    </row>
    <row r="1096" spans="1:19" ht="18" customHeight="1">
      <c r="A1096" s="245"/>
      <c r="B1096" s="246"/>
      <c r="C1096" s="188"/>
      <c r="D1096" s="245"/>
      <c r="E1096" s="247"/>
      <c r="F1096" s="245"/>
      <c r="G1096" s="188"/>
      <c r="H1096" s="267"/>
      <c r="J1096" s="188"/>
      <c r="M1096" s="252"/>
      <c r="N1096" s="217"/>
      <c r="O1096" s="254"/>
      <c r="P1096" s="266"/>
      <c r="Q1096" s="271"/>
      <c r="R1096" s="219" t="str">
        <f t="shared" si="25"/>
        <v/>
      </c>
      <c r="S1096" s="188"/>
    </row>
    <row r="1097" spans="1:19" ht="18" customHeight="1">
      <c r="A1097" s="245"/>
      <c r="B1097" s="246"/>
      <c r="C1097" s="188"/>
      <c r="D1097" s="245"/>
      <c r="E1097" s="247"/>
      <c r="F1097" s="245"/>
      <c r="G1097" s="188"/>
      <c r="H1097" s="267"/>
      <c r="J1097" s="188"/>
      <c r="M1097" s="252"/>
      <c r="N1097" s="217"/>
      <c r="O1097" s="254"/>
      <c r="P1097" s="266"/>
      <c r="Q1097" s="271"/>
      <c r="R1097" s="219" t="str">
        <f t="shared" si="25"/>
        <v/>
      </c>
      <c r="S1097" s="188"/>
    </row>
    <row r="1098" spans="1:19" ht="18" customHeight="1">
      <c r="A1098" s="245"/>
      <c r="B1098" s="246"/>
      <c r="C1098" s="188"/>
      <c r="D1098" s="245"/>
      <c r="E1098" s="247"/>
      <c r="F1098" s="245"/>
      <c r="G1098" s="188"/>
      <c r="H1098" s="267"/>
      <c r="J1098" s="188"/>
      <c r="M1098" s="252"/>
      <c r="N1098" s="217"/>
      <c r="O1098" s="254"/>
      <c r="P1098" s="266"/>
      <c r="Q1098" s="271"/>
      <c r="R1098" s="219" t="str">
        <f t="shared" si="25"/>
        <v/>
      </c>
      <c r="S1098" s="188"/>
    </row>
    <row r="1099" spans="1:19" ht="18" customHeight="1">
      <c r="A1099" s="245"/>
      <c r="B1099" s="246"/>
      <c r="C1099" s="188"/>
      <c r="D1099" s="245"/>
      <c r="E1099" s="247"/>
      <c r="F1099" s="245"/>
      <c r="G1099" s="188"/>
      <c r="H1099" s="267"/>
      <c r="J1099" s="188"/>
      <c r="M1099" s="252"/>
      <c r="N1099" s="217"/>
      <c r="O1099" s="254"/>
      <c r="P1099" s="266"/>
      <c r="Q1099" s="271"/>
      <c r="R1099" s="219" t="str">
        <f t="shared" si="25"/>
        <v/>
      </c>
      <c r="S1099" s="188"/>
    </row>
    <row r="1100" spans="1:19" ht="18" customHeight="1">
      <c r="A1100" s="245"/>
      <c r="B1100" s="246"/>
      <c r="C1100" s="188"/>
      <c r="D1100" s="245"/>
      <c r="E1100" s="247"/>
      <c r="F1100" s="245"/>
      <c r="G1100" s="188"/>
      <c r="H1100" s="267"/>
      <c r="J1100" s="188"/>
      <c r="M1100" s="252"/>
      <c r="N1100" s="217"/>
      <c r="O1100" s="254"/>
      <c r="P1100" s="266"/>
      <c r="Q1100" s="271"/>
      <c r="R1100" s="219" t="str">
        <f t="shared" si="25"/>
        <v/>
      </c>
      <c r="S1100" s="188"/>
    </row>
    <row r="1101" spans="1:19" ht="18" customHeight="1">
      <c r="A1101" s="245"/>
      <c r="B1101" s="246"/>
      <c r="C1101" s="188"/>
      <c r="D1101" s="245"/>
      <c r="E1101" s="247"/>
      <c r="F1101" s="245"/>
      <c r="G1101" s="188"/>
      <c r="H1101" s="267"/>
      <c r="J1101" s="188"/>
      <c r="M1101" s="252"/>
      <c r="N1101" s="217"/>
      <c r="O1101" s="254"/>
      <c r="P1101" s="266"/>
      <c r="Q1101" s="271"/>
      <c r="R1101" s="219" t="str">
        <f t="shared" si="25"/>
        <v/>
      </c>
      <c r="S1101" s="188"/>
    </row>
    <row r="1102" spans="1:19" ht="18" customHeight="1">
      <c r="A1102" s="245"/>
      <c r="B1102" s="246"/>
      <c r="C1102" s="188"/>
      <c r="D1102" s="245"/>
      <c r="E1102" s="247"/>
      <c r="F1102" s="245"/>
      <c r="G1102" s="188"/>
      <c r="H1102" s="267"/>
      <c r="J1102" s="188"/>
      <c r="M1102" s="252"/>
      <c r="N1102" s="217"/>
      <c r="O1102" s="254"/>
      <c r="P1102" s="266"/>
      <c r="Q1102" s="271"/>
      <c r="R1102" s="219" t="str">
        <f t="shared" si="25"/>
        <v/>
      </c>
      <c r="S1102" s="188"/>
    </row>
    <row r="1103" spans="1:19" ht="18" customHeight="1">
      <c r="A1103" s="245"/>
      <c r="B1103" s="246"/>
      <c r="C1103" s="188"/>
      <c r="D1103" s="245"/>
      <c r="E1103" s="247"/>
      <c r="F1103" s="245"/>
      <c r="G1103" s="188"/>
      <c r="H1103" s="267"/>
      <c r="J1103" s="188"/>
      <c r="M1103" s="252"/>
      <c r="N1103" s="217"/>
      <c r="O1103" s="254"/>
      <c r="P1103" s="266"/>
      <c r="Q1103" s="271"/>
      <c r="R1103" s="219" t="str">
        <f t="shared" si="25"/>
        <v/>
      </c>
      <c r="S1103" s="188"/>
    </row>
    <row r="1104" spans="1:19" ht="18" customHeight="1">
      <c r="A1104" s="245"/>
      <c r="B1104" s="246"/>
      <c r="C1104" s="188"/>
      <c r="D1104" s="245"/>
      <c r="E1104" s="247"/>
      <c r="F1104" s="245"/>
      <c r="G1104" s="188"/>
      <c r="H1104" s="267"/>
      <c r="J1104" s="188"/>
      <c r="M1104" s="252"/>
      <c r="N1104" s="217"/>
      <c r="O1104" s="254"/>
      <c r="P1104" s="266"/>
      <c r="Q1104" s="271"/>
      <c r="R1104" s="219" t="str">
        <f t="shared" si="25"/>
        <v/>
      </c>
      <c r="S1104" s="188"/>
    </row>
    <row r="1105" spans="1:19" ht="18" customHeight="1">
      <c r="A1105" s="245"/>
      <c r="B1105" s="246"/>
      <c r="C1105" s="188"/>
      <c r="D1105" s="245"/>
      <c r="E1105" s="247"/>
      <c r="F1105" s="245"/>
      <c r="G1105" s="188"/>
      <c r="H1105" s="267"/>
      <c r="J1105" s="188"/>
      <c r="M1105" s="252"/>
      <c r="N1105" s="217"/>
      <c r="O1105" s="254"/>
      <c r="P1105" s="266"/>
      <c r="Q1105" s="271"/>
      <c r="R1105" s="219" t="str">
        <f t="shared" si="25"/>
        <v/>
      </c>
      <c r="S1105" s="188"/>
    </row>
    <row r="1106" spans="1:19" ht="18" customHeight="1">
      <c r="A1106" s="245"/>
      <c r="B1106" s="246"/>
      <c r="C1106" s="188"/>
      <c r="D1106" s="245"/>
      <c r="E1106" s="247"/>
      <c r="F1106" s="245"/>
      <c r="G1106" s="188"/>
      <c r="H1106" s="267"/>
      <c r="J1106" s="188"/>
      <c r="M1106" s="252"/>
      <c r="N1106" s="217"/>
      <c r="O1106" s="254"/>
      <c r="P1106" s="266"/>
      <c r="Q1106" s="271"/>
      <c r="R1106" s="219" t="str">
        <f t="shared" si="25"/>
        <v/>
      </c>
      <c r="S1106" s="188"/>
    </row>
    <row r="1107" spans="1:19" ht="18" customHeight="1">
      <c r="A1107" s="245"/>
      <c r="B1107" s="246"/>
      <c r="C1107" s="188"/>
      <c r="D1107" s="245"/>
      <c r="E1107" s="247"/>
      <c r="F1107" s="245"/>
      <c r="G1107" s="188"/>
      <c r="H1107" s="267"/>
      <c r="J1107" s="188"/>
      <c r="M1107" s="252"/>
      <c r="N1107" s="217"/>
      <c r="O1107" s="254"/>
      <c r="P1107" s="266"/>
      <c r="Q1107" s="271"/>
      <c r="R1107" s="219" t="str">
        <f t="shared" si="25"/>
        <v/>
      </c>
      <c r="S1107" s="188"/>
    </row>
    <row r="1108" spans="1:19" ht="18" customHeight="1">
      <c r="A1108" s="245"/>
      <c r="B1108" s="246"/>
      <c r="C1108" s="188"/>
      <c r="D1108" s="245"/>
      <c r="E1108" s="247"/>
      <c r="F1108" s="245"/>
      <c r="G1108" s="188"/>
      <c r="H1108" s="267"/>
      <c r="J1108" s="188"/>
      <c r="M1108" s="252"/>
      <c r="N1108" s="217"/>
      <c r="O1108" s="254"/>
      <c r="P1108" s="266"/>
      <c r="Q1108" s="271"/>
      <c r="R1108" s="219" t="str">
        <f t="shared" si="25"/>
        <v/>
      </c>
      <c r="S1108" s="188"/>
    </row>
    <row r="1109" spans="1:19" ht="18" customHeight="1">
      <c r="A1109" s="245"/>
      <c r="B1109" s="246"/>
      <c r="C1109" s="188"/>
      <c r="D1109" s="245"/>
      <c r="E1109" s="247"/>
      <c r="F1109" s="245"/>
      <c r="G1109" s="188"/>
      <c r="H1109" s="267"/>
      <c r="J1109" s="188"/>
      <c r="M1109" s="252"/>
      <c r="N1109" s="217"/>
      <c r="O1109" s="254"/>
      <c r="P1109" s="266"/>
      <c r="Q1109" s="271"/>
      <c r="R1109" s="219" t="str">
        <f t="shared" si="25"/>
        <v/>
      </c>
      <c r="S1109" s="188"/>
    </row>
    <row r="1110" spans="1:19" ht="18" customHeight="1">
      <c r="A1110" s="245"/>
      <c r="B1110" s="246"/>
      <c r="C1110" s="188"/>
      <c r="D1110" s="245"/>
      <c r="E1110" s="247"/>
      <c r="F1110" s="245"/>
      <c r="G1110" s="188"/>
      <c r="H1110" s="267"/>
      <c r="J1110" s="188"/>
      <c r="M1110" s="252"/>
      <c r="N1110" s="217"/>
      <c r="O1110" s="254"/>
      <c r="P1110" s="266"/>
      <c r="Q1110" s="271"/>
      <c r="R1110" s="219" t="str">
        <f t="shared" si="25"/>
        <v/>
      </c>
      <c r="S1110" s="188"/>
    </row>
    <row r="1111" spans="1:19" ht="18" customHeight="1">
      <c r="A1111" s="245"/>
      <c r="B1111" s="246"/>
      <c r="C1111" s="188"/>
      <c r="D1111" s="245"/>
      <c r="E1111" s="247"/>
      <c r="F1111" s="245"/>
      <c r="G1111" s="188"/>
      <c r="H1111" s="267"/>
      <c r="J1111" s="188"/>
      <c r="M1111" s="252"/>
      <c r="N1111" s="217"/>
      <c r="O1111" s="254"/>
      <c r="P1111" s="266"/>
      <c r="Q1111" s="271"/>
      <c r="R1111" s="219" t="str">
        <f>IF(SUM(Q1111)&gt;0,SUM(Q1111-P1111),"")</f>
        <v/>
      </c>
      <c r="S1111" s="188"/>
    </row>
    <row r="1112" spans="1:19" ht="18" customHeight="1">
      <c r="A1112" s="245"/>
      <c r="B1112" s="246"/>
      <c r="C1112" s="188"/>
      <c r="D1112" s="245"/>
      <c r="E1112" s="247"/>
      <c r="F1112" s="245"/>
      <c r="G1112" s="188"/>
      <c r="H1112" s="267"/>
      <c r="J1112" s="188"/>
      <c r="M1112" s="252"/>
      <c r="N1112" s="217"/>
      <c r="O1112" s="254"/>
      <c r="P1112" s="266"/>
      <c r="Q1112" s="271"/>
      <c r="R1112" s="219" t="str">
        <f>IF(SUM(Q1112)&gt;0,SUM(Q1112-P1112),"")</f>
        <v/>
      </c>
      <c r="S1112" s="188"/>
    </row>
    <row r="1113" spans="1:19" ht="18" customHeight="1">
      <c r="A1113" s="245"/>
      <c r="B1113" s="246"/>
      <c r="C1113" s="188"/>
      <c r="D1113" s="245"/>
      <c r="E1113" s="247"/>
      <c r="F1113" s="245"/>
      <c r="G1113" s="188"/>
      <c r="H1113" s="267"/>
      <c r="J1113" s="188"/>
      <c r="M1113" s="252"/>
      <c r="N1113" s="217"/>
      <c r="O1113" s="254"/>
      <c r="P1113" s="266"/>
      <c r="Q1113" s="271"/>
      <c r="R1113" s="219" t="str">
        <f>IF(SUM(Q1113)&gt;0,SUM(Q1113-P1113),"")</f>
        <v/>
      </c>
      <c r="S1113" s="188"/>
    </row>
    <row r="1114" spans="1:19" ht="18" customHeight="1">
      <c r="B1114" s="246"/>
      <c r="C1114" s="188"/>
      <c r="D1114" s="245"/>
      <c r="G1114" s="188"/>
      <c r="H1114" s="267"/>
      <c r="J1114" s="188"/>
      <c r="M1114" s="252"/>
      <c r="O1114" s="254"/>
      <c r="P1114" s="266"/>
      <c r="Q1114" s="271"/>
      <c r="R1114" s="219" t="str">
        <f>IF(SUM(Q1114)&gt;0,SUM(Q1114-P1114),"")</f>
        <v/>
      </c>
      <c r="S1114" s="188"/>
    </row>
  </sheetData>
  <sheetProtection selectLockedCells="1"/>
  <autoFilter ref="A3:R834">
    <filterColumn colId="2"/>
    <sortState ref="A4:R898">
      <sortCondition ref="Q3:Q898"/>
    </sortState>
  </autoFilter>
  <sortState ref="G4:N143">
    <sortCondition sortBy="icon" ref="M143"/>
  </sortState>
  <customSheetViews>
    <customSheetView guid="{2383B994-5DA1-4BB7-BA01-728624653006}" scale="85" showPageBreaks="1" showAutoFilter="1" hiddenColumns="1">
      <pane ySplit="3" topLeftCell="A301" activePane="bottomLeft" state="frozen"/>
      <selection pane="bottomLeft" activeCell="A281" sqref="A281"/>
      <pageMargins left="0" right="0" top="0" bottom="0" header="0.5" footer="0.5"/>
      <printOptions horizontalCentered="1" verticalCentered="1" gridLines="1"/>
      <pageSetup paperSize="17" scale="50" orientation="landscape" horizontalDpi="4294967295" verticalDpi="4294967295" r:id="rId1"/>
      <headerFooter alignWithMargins="0"/>
      <autoFilter ref="A3:R636">
        <sortState ref="A4:R721">
          <sortCondition ref="Q3:Q721"/>
        </sortState>
      </autoFilter>
    </customSheetView>
    <customSheetView guid="{2CF83A42-D815-4571-8877-DB621A116308}" scale="73" showAutoFilter="1" hiddenColumns="1">
      <pane ySplit="3" topLeftCell="A334" activePane="bottomLeft" state="frozen"/>
      <selection pane="bottomLeft" activeCell="B352" sqref="B352"/>
      <pageMargins left="0" right="0" top="0" bottom="0" header="0.5" footer="0.5"/>
      <printOptions horizontalCentered="1" verticalCentered="1" gridLines="1"/>
      <pageSetup paperSize="17" scale="50" orientation="landscape" horizontalDpi="4294967295" verticalDpi="4294967295" r:id="rId2"/>
      <headerFooter alignWithMargins="0"/>
      <autoFilter ref="A3:R636">
        <sortState ref="A4:R721">
          <sortCondition ref="Q3:Q721"/>
        </sortState>
      </autoFilter>
    </customSheetView>
    <customSheetView guid="{FFA6C093-E866-4B92-9807-8D478A2763D4}" scale="75" showAutoFilter="1" hiddenColumns="1" topLeftCell="E1">
      <pane ySplit="3" topLeftCell="A312" activePane="bottomLeft" state="frozen"/>
      <selection pane="bottomLeft" activeCell="J333" sqref="J333"/>
      <pageMargins left="0" right="0" top="0" bottom="0" header="0.5" footer="0.5"/>
      <printOptions horizontalCentered="1" verticalCentered="1" gridLines="1"/>
      <pageSetup paperSize="17" scale="50" orientation="landscape" horizontalDpi="4294967295" verticalDpi="4294967295" r:id="rId3"/>
      <headerFooter alignWithMargins="0"/>
      <autoFilter ref="A3:R636">
        <sortState ref="A4:R721">
          <sortCondition ref="Q3:Q721"/>
        </sortState>
      </autoFilter>
    </customSheetView>
  </customSheetViews>
  <phoneticPr fontId="0" type="noConversion"/>
  <conditionalFormatting sqref="B4:B225 B228:B7841">
    <cfRule type="expression" dxfId="950" priority="397">
      <formula>Q4&gt;0</formula>
    </cfRule>
  </conditionalFormatting>
  <conditionalFormatting sqref="D1">
    <cfRule type="expression" dxfId="949" priority="240" stopIfTrue="1">
      <formula>Q1&gt;0</formula>
    </cfRule>
  </conditionalFormatting>
  <conditionalFormatting sqref="B226">
    <cfRule type="expression" dxfId="948" priority="399">
      <formula>Q227&gt;0</formula>
    </cfRule>
  </conditionalFormatting>
  <conditionalFormatting sqref="B227">
    <cfRule type="expression" dxfId="947" priority="400">
      <formula>#REF!&gt;0</formula>
    </cfRule>
  </conditionalFormatting>
  <conditionalFormatting sqref="B227">
    <cfRule type="expression" dxfId="946" priority="5">
      <formula>Q228&gt;0</formula>
    </cfRule>
  </conditionalFormatting>
  <conditionalFormatting sqref="B227">
    <cfRule type="expression" dxfId="945" priority="4">
      <formula>Q228&gt;0</formula>
    </cfRule>
  </conditionalFormatting>
  <conditionalFormatting sqref="B227">
    <cfRule type="expression" dxfId="944" priority="3">
      <formula>Q228&gt;0</formula>
    </cfRule>
  </conditionalFormatting>
  <conditionalFormatting sqref="B309:B310">
    <cfRule type="expression" dxfId="943" priority="2">
      <formula>Q309&gt;0</formula>
    </cfRule>
  </conditionalFormatting>
  <conditionalFormatting sqref="E429">
    <cfRule type="expression" dxfId="942" priority="1">
      <formula>T429&gt;0</formula>
    </cfRule>
  </conditionalFormatting>
  <printOptions horizontalCentered="1" verticalCentered="1" gridLines="1"/>
  <pageMargins left="0" right="0" top="0" bottom="0" header="0.5" footer="0.5"/>
  <pageSetup scale="65" orientation="landscape" r:id="rId4"/>
  <headerFooter alignWithMargins="0"/>
  <drawing r:id="rId5"/>
  <legacyDrawing r:id="rId6"/>
</worksheet>
</file>

<file path=xl/worksheets/sheet2.xml><?xml version="1.0" encoding="utf-8"?>
<worksheet xmlns="http://schemas.openxmlformats.org/spreadsheetml/2006/main" xmlns:r="http://schemas.openxmlformats.org/officeDocument/2006/relationships">
  <sheetPr codeName="InputForm"/>
  <dimension ref="A1:J102"/>
  <sheetViews>
    <sheetView zoomScale="70" zoomScaleNormal="70" zoomScaleSheetLayoutView="100" workbookViewId="0">
      <selection activeCell="E5" sqref="E5"/>
    </sheetView>
  </sheetViews>
  <sheetFormatPr defaultColWidth="9.453125" defaultRowHeight="22.5"/>
  <cols>
    <col min="1" max="1" width="1.54296875" style="18" customWidth="1"/>
    <col min="2" max="2" width="1.453125" style="18" customWidth="1"/>
    <col min="3" max="3" width="28.54296875" style="19" customWidth="1"/>
    <col min="4" max="4" width="1.453125" style="18" customWidth="1"/>
    <col min="5" max="5" width="51.453125" style="18" customWidth="1"/>
    <col min="6" max="6" width="13.453125" style="18" customWidth="1"/>
    <col min="7" max="7" width="11.453125" style="18" customWidth="1"/>
    <col min="8" max="10" width="9.453125" style="18" hidden="1" customWidth="1"/>
    <col min="11" max="16384" width="9.453125" style="18"/>
  </cols>
  <sheetData>
    <row r="1" spans="3:10" s="1" customFormat="1">
      <c r="C1" s="2"/>
    </row>
    <row r="2" spans="3:10" s="1" customFormat="1" ht="3.75" customHeight="1">
      <c r="C2" s="2"/>
    </row>
    <row r="3" spans="3:10" s="1" customFormat="1" ht="30.75" customHeight="1">
      <c r="C3" s="3"/>
      <c r="D3" s="4"/>
      <c r="E3" s="23" t="s">
        <v>65</v>
      </c>
      <c r="F3" s="5"/>
    </row>
    <row r="4" spans="3:10" s="1" customFormat="1" ht="14.25" customHeight="1">
      <c r="C4" s="2"/>
      <c r="F4" s="5"/>
      <c r="G4" s="31" t="s">
        <v>75</v>
      </c>
    </row>
    <row r="5" spans="3:10" s="1" customFormat="1" ht="25.5" customHeight="1">
      <c r="C5" s="6" t="s">
        <v>66</v>
      </c>
      <c r="E5" s="24">
        <f>G5+1</f>
        <v>39233</v>
      </c>
      <c r="F5" s="5"/>
      <c r="G5" s="245">
        <v>39232</v>
      </c>
    </row>
    <row r="6" spans="3:10" s="1" customFormat="1" ht="6" customHeight="1">
      <c r="C6" s="2"/>
      <c r="E6" s="27"/>
      <c r="F6" s="32"/>
      <c r="G6" s="28"/>
    </row>
    <row r="7" spans="3:10" s="1" customFormat="1" ht="25.5" customHeight="1">
      <c r="C7" s="6" t="s">
        <v>8</v>
      </c>
      <c r="E7" s="172">
        <f>G7+1</f>
        <v>73093</v>
      </c>
      <c r="F7" s="5"/>
      <c r="G7" s="246">
        <v>73092</v>
      </c>
      <c r="H7" s="33">
        <v>73064</v>
      </c>
      <c r="I7" s="1">
        <v>1</v>
      </c>
      <c r="J7" s="1">
        <f>H7-I7</f>
        <v>73063</v>
      </c>
    </row>
    <row r="8" spans="3:10" s="1" customFormat="1" ht="6" customHeight="1">
      <c r="C8" s="2"/>
      <c r="E8" s="25"/>
      <c r="F8" s="5"/>
    </row>
    <row r="9" spans="3:10" s="1" customFormat="1" ht="25.5" customHeight="1">
      <c r="C9" s="6" t="s">
        <v>9</v>
      </c>
      <c r="E9" s="286"/>
      <c r="F9" s="5"/>
    </row>
    <row r="10" spans="3:10" s="1" customFormat="1" ht="6" customHeight="1">
      <c r="C10" s="2"/>
      <c r="E10" s="25"/>
      <c r="F10" s="5"/>
    </row>
    <row r="11" spans="3:10" s="1" customFormat="1" ht="25.5" customHeight="1">
      <c r="C11" s="6" t="s">
        <v>67</v>
      </c>
      <c r="E11" s="286"/>
      <c r="F11" s="5"/>
      <c r="G11" s="7"/>
    </row>
    <row r="12" spans="3:10" s="1" customFormat="1" ht="6" customHeight="1">
      <c r="C12" s="2"/>
      <c r="E12" s="25"/>
      <c r="F12" s="5"/>
    </row>
    <row r="13" spans="3:10" s="1" customFormat="1" ht="25.5" customHeight="1">
      <c r="C13" s="6" t="s">
        <v>11</v>
      </c>
      <c r="E13" s="286"/>
      <c r="F13" s="5"/>
    </row>
    <row r="14" spans="3:10" s="1" customFormat="1" ht="6" customHeight="1">
      <c r="C14" s="2"/>
      <c r="E14" s="25"/>
      <c r="F14" s="5"/>
    </row>
    <row r="15" spans="3:10" s="1" customFormat="1" ht="25.5" customHeight="1">
      <c r="C15" s="6" t="s">
        <v>69</v>
      </c>
      <c r="E15" s="225"/>
      <c r="F15" s="5"/>
    </row>
    <row r="16" spans="3:10" s="1" customFormat="1" ht="6" customHeight="1">
      <c r="C16" s="2"/>
      <c r="E16" s="25"/>
      <c r="F16" s="5"/>
    </row>
    <row r="17" spans="1:6" s="1" customFormat="1" ht="25.5" customHeight="1">
      <c r="C17" s="6" t="s">
        <v>64</v>
      </c>
      <c r="E17" s="223"/>
      <c r="F17" s="5"/>
    </row>
    <row r="18" spans="1:6" s="1" customFormat="1" ht="6" customHeight="1">
      <c r="C18" s="2"/>
      <c r="E18" s="25"/>
      <c r="F18" s="5"/>
    </row>
    <row r="19" spans="1:6" s="1" customFormat="1" ht="25.5" customHeight="1">
      <c r="C19" s="6" t="s">
        <v>63</v>
      </c>
      <c r="E19" s="224"/>
      <c r="F19" s="22"/>
    </row>
    <row r="20" spans="1:6" s="1" customFormat="1" ht="6" customHeight="1">
      <c r="C20" s="2"/>
      <c r="E20" s="25"/>
      <c r="F20" s="5"/>
    </row>
    <row r="21" spans="1:6" s="1" customFormat="1" ht="25.5" customHeight="1">
      <c r="C21" s="6" t="s">
        <v>12</v>
      </c>
      <c r="E21" s="273"/>
      <c r="F21" s="5"/>
    </row>
    <row r="22" spans="1:6" s="1" customFormat="1" ht="6" customHeight="1">
      <c r="C22" s="2"/>
      <c r="E22" s="25"/>
      <c r="F22" s="5"/>
    </row>
    <row r="23" spans="1:6" s="1" customFormat="1" ht="25.5" customHeight="1">
      <c r="C23" s="6" t="s">
        <v>19</v>
      </c>
      <c r="E23" s="155"/>
      <c r="F23" s="5"/>
    </row>
    <row r="24" spans="1:6" s="1" customFormat="1" ht="6" customHeight="1">
      <c r="C24" s="2"/>
      <c r="E24" s="25"/>
      <c r="F24" s="5"/>
    </row>
    <row r="25" spans="1:6" s="1" customFormat="1" ht="25.5" customHeight="1">
      <c r="C25" s="6" t="s">
        <v>68</v>
      </c>
      <c r="E25" s="275" t="s">
        <v>38</v>
      </c>
      <c r="F25" s="5"/>
    </row>
    <row r="26" spans="1:6" s="1" customFormat="1" ht="6" customHeight="1">
      <c r="A26" s="8"/>
      <c r="B26" s="8"/>
      <c r="C26" s="9"/>
      <c r="D26" s="8"/>
      <c r="E26" s="26"/>
      <c r="F26" s="5"/>
    </row>
    <row r="27" spans="1:6" s="1" customFormat="1" ht="25.5" customHeight="1">
      <c r="C27" s="6" t="s">
        <v>21</v>
      </c>
      <c r="E27" s="407"/>
      <c r="F27" s="30">
        <v>30536</v>
      </c>
    </row>
    <row r="28" spans="1:6" s="1" customFormat="1" ht="14.25" customHeight="1">
      <c r="C28" s="10"/>
      <c r="D28" s="11"/>
      <c r="E28" s="12"/>
      <c r="F28" s="12"/>
    </row>
    <row r="29" spans="1:6" s="8" customFormat="1" ht="15" customHeight="1">
      <c r="C29" s="9"/>
      <c r="D29" s="13"/>
      <c r="E29" s="14"/>
    </row>
    <row r="30" spans="1:6" s="1" customFormat="1" ht="11.25" customHeight="1">
      <c r="C30" s="2"/>
      <c r="D30" s="29"/>
      <c r="E30" s="15">
        <f ca="1">TODAY()</f>
        <v>46066</v>
      </c>
      <c r="F30" s="16"/>
    </row>
    <row r="31" spans="1:6" s="1" customFormat="1">
      <c r="C31" s="2"/>
    </row>
    <row r="32" spans="1:6" s="1" customFormat="1">
      <c r="C32" s="2"/>
    </row>
    <row r="33" spans="3:3" s="1" customFormat="1">
      <c r="C33" s="2"/>
    </row>
    <row r="34" spans="3:3" s="1" customFormat="1">
      <c r="C34" s="2"/>
    </row>
    <row r="35" spans="3:3" s="1" customFormat="1">
      <c r="C35" s="2"/>
    </row>
    <row r="36" spans="3:3" s="1" customFormat="1">
      <c r="C36" s="2"/>
    </row>
    <row r="37" spans="3:3" s="1" customFormat="1">
      <c r="C37" s="2"/>
    </row>
    <row r="38" spans="3:3" s="1" customFormat="1">
      <c r="C38" s="2"/>
    </row>
    <row r="39" spans="3:3" s="1" customFormat="1">
      <c r="C39" s="2"/>
    </row>
    <row r="40" spans="3:3" s="1" customFormat="1">
      <c r="C40" s="2"/>
    </row>
    <row r="41" spans="3:3" s="1" customFormat="1">
      <c r="C41" s="2"/>
    </row>
    <row r="42" spans="3:3" s="1" customFormat="1">
      <c r="C42" s="2"/>
    </row>
    <row r="43" spans="3:3" s="1" customFormat="1">
      <c r="C43" s="2"/>
    </row>
    <row r="44" spans="3:3" s="1" customFormat="1">
      <c r="C44" s="2"/>
    </row>
    <row r="45" spans="3:3" s="1" customFormat="1">
      <c r="C45" s="2"/>
    </row>
    <row r="46" spans="3:3" s="1" customFormat="1">
      <c r="C46" s="2"/>
    </row>
    <row r="47" spans="3:3" s="1" customFormat="1">
      <c r="C47" s="2"/>
    </row>
    <row r="48" spans="3:3" s="1" customFormat="1">
      <c r="C48" s="2"/>
    </row>
    <row r="49" spans="3:3" s="1" customFormat="1">
      <c r="C49" s="2"/>
    </row>
    <row r="50" spans="3:3" s="1" customFormat="1">
      <c r="C50" s="2"/>
    </row>
    <row r="102" spans="3:3" ht="12.5" hidden="1">
      <c r="C102" s="17">
        <v>21357901735</v>
      </c>
    </row>
  </sheetData>
  <sheetProtection sheet="1" objects="1" scenarios="1" selectLockedCells="1"/>
  <dataConsolidate link="1"/>
  <customSheetViews>
    <customSheetView guid="{2383B994-5DA1-4BB7-BA01-728624653006}" scale="70" hiddenRows="1" hiddenColumns="1">
      <selection activeCell="G7" sqref="G7"/>
      <pageMargins left="0.75" right="0.75" top="1" bottom="1" header="0.5" footer="0.5"/>
      <pageSetup paperSize="9" orientation="portrait" r:id="rId1"/>
      <headerFooter alignWithMargins="0"/>
    </customSheetView>
    <customSheetView guid="{2CF83A42-D815-4571-8877-DB621A116308}" scale="70" hiddenRows="1" hiddenColumns="1">
      <selection activeCell="E5" sqref="E5"/>
      <pageMargins left="0.75" right="0.75" top="1" bottom="1" header="0.5" footer="0.5"/>
      <pageSetup paperSize="9" orientation="portrait" r:id="rId2"/>
      <headerFooter alignWithMargins="0"/>
    </customSheetView>
    <customSheetView guid="{FFA6C093-E866-4B92-9807-8D478A2763D4}" scale="70" hiddenRows="1" hiddenColumns="1" topLeftCell="A4">
      <selection activeCell="E5" sqref="E5"/>
      <pageMargins left="0.75" right="0.75" top="1" bottom="1" header="0.5" footer="0.5"/>
      <pageSetup paperSize="9" orientation="portrait" r:id="rId3"/>
      <headerFooter alignWithMargins="0"/>
    </customSheetView>
  </customSheetViews>
  <conditionalFormatting sqref="D30">
    <cfRule type="expression" dxfId="941" priority="294">
      <formula>S30&gt;0</formula>
    </cfRule>
  </conditionalFormatting>
  <conditionalFormatting sqref="D30">
    <cfRule type="expression" dxfId="940" priority="293">
      <formula>S30&gt;0</formula>
    </cfRule>
  </conditionalFormatting>
  <conditionalFormatting sqref="D30">
    <cfRule type="expression" dxfId="939" priority="292">
      <formula>S30&gt;0</formula>
    </cfRule>
  </conditionalFormatting>
  <conditionalFormatting sqref="D30">
    <cfRule type="expression" dxfId="938" priority="291">
      <formula>S30&gt;0</formula>
    </cfRule>
  </conditionalFormatting>
  <conditionalFormatting sqref="D30">
    <cfRule type="expression" dxfId="937" priority="290">
      <formula>S30&gt;0</formula>
    </cfRule>
  </conditionalFormatting>
  <conditionalFormatting sqref="D30">
    <cfRule type="expression" dxfId="936" priority="289">
      <formula>S30&gt;0</formula>
    </cfRule>
  </conditionalFormatting>
  <conditionalFormatting sqref="D30">
    <cfRule type="expression" dxfId="935" priority="288">
      <formula>S30&gt;0</formula>
    </cfRule>
  </conditionalFormatting>
  <conditionalFormatting sqref="D30">
    <cfRule type="expression" dxfId="934" priority="287">
      <formula>S30&gt;0</formula>
    </cfRule>
  </conditionalFormatting>
  <conditionalFormatting sqref="D30">
    <cfRule type="expression" dxfId="933" priority="286">
      <formula>S30&gt;0</formula>
    </cfRule>
  </conditionalFormatting>
  <conditionalFormatting sqref="D30">
    <cfRule type="expression" dxfId="932" priority="285">
      <formula>S30&gt;0</formula>
    </cfRule>
  </conditionalFormatting>
  <conditionalFormatting sqref="D30">
    <cfRule type="expression" dxfId="931" priority="284">
      <formula>S30&gt;0</formula>
    </cfRule>
  </conditionalFormatting>
  <conditionalFormatting sqref="D30">
    <cfRule type="expression" dxfId="930" priority="283">
      <formula>S30&gt;0</formula>
    </cfRule>
  </conditionalFormatting>
  <conditionalFormatting sqref="D30">
    <cfRule type="expression" dxfId="929" priority="282">
      <formula>S30&gt;0</formula>
    </cfRule>
  </conditionalFormatting>
  <conditionalFormatting sqref="D30">
    <cfRule type="expression" dxfId="928" priority="281">
      <formula>S30&gt;0</formula>
    </cfRule>
  </conditionalFormatting>
  <conditionalFormatting sqref="D30">
    <cfRule type="expression" dxfId="927" priority="280">
      <formula>S30&gt;0</formula>
    </cfRule>
  </conditionalFormatting>
  <conditionalFormatting sqref="D30">
    <cfRule type="expression" dxfId="926" priority="279">
      <formula>S30&gt;0</formula>
    </cfRule>
  </conditionalFormatting>
  <conditionalFormatting sqref="D30">
    <cfRule type="expression" dxfId="925" priority="278">
      <formula>S30&gt;0</formula>
    </cfRule>
  </conditionalFormatting>
  <conditionalFormatting sqref="D30">
    <cfRule type="expression" dxfId="924" priority="277">
      <formula>S30&gt;0</formula>
    </cfRule>
  </conditionalFormatting>
  <conditionalFormatting sqref="D30">
    <cfRule type="expression" dxfId="923" priority="276">
      <formula>S30&gt;0</formula>
    </cfRule>
  </conditionalFormatting>
  <conditionalFormatting sqref="D30">
    <cfRule type="expression" dxfId="922" priority="275">
      <formula>S30&gt;0</formula>
    </cfRule>
  </conditionalFormatting>
  <conditionalFormatting sqref="D30">
    <cfRule type="expression" dxfId="921" priority="274">
      <formula>S30&gt;0</formula>
    </cfRule>
  </conditionalFormatting>
  <conditionalFormatting sqref="D30">
    <cfRule type="expression" dxfId="920" priority="273">
      <formula>S30&gt;0</formula>
    </cfRule>
  </conditionalFormatting>
  <conditionalFormatting sqref="D30">
    <cfRule type="expression" dxfId="919" priority="272">
      <formula>S30&gt;0</formula>
    </cfRule>
  </conditionalFormatting>
  <conditionalFormatting sqref="D30">
    <cfRule type="expression" dxfId="918" priority="271">
      <formula>S30&gt;0</formula>
    </cfRule>
  </conditionalFormatting>
  <conditionalFormatting sqref="D30">
    <cfRule type="expression" dxfId="917" priority="270">
      <formula>S30&gt;0</formula>
    </cfRule>
  </conditionalFormatting>
  <conditionalFormatting sqref="D30">
    <cfRule type="expression" dxfId="916" priority="269">
      <formula>S30&gt;0</formula>
    </cfRule>
  </conditionalFormatting>
  <conditionalFormatting sqref="D30">
    <cfRule type="expression" dxfId="915" priority="268">
      <formula>S30&gt;0</formula>
    </cfRule>
  </conditionalFormatting>
  <conditionalFormatting sqref="D30">
    <cfRule type="expression" dxfId="914" priority="267">
      <formula>S30&gt;0</formula>
    </cfRule>
  </conditionalFormatting>
  <conditionalFormatting sqref="D30">
    <cfRule type="expression" dxfId="913" priority="266">
      <formula>S30&gt;0</formula>
    </cfRule>
  </conditionalFormatting>
  <conditionalFormatting sqref="D30">
    <cfRule type="expression" dxfId="912" priority="265">
      <formula>S30&gt;0</formula>
    </cfRule>
  </conditionalFormatting>
  <conditionalFormatting sqref="D30">
    <cfRule type="expression" dxfId="911" priority="264">
      <formula>S30&gt;0</formula>
    </cfRule>
  </conditionalFormatting>
  <conditionalFormatting sqref="D30">
    <cfRule type="expression" dxfId="910" priority="263">
      <formula>S30&gt;0</formula>
    </cfRule>
  </conditionalFormatting>
  <conditionalFormatting sqref="D30">
    <cfRule type="expression" dxfId="909" priority="262">
      <formula>S30&gt;0</formula>
    </cfRule>
  </conditionalFormatting>
  <conditionalFormatting sqref="D30">
    <cfRule type="expression" dxfId="908" priority="261">
      <formula>S30&gt;0</formula>
    </cfRule>
  </conditionalFormatting>
  <conditionalFormatting sqref="D30">
    <cfRule type="expression" dxfId="907" priority="260">
      <formula>S30&gt;0</formula>
    </cfRule>
  </conditionalFormatting>
  <conditionalFormatting sqref="D30">
    <cfRule type="expression" dxfId="906" priority="259">
      <formula>S30&gt;0</formula>
    </cfRule>
  </conditionalFormatting>
  <conditionalFormatting sqref="D30">
    <cfRule type="expression" dxfId="905" priority="258">
      <formula>S30&gt;0</formula>
    </cfRule>
  </conditionalFormatting>
  <conditionalFormatting sqref="D30">
    <cfRule type="expression" dxfId="904" priority="257">
      <formula>S30&gt;0</formula>
    </cfRule>
  </conditionalFormatting>
  <conditionalFormatting sqref="D30">
    <cfRule type="expression" dxfId="903" priority="255">
      <formula>S30&gt;0</formula>
    </cfRule>
  </conditionalFormatting>
  <conditionalFormatting sqref="D30">
    <cfRule type="expression" dxfId="902" priority="254">
      <formula>S30&gt;0</formula>
    </cfRule>
  </conditionalFormatting>
  <conditionalFormatting sqref="D30">
    <cfRule type="expression" dxfId="901" priority="253">
      <formula>S30&gt;0</formula>
    </cfRule>
  </conditionalFormatting>
  <conditionalFormatting sqref="D30">
    <cfRule type="expression" dxfId="900" priority="252">
      <formula>S30&gt;0</formula>
    </cfRule>
  </conditionalFormatting>
  <conditionalFormatting sqref="D30">
    <cfRule type="expression" dxfId="899" priority="251">
      <formula>S30&gt;0</formula>
    </cfRule>
  </conditionalFormatting>
  <conditionalFormatting sqref="D30">
    <cfRule type="expression" dxfId="898" priority="250">
      <formula>S30&gt;0</formula>
    </cfRule>
  </conditionalFormatting>
  <conditionalFormatting sqref="D30">
    <cfRule type="expression" dxfId="897" priority="249">
      <formula>S30&gt;0</formula>
    </cfRule>
  </conditionalFormatting>
  <conditionalFormatting sqref="D30">
    <cfRule type="expression" dxfId="896" priority="248">
      <formula>S30&gt;0</formula>
    </cfRule>
  </conditionalFormatting>
  <conditionalFormatting sqref="D30">
    <cfRule type="expression" dxfId="895" priority="247">
      <formula>S30&gt;0</formula>
    </cfRule>
  </conditionalFormatting>
  <conditionalFormatting sqref="D30">
    <cfRule type="expression" dxfId="894" priority="246">
      <formula>S30&gt;0</formula>
    </cfRule>
  </conditionalFormatting>
  <conditionalFormatting sqref="D30">
    <cfRule type="expression" dxfId="893" priority="245">
      <formula>S30&gt;0</formula>
    </cfRule>
  </conditionalFormatting>
  <conditionalFormatting sqref="D30">
    <cfRule type="expression" dxfId="892" priority="244">
      <formula>S30&gt;0</formula>
    </cfRule>
  </conditionalFormatting>
  <conditionalFormatting sqref="D30">
    <cfRule type="expression" dxfId="891" priority="243">
      <formula>S30&gt;0</formula>
    </cfRule>
  </conditionalFormatting>
  <conditionalFormatting sqref="D30">
    <cfRule type="expression" dxfId="890" priority="242">
      <formula>S30&gt;0</formula>
    </cfRule>
  </conditionalFormatting>
  <conditionalFormatting sqref="D30">
    <cfRule type="expression" dxfId="889" priority="241">
      <formula>S30&gt;0</formula>
    </cfRule>
  </conditionalFormatting>
  <conditionalFormatting sqref="D30">
    <cfRule type="expression" dxfId="888" priority="240">
      <formula>S30&gt;0</formula>
    </cfRule>
  </conditionalFormatting>
  <conditionalFormatting sqref="D30">
    <cfRule type="expression" dxfId="887" priority="239">
      <formula>S30&gt;0</formula>
    </cfRule>
  </conditionalFormatting>
  <conditionalFormatting sqref="D30">
    <cfRule type="expression" dxfId="886" priority="238">
      <formula>S30&gt;0</formula>
    </cfRule>
  </conditionalFormatting>
  <conditionalFormatting sqref="D30">
    <cfRule type="expression" dxfId="885" priority="237">
      <formula>S30&gt;0</formula>
    </cfRule>
  </conditionalFormatting>
  <conditionalFormatting sqref="D30">
    <cfRule type="expression" dxfId="884" priority="236">
      <formula>S30&gt;0</formula>
    </cfRule>
  </conditionalFormatting>
  <conditionalFormatting sqref="D30">
    <cfRule type="expression" dxfId="883" priority="235">
      <formula>S30&gt;0</formula>
    </cfRule>
  </conditionalFormatting>
  <conditionalFormatting sqref="D30">
    <cfRule type="expression" dxfId="882" priority="234">
      <formula>S30&gt;0</formula>
    </cfRule>
  </conditionalFormatting>
  <conditionalFormatting sqref="D30">
    <cfRule type="expression" dxfId="881" priority="232">
      <formula>S30&gt;0</formula>
    </cfRule>
  </conditionalFormatting>
  <conditionalFormatting sqref="D30">
    <cfRule type="expression" dxfId="880" priority="231">
      <formula>S30&gt;0</formula>
    </cfRule>
  </conditionalFormatting>
  <conditionalFormatting sqref="D30">
    <cfRule type="expression" dxfId="879" priority="230">
      <formula>S30&gt;0</formula>
    </cfRule>
  </conditionalFormatting>
  <conditionalFormatting sqref="D30">
    <cfRule type="expression" dxfId="878" priority="229">
      <formula>S30&gt;0</formula>
    </cfRule>
  </conditionalFormatting>
  <conditionalFormatting sqref="D30">
    <cfRule type="expression" dxfId="877" priority="228">
      <formula>S30&gt;0</formula>
    </cfRule>
  </conditionalFormatting>
  <conditionalFormatting sqref="D30">
    <cfRule type="expression" dxfId="876" priority="227">
      <formula>S30&gt;0</formula>
    </cfRule>
  </conditionalFormatting>
  <conditionalFormatting sqref="D30">
    <cfRule type="expression" dxfId="875" priority="226">
      <formula>S30&gt;0</formula>
    </cfRule>
  </conditionalFormatting>
  <conditionalFormatting sqref="D30">
    <cfRule type="expression" dxfId="874" priority="225">
      <formula>S30&gt;0</formula>
    </cfRule>
  </conditionalFormatting>
  <conditionalFormatting sqref="D30">
    <cfRule type="expression" dxfId="873" priority="224">
      <formula>S30&gt;0</formula>
    </cfRule>
  </conditionalFormatting>
  <conditionalFormatting sqref="D30">
    <cfRule type="expression" dxfId="872" priority="223">
      <formula>S30&gt;0</formula>
    </cfRule>
  </conditionalFormatting>
  <conditionalFormatting sqref="D30">
    <cfRule type="expression" dxfId="871" priority="222">
      <formula>S30&gt;0</formula>
    </cfRule>
  </conditionalFormatting>
  <conditionalFormatting sqref="D30">
    <cfRule type="expression" dxfId="870" priority="221">
      <formula>S30&gt;0</formula>
    </cfRule>
  </conditionalFormatting>
  <conditionalFormatting sqref="D30">
    <cfRule type="expression" dxfId="869" priority="220">
      <formula>S30&gt;0</formula>
    </cfRule>
  </conditionalFormatting>
  <conditionalFormatting sqref="D30">
    <cfRule type="expression" dxfId="868" priority="219">
      <formula>S30&gt;0</formula>
    </cfRule>
  </conditionalFormatting>
  <conditionalFormatting sqref="D30">
    <cfRule type="expression" dxfId="867" priority="218">
      <formula>S30&gt;0</formula>
    </cfRule>
  </conditionalFormatting>
  <conditionalFormatting sqref="D30">
    <cfRule type="expression" dxfId="866" priority="217">
      <formula>S30&gt;0</formula>
    </cfRule>
  </conditionalFormatting>
  <conditionalFormatting sqref="D30">
    <cfRule type="expression" dxfId="865" priority="216">
      <formula>S30&gt;0</formula>
    </cfRule>
  </conditionalFormatting>
  <conditionalFormatting sqref="D30">
    <cfRule type="expression" dxfId="864" priority="215">
      <formula>S30&gt;0</formula>
    </cfRule>
  </conditionalFormatting>
  <conditionalFormatting sqref="D30">
    <cfRule type="expression" dxfId="863" priority="214">
      <formula>S30&gt;0</formula>
    </cfRule>
  </conditionalFormatting>
  <conditionalFormatting sqref="D30">
    <cfRule type="expression" dxfId="862" priority="213">
      <formula>S30&gt;0</formula>
    </cfRule>
  </conditionalFormatting>
  <conditionalFormatting sqref="D30">
    <cfRule type="expression" dxfId="861" priority="212">
      <formula>S30&gt;0</formula>
    </cfRule>
  </conditionalFormatting>
  <conditionalFormatting sqref="D30">
    <cfRule type="expression" dxfId="860" priority="211">
      <formula>S30&gt;0</formula>
    </cfRule>
  </conditionalFormatting>
  <conditionalFormatting sqref="D30">
    <cfRule type="expression" dxfId="859" priority="210">
      <formula>S30&gt;0</formula>
    </cfRule>
  </conditionalFormatting>
  <conditionalFormatting sqref="D30">
    <cfRule type="expression" dxfId="858" priority="209">
      <formula>S30&gt;0</formula>
    </cfRule>
  </conditionalFormatting>
  <conditionalFormatting sqref="D30">
    <cfRule type="expression" dxfId="857" priority="208">
      <formula>S30&gt;0</formula>
    </cfRule>
  </conditionalFormatting>
  <conditionalFormatting sqref="D30">
    <cfRule type="expression" dxfId="856" priority="207">
      <formula>S30&gt;0</formula>
    </cfRule>
  </conditionalFormatting>
  <conditionalFormatting sqref="D30">
    <cfRule type="expression" dxfId="855" priority="206">
      <formula>S30&gt;0</formula>
    </cfRule>
  </conditionalFormatting>
  <conditionalFormatting sqref="D30">
    <cfRule type="expression" dxfId="854" priority="205">
      <formula>S30&gt;0</formula>
    </cfRule>
  </conditionalFormatting>
  <conditionalFormatting sqref="D30">
    <cfRule type="expression" dxfId="853" priority="204">
      <formula>S30&gt;0</formula>
    </cfRule>
  </conditionalFormatting>
  <conditionalFormatting sqref="D30">
    <cfRule type="expression" dxfId="852" priority="203">
      <formula>S30&gt;0</formula>
    </cfRule>
  </conditionalFormatting>
  <conditionalFormatting sqref="D30">
    <cfRule type="expression" dxfId="851" priority="202">
      <formula>S30&gt;0</formula>
    </cfRule>
  </conditionalFormatting>
  <conditionalFormatting sqref="D30">
    <cfRule type="expression" dxfId="850" priority="201">
      <formula>S30&gt;0</formula>
    </cfRule>
  </conditionalFormatting>
  <conditionalFormatting sqref="D30">
    <cfRule type="expression" dxfId="849" priority="200">
      <formula>S30&gt;0</formula>
    </cfRule>
  </conditionalFormatting>
  <conditionalFormatting sqref="D30">
    <cfRule type="expression" dxfId="848" priority="199">
      <formula>S30&gt;0</formula>
    </cfRule>
  </conditionalFormatting>
  <conditionalFormatting sqref="D30">
    <cfRule type="expression" dxfId="847" priority="198">
      <formula>S30&gt;0</formula>
    </cfRule>
  </conditionalFormatting>
  <conditionalFormatting sqref="D30">
    <cfRule type="expression" dxfId="846" priority="197">
      <formula>S30&gt;0</formula>
    </cfRule>
  </conditionalFormatting>
  <conditionalFormatting sqref="D30">
    <cfRule type="expression" dxfId="845" priority="196">
      <formula>S30&gt;0</formula>
    </cfRule>
  </conditionalFormatting>
  <conditionalFormatting sqref="D30">
    <cfRule type="expression" dxfId="844" priority="195">
      <formula>S30&gt;0</formula>
    </cfRule>
  </conditionalFormatting>
  <conditionalFormatting sqref="D30">
    <cfRule type="expression" dxfId="843" priority="194">
      <formula>S30&gt;0</formula>
    </cfRule>
  </conditionalFormatting>
  <conditionalFormatting sqref="D30">
    <cfRule type="expression" dxfId="842" priority="193">
      <formula>S30&gt;0</formula>
    </cfRule>
  </conditionalFormatting>
  <conditionalFormatting sqref="D30">
    <cfRule type="expression" dxfId="841" priority="192">
      <formula>S30&gt;0</formula>
    </cfRule>
  </conditionalFormatting>
  <conditionalFormatting sqref="D30">
    <cfRule type="expression" dxfId="840" priority="191">
      <formula>S30&gt;0</formula>
    </cfRule>
  </conditionalFormatting>
  <conditionalFormatting sqref="D30">
    <cfRule type="expression" dxfId="839" priority="190">
      <formula>S30&gt;0</formula>
    </cfRule>
  </conditionalFormatting>
  <conditionalFormatting sqref="D30">
    <cfRule type="expression" dxfId="838" priority="189">
      <formula>S30&gt;0</formula>
    </cfRule>
  </conditionalFormatting>
  <conditionalFormatting sqref="D30">
    <cfRule type="expression" dxfId="837" priority="188">
      <formula>S30&gt;0</formula>
    </cfRule>
  </conditionalFormatting>
  <conditionalFormatting sqref="D30">
    <cfRule type="expression" dxfId="836" priority="187">
      <formula>S30&gt;0</formula>
    </cfRule>
  </conditionalFormatting>
  <conditionalFormatting sqref="D30">
    <cfRule type="expression" dxfId="835" priority="186">
      <formula>S30&gt;0</formula>
    </cfRule>
  </conditionalFormatting>
  <conditionalFormatting sqref="D30">
    <cfRule type="expression" dxfId="834" priority="185">
      <formula>S30&gt;0</formula>
    </cfRule>
  </conditionalFormatting>
  <conditionalFormatting sqref="D30">
    <cfRule type="expression" dxfId="833" priority="184">
      <formula>S30&gt;0</formula>
    </cfRule>
  </conditionalFormatting>
  <conditionalFormatting sqref="D30">
    <cfRule type="expression" dxfId="832" priority="183">
      <formula>S30&gt;0</formula>
    </cfRule>
  </conditionalFormatting>
  <conditionalFormatting sqref="D30">
    <cfRule type="expression" dxfId="831" priority="182">
      <formula>S30&gt;0</formula>
    </cfRule>
  </conditionalFormatting>
  <conditionalFormatting sqref="D30">
    <cfRule type="expression" dxfId="830" priority="181">
      <formula>S30&gt;0</formula>
    </cfRule>
  </conditionalFormatting>
  <conditionalFormatting sqref="D30">
    <cfRule type="expression" dxfId="829" priority="180">
      <formula>S30&gt;0</formula>
    </cfRule>
  </conditionalFormatting>
  <conditionalFormatting sqref="D30">
    <cfRule type="expression" dxfId="828" priority="179">
      <formula>S30&gt;0</formula>
    </cfRule>
  </conditionalFormatting>
  <conditionalFormatting sqref="D30">
    <cfRule type="expression" dxfId="827" priority="178">
      <formula>S30&gt;0</formula>
    </cfRule>
  </conditionalFormatting>
  <conditionalFormatting sqref="D30">
    <cfRule type="expression" dxfId="826" priority="177">
      <formula>S30&gt;0</formula>
    </cfRule>
  </conditionalFormatting>
  <conditionalFormatting sqref="D30">
    <cfRule type="expression" dxfId="825" priority="176">
      <formula>S30&gt;0</formula>
    </cfRule>
  </conditionalFormatting>
  <conditionalFormatting sqref="D30">
    <cfRule type="expression" dxfId="824" priority="175">
      <formula>S30&gt;0</formula>
    </cfRule>
  </conditionalFormatting>
  <conditionalFormatting sqref="D30">
    <cfRule type="expression" dxfId="823" priority="174">
      <formula>S30&gt;0</formula>
    </cfRule>
  </conditionalFormatting>
  <conditionalFormatting sqref="D30">
    <cfRule type="expression" dxfId="822" priority="173">
      <formula>S30&gt;0</formula>
    </cfRule>
  </conditionalFormatting>
  <conditionalFormatting sqref="D30">
    <cfRule type="expression" dxfId="821" priority="172">
      <formula>S30&gt;0</formula>
    </cfRule>
  </conditionalFormatting>
  <conditionalFormatting sqref="D30">
    <cfRule type="expression" dxfId="820" priority="171">
      <formula>S30&gt;0</formula>
    </cfRule>
  </conditionalFormatting>
  <conditionalFormatting sqref="D30">
    <cfRule type="expression" dxfId="819" priority="170">
      <formula>S30&gt;0</formula>
    </cfRule>
  </conditionalFormatting>
  <conditionalFormatting sqref="D30">
    <cfRule type="expression" dxfId="818" priority="169">
      <formula>S30&gt;0</formula>
    </cfRule>
  </conditionalFormatting>
  <conditionalFormatting sqref="D30">
    <cfRule type="expression" dxfId="817" priority="168">
      <formula>S30&gt;0</formula>
    </cfRule>
  </conditionalFormatting>
  <conditionalFormatting sqref="D30">
    <cfRule type="expression" dxfId="816" priority="167">
      <formula>S30&gt;0</formula>
    </cfRule>
  </conditionalFormatting>
  <conditionalFormatting sqref="D30">
    <cfRule type="expression" dxfId="815" priority="166">
      <formula>S30&gt;0</formula>
    </cfRule>
  </conditionalFormatting>
  <conditionalFormatting sqref="D30">
    <cfRule type="expression" dxfId="814" priority="165">
      <formula>S30&gt;0</formula>
    </cfRule>
  </conditionalFormatting>
  <conditionalFormatting sqref="D30">
    <cfRule type="expression" dxfId="813" priority="164">
      <formula>S30&gt;0</formula>
    </cfRule>
  </conditionalFormatting>
  <conditionalFormatting sqref="G7">
    <cfRule type="expression" dxfId="812" priority="100">
      <formula>V7&gt;0</formula>
    </cfRule>
  </conditionalFormatting>
  <conditionalFormatting sqref="G7">
    <cfRule type="expression" dxfId="811" priority="99">
      <formula>V7&gt;0</formula>
    </cfRule>
  </conditionalFormatting>
  <conditionalFormatting sqref="G7">
    <cfRule type="expression" dxfId="810" priority="98">
      <formula>V7&gt;0</formula>
    </cfRule>
  </conditionalFormatting>
  <conditionalFormatting sqref="G7">
    <cfRule type="expression" dxfId="809" priority="97">
      <formula>V7&gt;0</formula>
    </cfRule>
  </conditionalFormatting>
  <conditionalFormatting sqref="G7">
    <cfRule type="expression" dxfId="808" priority="96">
      <formula>V7&gt;0</formula>
    </cfRule>
  </conditionalFormatting>
  <conditionalFormatting sqref="G7">
    <cfRule type="expression" dxfId="807" priority="95">
      <formula>V7&gt;0</formula>
    </cfRule>
  </conditionalFormatting>
  <conditionalFormatting sqref="G7">
    <cfRule type="expression" dxfId="806" priority="94">
      <formula>V7&gt;0</formula>
    </cfRule>
  </conditionalFormatting>
  <conditionalFormatting sqref="G7">
    <cfRule type="expression" dxfId="805" priority="93">
      <formula>V7&gt;0</formula>
    </cfRule>
  </conditionalFormatting>
  <conditionalFormatting sqref="G7">
    <cfRule type="expression" dxfId="804" priority="92">
      <formula>V7&gt;0</formula>
    </cfRule>
  </conditionalFormatting>
  <conditionalFormatting sqref="G7">
    <cfRule type="expression" dxfId="803" priority="91">
      <formula>V7&gt;0</formula>
    </cfRule>
  </conditionalFormatting>
  <conditionalFormatting sqref="G7">
    <cfRule type="expression" dxfId="802" priority="90">
      <formula>V7&gt;0</formula>
    </cfRule>
  </conditionalFormatting>
  <conditionalFormatting sqref="G7">
    <cfRule type="expression" dxfId="801" priority="89">
      <formula>V7&gt;0</formula>
    </cfRule>
  </conditionalFormatting>
  <conditionalFormatting sqref="G7">
    <cfRule type="expression" dxfId="800" priority="88">
      <formula>V7&gt;0</formula>
    </cfRule>
  </conditionalFormatting>
  <conditionalFormatting sqref="G7">
    <cfRule type="expression" dxfId="799" priority="87">
      <formula>V7&gt;0</formula>
    </cfRule>
  </conditionalFormatting>
  <conditionalFormatting sqref="G7">
    <cfRule type="expression" dxfId="798" priority="86">
      <formula>V7&gt;0</formula>
    </cfRule>
  </conditionalFormatting>
  <conditionalFormatting sqref="G7">
    <cfRule type="expression" dxfId="797" priority="85">
      <formula>V7&gt;0</formula>
    </cfRule>
  </conditionalFormatting>
  <conditionalFormatting sqref="G7">
    <cfRule type="expression" dxfId="796" priority="84">
      <formula>V7&gt;0</formula>
    </cfRule>
  </conditionalFormatting>
  <conditionalFormatting sqref="G7">
    <cfRule type="expression" dxfId="795" priority="83">
      <formula>V7&gt;0</formula>
    </cfRule>
  </conditionalFormatting>
  <conditionalFormatting sqref="G7">
    <cfRule type="expression" dxfId="794" priority="82">
      <formula>V7&gt;0</formula>
    </cfRule>
  </conditionalFormatting>
  <conditionalFormatting sqref="G7">
    <cfRule type="expression" dxfId="793" priority="81">
      <formula>V7&gt;0</formula>
    </cfRule>
  </conditionalFormatting>
  <conditionalFormatting sqref="G7">
    <cfRule type="expression" dxfId="792" priority="80">
      <formula>V7&gt;0</formula>
    </cfRule>
  </conditionalFormatting>
  <conditionalFormatting sqref="G7">
    <cfRule type="expression" dxfId="791" priority="79">
      <formula>V7&gt;0</formula>
    </cfRule>
  </conditionalFormatting>
  <conditionalFormatting sqref="G7">
    <cfRule type="expression" dxfId="790" priority="78">
      <formula>V7&gt;0</formula>
    </cfRule>
  </conditionalFormatting>
  <conditionalFormatting sqref="G7">
    <cfRule type="expression" dxfId="789" priority="77">
      <formula>V7&gt;0</formula>
    </cfRule>
  </conditionalFormatting>
  <conditionalFormatting sqref="G7">
    <cfRule type="expression" dxfId="788" priority="76">
      <formula>V7&gt;0</formula>
    </cfRule>
  </conditionalFormatting>
  <conditionalFormatting sqref="G7">
    <cfRule type="expression" dxfId="787" priority="75">
      <formula>V7&gt;0</formula>
    </cfRule>
  </conditionalFormatting>
  <conditionalFormatting sqref="G7">
    <cfRule type="expression" dxfId="786" priority="74">
      <formula>V7&gt;0</formula>
    </cfRule>
  </conditionalFormatting>
  <conditionalFormatting sqref="G7">
    <cfRule type="expression" dxfId="785" priority="73">
      <formula>V7&gt;0</formula>
    </cfRule>
  </conditionalFormatting>
  <conditionalFormatting sqref="G7">
    <cfRule type="expression" dxfId="784" priority="72">
      <formula>V7&gt;0</formula>
    </cfRule>
  </conditionalFormatting>
  <conditionalFormatting sqref="G7">
    <cfRule type="expression" dxfId="783" priority="71">
      <formula>V7&gt;0</formula>
    </cfRule>
  </conditionalFormatting>
  <conditionalFormatting sqref="G7">
    <cfRule type="expression" dxfId="782" priority="70">
      <formula>V7&gt;0</formula>
    </cfRule>
  </conditionalFormatting>
  <conditionalFormatting sqref="G7">
    <cfRule type="expression" dxfId="781" priority="69">
      <formula>V7&gt;0</formula>
    </cfRule>
  </conditionalFormatting>
  <conditionalFormatting sqref="G7">
    <cfRule type="expression" dxfId="780" priority="68">
      <formula>V7&gt;0</formula>
    </cfRule>
  </conditionalFormatting>
  <conditionalFormatting sqref="G7">
    <cfRule type="expression" dxfId="779" priority="67">
      <formula>V7&gt;0</formula>
    </cfRule>
  </conditionalFormatting>
  <conditionalFormatting sqref="G7">
    <cfRule type="expression" dxfId="778" priority="66">
      <formula>V7&gt;0</formula>
    </cfRule>
  </conditionalFormatting>
  <conditionalFormatting sqref="G7">
    <cfRule type="expression" dxfId="777" priority="65">
      <formula>V7&gt;0</formula>
    </cfRule>
  </conditionalFormatting>
  <conditionalFormatting sqref="G7">
    <cfRule type="expression" dxfId="776" priority="64">
      <formula>V7&gt;0</formula>
    </cfRule>
  </conditionalFormatting>
  <conditionalFormatting sqref="G7">
    <cfRule type="expression" dxfId="775" priority="63">
      <formula>V7&gt;0</formula>
    </cfRule>
  </conditionalFormatting>
  <conditionalFormatting sqref="G7">
    <cfRule type="expression" dxfId="774" priority="62">
      <formula>V7&gt;0</formula>
    </cfRule>
  </conditionalFormatting>
  <conditionalFormatting sqref="G7">
    <cfRule type="expression" dxfId="773" priority="61">
      <formula>V7&gt;0</formula>
    </cfRule>
  </conditionalFormatting>
  <conditionalFormatting sqref="G7">
    <cfRule type="expression" dxfId="772" priority="60">
      <formula>V7&gt;0</formula>
    </cfRule>
  </conditionalFormatting>
  <conditionalFormatting sqref="G7">
    <cfRule type="expression" dxfId="771" priority="59">
      <formula>V7&gt;0</formula>
    </cfRule>
  </conditionalFormatting>
  <conditionalFormatting sqref="G7">
    <cfRule type="expression" dxfId="770" priority="58">
      <formula>V7&gt;0</formula>
    </cfRule>
  </conditionalFormatting>
  <conditionalFormatting sqref="G7">
    <cfRule type="expression" dxfId="769" priority="57">
      <formula>V7&gt;0</formula>
    </cfRule>
  </conditionalFormatting>
  <conditionalFormatting sqref="G7">
    <cfRule type="expression" dxfId="768" priority="56">
      <formula>V7&gt;0</formula>
    </cfRule>
  </conditionalFormatting>
  <conditionalFormatting sqref="G7">
    <cfRule type="expression" dxfId="767" priority="55">
      <formula>V7&gt;0</formula>
    </cfRule>
  </conditionalFormatting>
  <conditionalFormatting sqref="G7">
    <cfRule type="expression" dxfId="766" priority="54">
      <formula>V7&gt;0</formula>
    </cfRule>
  </conditionalFormatting>
  <conditionalFormatting sqref="G7">
    <cfRule type="expression" dxfId="765" priority="53">
      <formula>V7&gt;0</formula>
    </cfRule>
  </conditionalFormatting>
  <conditionalFormatting sqref="G7">
    <cfRule type="expression" dxfId="764" priority="52">
      <formula>V7&gt;0</formula>
    </cfRule>
  </conditionalFormatting>
  <conditionalFormatting sqref="G7">
    <cfRule type="expression" dxfId="763" priority="51">
      <formula>V7&gt;0</formula>
    </cfRule>
  </conditionalFormatting>
  <conditionalFormatting sqref="G7">
    <cfRule type="expression" dxfId="762" priority="50">
      <formula>V7&gt;0</formula>
    </cfRule>
  </conditionalFormatting>
  <conditionalFormatting sqref="G7">
    <cfRule type="expression" dxfId="761" priority="49">
      <formula>V7&gt;0</formula>
    </cfRule>
  </conditionalFormatting>
  <conditionalFormatting sqref="G7">
    <cfRule type="expression" dxfId="760" priority="48">
      <formula>V7&gt;0</formula>
    </cfRule>
  </conditionalFormatting>
  <conditionalFormatting sqref="G7">
    <cfRule type="expression" dxfId="759" priority="46">
      <formula>V7&gt;0</formula>
    </cfRule>
  </conditionalFormatting>
  <conditionalFormatting sqref="G7">
    <cfRule type="expression" dxfId="758" priority="45">
      <formula>V7&gt;0</formula>
    </cfRule>
  </conditionalFormatting>
  <conditionalFormatting sqref="G7">
    <cfRule type="expression" dxfId="757" priority="44">
      <formula>V7&gt;0</formula>
    </cfRule>
  </conditionalFormatting>
  <conditionalFormatting sqref="G7">
    <cfRule type="expression" dxfId="756" priority="43">
      <formula>V7&gt;0</formula>
    </cfRule>
  </conditionalFormatting>
  <conditionalFormatting sqref="G7">
    <cfRule type="expression" dxfId="755" priority="42">
      <formula>V7&gt;0</formula>
    </cfRule>
  </conditionalFormatting>
  <conditionalFormatting sqref="G7">
    <cfRule type="expression" dxfId="754" priority="41">
      <formula>V7&gt;0</formula>
    </cfRule>
  </conditionalFormatting>
  <conditionalFormatting sqref="G7">
    <cfRule type="expression" dxfId="753" priority="40">
      <formula>V7&gt;0</formula>
    </cfRule>
  </conditionalFormatting>
  <conditionalFormatting sqref="G7">
    <cfRule type="expression" dxfId="752" priority="38">
      <formula>V7&gt;0</formula>
    </cfRule>
  </conditionalFormatting>
  <conditionalFormatting sqref="G7">
    <cfRule type="expression" dxfId="751" priority="37">
      <formula>V7&gt;0</formula>
    </cfRule>
  </conditionalFormatting>
  <conditionalFormatting sqref="G7">
    <cfRule type="expression" dxfId="750" priority="36">
      <formula>V7&gt;0</formula>
    </cfRule>
  </conditionalFormatting>
  <conditionalFormatting sqref="G7">
    <cfRule type="expression" dxfId="749" priority="35">
      <formula>V7&gt;0</formula>
    </cfRule>
  </conditionalFormatting>
  <conditionalFormatting sqref="G7">
    <cfRule type="expression" dxfId="748" priority="34">
      <formula>V7&gt;0</formula>
    </cfRule>
  </conditionalFormatting>
  <conditionalFormatting sqref="G7">
    <cfRule type="expression" dxfId="747" priority="32">
      <formula>V7&gt;0</formula>
    </cfRule>
  </conditionalFormatting>
  <conditionalFormatting sqref="G7">
    <cfRule type="expression" dxfId="746" priority="31">
      <formula>V7&gt;0</formula>
    </cfRule>
  </conditionalFormatting>
  <conditionalFormatting sqref="G7">
    <cfRule type="expression" dxfId="745" priority="30">
      <formula>V7&gt;0</formula>
    </cfRule>
  </conditionalFormatting>
  <conditionalFormatting sqref="G7">
    <cfRule type="expression" dxfId="744" priority="29">
      <formula>V7&gt;0</formula>
    </cfRule>
  </conditionalFormatting>
  <conditionalFormatting sqref="G7">
    <cfRule type="expression" dxfId="743" priority="28">
      <formula>V7&gt;0</formula>
    </cfRule>
  </conditionalFormatting>
  <conditionalFormatting sqref="G7">
    <cfRule type="expression" dxfId="742" priority="27">
      <formula>V7&gt;0</formula>
    </cfRule>
  </conditionalFormatting>
  <conditionalFormatting sqref="G7">
    <cfRule type="expression" dxfId="741" priority="26">
      <formula>V7&gt;0</formula>
    </cfRule>
  </conditionalFormatting>
  <conditionalFormatting sqref="G7">
    <cfRule type="expression" dxfId="740" priority="25">
      <formula>V7&gt;0</formula>
    </cfRule>
  </conditionalFormatting>
  <conditionalFormatting sqref="G7">
    <cfRule type="expression" dxfId="739" priority="24">
      <formula>V7&gt;0</formula>
    </cfRule>
  </conditionalFormatting>
  <conditionalFormatting sqref="G7">
    <cfRule type="expression" dxfId="738" priority="23">
      <formula>V7&gt;0</formula>
    </cfRule>
  </conditionalFormatting>
  <conditionalFormatting sqref="G7">
    <cfRule type="expression" dxfId="737" priority="22">
      <formula>V7&gt;0</formula>
    </cfRule>
  </conditionalFormatting>
  <conditionalFormatting sqref="G7">
    <cfRule type="expression" dxfId="736" priority="21">
      <formula>V7&gt;0</formula>
    </cfRule>
  </conditionalFormatting>
  <conditionalFormatting sqref="G7">
    <cfRule type="expression" dxfId="735" priority="20">
      <formula>V7&gt;0</formula>
    </cfRule>
  </conditionalFormatting>
  <conditionalFormatting sqref="G7">
    <cfRule type="expression" dxfId="734" priority="19">
      <formula>V7&gt;0</formula>
    </cfRule>
  </conditionalFormatting>
  <conditionalFormatting sqref="G7">
    <cfRule type="expression" dxfId="733" priority="18">
      <formula>V7&gt;0</formula>
    </cfRule>
  </conditionalFormatting>
  <conditionalFormatting sqref="G7">
    <cfRule type="expression" dxfId="732" priority="17">
      <formula>V7&gt;0</formula>
    </cfRule>
  </conditionalFormatting>
  <conditionalFormatting sqref="G7">
    <cfRule type="expression" dxfId="731" priority="16">
      <formula>V7&gt;0</formula>
    </cfRule>
  </conditionalFormatting>
  <conditionalFormatting sqref="G7">
    <cfRule type="expression" dxfId="730" priority="11">
      <formula>V7&gt;0</formula>
    </cfRule>
  </conditionalFormatting>
  <conditionalFormatting sqref="G7">
    <cfRule type="expression" dxfId="729" priority="10">
      <formula>V7&gt;0</formula>
    </cfRule>
  </conditionalFormatting>
  <conditionalFormatting sqref="G7">
    <cfRule type="expression" dxfId="728" priority="9">
      <formula>V7&gt;0</formula>
    </cfRule>
  </conditionalFormatting>
  <conditionalFormatting sqref="G7">
    <cfRule type="expression" dxfId="727" priority="7">
      <formula>V7&gt;0</formula>
    </cfRule>
  </conditionalFormatting>
  <conditionalFormatting sqref="G7">
    <cfRule type="expression" dxfId="726" priority="6">
      <formula>V7&gt;0</formula>
    </cfRule>
  </conditionalFormatting>
  <conditionalFormatting sqref="G7">
    <cfRule type="expression" dxfId="725" priority="4">
      <formula>V7&gt;0</formula>
    </cfRule>
  </conditionalFormatting>
  <conditionalFormatting sqref="G7">
    <cfRule type="expression" dxfId="724" priority="3">
      <formula>V7&gt;0</formula>
    </cfRule>
  </conditionalFormatting>
  <conditionalFormatting sqref="G7">
    <cfRule type="expression" dxfId="723" priority="2">
      <formula>V7&gt;0</formula>
    </cfRule>
  </conditionalFormatting>
  <conditionalFormatting sqref="G7">
    <cfRule type="expression" dxfId="722" priority="1">
      <formula>V7&gt;0</formula>
    </cfRule>
  </conditionalFormatting>
  <dataValidations count="1">
    <dataValidation type="list" allowBlank="1" showInputMessage="1" showErrorMessage="1" sqref="E9">
      <formula1>Cust</formula1>
    </dataValidation>
  </dataValidations>
  <pageMargins left="0.75" right="0.75" top="1" bottom="1" header="0.5" footer="0.5"/>
  <pageSetup paperSize="9" orientation="portrait" r:id="rId4"/>
  <headerFooter alignWithMargins="0"/>
  <legacyDrawing r:id="rId5"/>
</worksheet>
</file>

<file path=xl/worksheets/sheet3.xml><?xml version="1.0" encoding="utf-8"?>
<worksheet xmlns="http://schemas.openxmlformats.org/spreadsheetml/2006/main" xmlns:r="http://schemas.openxmlformats.org/officeDocument/2006/relationships">
  <sheetPr codeName="Sheet18">
    <pageSetUpPr fitToPage="1"/>
  </sheetPr>
  <dimension ref="A1:Y2000"/>
  <sheetViews>
    <sheetView workbookViewId="0">
      <pane ySplit="24" topLeftCell="A25" activePane="bottomLeft" state="frozen"/>
      <selection activeCell="B1" sqref="B1"/>
      <selection pane="bottomLeft" activeCell="A403" sqref="A403:E403"/>
    </sheetView>
  </sheetViews>
  <sheetFormatPr defaultColWidth="9.453125" defaultRowHeight="23"/>
  <cols>
    <col min="1" max="1" width="7" style="54" hidden="1" customWidth="1"/>
    <col min="2" max="2" width="4.54296875" style="54" customWidth="1"/>
    <col min="3" max="4" width="30.54296875" style="56" customWidth="1"/>
    <col min="5" max="5" width="87.453125" style="43" customWidth="1"/>
    <col min="6" max="6" width="4.54296875" style="43" customWidth="1"/>
    <col min="7" max="16384" width="9.453125" style="43"/>
  </cols>
  <sheetData>
    <row r="1" spans="1:9" ht="45.5">
      <c r="A1" s="35"/>
      <c r="B1" s="46"/>
      <c r="C1" s="80" t="s">
        <v>101</v>
      </c>
      <c r="D1" s="77"/>
      <c r="E1" s="78"/>
      <c r="F1" s="40"/>
      <c r="I1" s="44"/>
    </row>
    <row r="2" spans="1:9" ht="6" customHeight="1">
      <c r="A2" s="45"/>
      <c r="B2" s="46"/>
      <c r="C2" s="81"/>
      <c r="D2" s="82"/>
      <c r="E2" s="83"/>
      <c r="F2" s="40"/>
      <c r="I2" s="44"/>
    </row>
    <row r="3" spans="1:9" ht="23.5" thickBot="1">
      <c r="A3" s="50"/>
      <c r="B3" s="76" t="s">
        <v>94</v>
      </c>
      <c r="C3" s="84" t="s">
        <v>58</v>
      </c>
      <c r="D3" s="85" t="s">
        <v>57</v>
      </c>
      <c r="E3" s="79"/>
      <c r="F3" s="40"/>
    </row>
    <row r="4" spans="1:9" ht="6" customHeight="1">
      <c r="B4" s="55"/>
      <c r="F4" s="40"/>
    </row>
    <row r="5" spans="1:9" ht="32.5">
      <c r="B5" s="55">
        <v>1</v>
      </c>
      <c r="C5" s="57" t="s">
        <v>56</v>
      </c>
      <c r="D5" s="57">
        <f>COUNTIF(A25:A301,"&lt;0")</f>
        <v>101</v>
      </c>
      <c r="E5" s="75"/>
      <c r="F5" s="40"/>
    </row>
    <row r="6" spans="1:9">
      <c r="B6" s="55">
        <v>2</v>
      </c>
      <c r="C6" s="59" t="s">
        <v>55</v>
      </c>
      <c r="D6" s="59">
        <f>COUNTIF(A25:A301,"=0")</f>
        <v>38</v>
      </c>
      <c r="F6" s="40"/>
    </row>
    <row r="7" spans="1:9">
      <c r="B7" s="55">
        <v>3</v>
      </c>
      <c r="C7" s="60" t="s">
        <v>54</v>
      </c>
      <c r="D7" s="61">
        <f>COUNTIFS(A25:A301,"&gt;0",A25:A301,"&lt;5")</f>
        <v>42</v>
      </c>
      <c r="F7" s="40"/>
    </row>
    <row r="8" spans="1:9">
      <c r="B8" s="55">
        <v>4</v>
      </c>
      <c r="C8" s="62" t="s">
        <v>53</v>
      </c>
      <c r="D8" s="63">
        <f>COUNTIFS(A25:A301,"&gt;4",A25:A301,"&lt;1000")</f>
        <v>94</v>
      </c>
      <c r="F8" s="40"/>
    </row>
    <row r="9" spans="1:9">
      <c r="B9" s="55"/>
      <c r="C9" s="56" t="s">
        <v>95</v>
      </c>
      <c r="D9" s="56">
        <f>SUM(D5:D8)</f>
        <v>275</v>
      </c>
      <c r="F9" s="40"/>
    </row>
    <row r="10" spans="1:9">
      <c r="B10" s="55"/>
      <c r="C10" s="64" t="s">
        <v>96</v>
      </c>
      <c r="F10" s="40"/>
    </row>
    <row r="11" spans="1:9">
      <c r="B11" s="55"/>
      <c r="C11" s="65" t="s">
        <v>97</v>
      </c>
      <c r="D11" s="66">
        <f>D5/D9</f>
        <v>0.36727272727272725</v>
      </c>
      <c r="F11" s="40"/>
    </row>
    <row r="12" spans="1:9">
      <c r="B12" s="55"/>
      <c r="C12" s="65" t="s">
        <v>98</v>
      </c>
      <c r="D12" s="67">
        <f>D6/D9</f>
        <v>0.13818181818181818</v>
      </c>
      <c r="F12" s="40"/>
    </row>
    <row r="13" spans="1:9">
      <c r="B13" s="55"/>
      <c r="C13" s="65" t="s">
        <v>99</v>
      </c>
      <c r="D13" s="68">
        <f>D7/D9</f>
        <v>0.15272727272727274</v>
      </c>
      <c r="F13" s="40"/>
    </row>
    <row r="14" spans="1:9">
      <c r="B14" s="55"/>
      <c r="C14" s="65" t="s">
        <v>100</v>
      </c>
      <c r="D14" s="69">
        <f>D8/D9</f>
        <v>0.3418181818181818</v>
      </c>
      <c r="F14" s="40"/>
    </row>
    <row r="15" spans="1:9">
      <c r="B15" s="55"/>
      <c r="F15" s="40"/>
    </row>
    <row r="16" spans="1:9">
      <c r="B16" s="55"/>
      <c r="C16" s="73"/>
      <c r="D16" s="74"/>
      <c r="F16" s="40"/>
    </row>
    <row r="17" spans="1:25" ht="25.5" customHeight="1">
      <c r="B17" s="55"/>
      <c r="C17" s="73"/>
      <c r="D17" s="74"/>
      <c r="F17" s="40"/>
    </row>
    <row r="18" spans="1:25" ht="25.5" customHeight="1">
      <c r="B18" s="55"/>
      <c r="C18" s="43"/>
      <c r="D18" s="43"/>
      <c r="F18" s="40"/>
    </row>
    <row r="19" spans="1:25" ht="25.5" customHeight="1">
      <c r="B19" s="55"/>
      <c r="C19" s="43"/>
      <c r="D19" s="43"/>
      <c r="F19" s="40"/>
    </row>
    <row r="20" spans="1:25" ht="25.5" customHeight="1">
      <c r="B20" s="55"/>
      <c r="C20" s="43"/>
      <c r="D20" s="43"/>
      <c r="F20" s="40"/>
    </row>
    <row r="21" spans="1:25" ht="25.5" customHeight="1">
      <c r="B21" s="55"/>
      <c r="C21" s="43"/>
      <c r="D21" s="43"/>
      <c r="F21" s="40"/>
    </row>
    <row r="22" spans="1:25" ht="25.5" customHeight="1">
      <c r="B22" s="55"/>
      <c r="C22" s="43"/>
      <c r="D22" s="43"/>
      <c r="F22" s="40"/>
    </row>
    <row r="23" spans="1:25" ht="25.5" customHeight="1">
      <c r="B23" s="55"/>
      <c r="C23" s="43"/>
      <c r="D23" s="43"/>
      <c r="F23" s="40"/>
    </row>
    <row r="24" spans="1:25" ht="25.5" customHeight="1">
      <c r="B24" s="55"/>
      <c r="C24" s="40"/>
      <c r="D24" s="40"/>
      <c r="E24" s="40"/>
      <c r="F24" s="40"/>
    </row>
    <row r="25" spans="1:25" ht="25.5" hidden="1" customHeight="1">
      <c r="A25" s="54">
        <v>26</v>
      </c>
      <c r="C25" s="43"/>
      <c r="D25" s="43"/>
    </row>
    <row r="26" spans="1:25" ht="25.5" hidden="1" customHeight="1">
      <c r="A26" s="70">
        <v>25</v>
      </c>
      <c r="B26" s="70"/>
      <c r="C26" s="71"/>
      <c r="D26" s="71"/>
      <c r="E26" s="71"/>
      <c r="F26" s="71"/>
      <c r="U26" s="72" t="str">
        <f t="shared" ref="U26:U55" si="0">IF(SUM(T26)&gt;0,SUM(T26-S26),"")</f>
        <v/>
      </c>
      <c r="V26" s="71"/>
      <c r="W26" s="71"/>
      <c r="X26" s="71"/>
      <c r="Y26" s="71"/>
    </row>
    <row r="27" spans="1:25" ht="13.5" hidden="1">
      <c r="A27" s="70">
        <v>21</v>
      </c>
      <c r="B27" s="70"/>
      <c r="C27" s="71"/>
      <c r="D27" s="71"/>
      <c r="E27" s="71"/>
      <c r="F27" s="71"/>
      <c r="U27" s="72" t="str">
        <f t="shared" si="0"/>
        <v/>
      </c>
      <c r="V27" s="71"/>
      <c r="W27" s="71"/>
      <c r="X27" s="71"/>
      <c r="Y27" s="71"/>
    </row>
    <row r="28" spans="1:25" ht="13.5" hidden="1">
      <c r="A28" s="70">
        <v>21</v>
      </c>
      <c r="B28" s="70"/>
      <c r="C28" s="71"/>
      <c r="D28" s="71"/>
      <c r="E28" s="71"/>
      <c r="F28" s="71"/>
      <c r="U28" s="72" t="str">
        <f t="shared" si="0"/>
        <v/>
      </c>
      <c r="V28" s="71"/>
      <c r="W28" s="71"/>
      <c r="X28" s="71"/>
      <c r="Y28" s="71"/>
    </row>
    <row r="29" spans="1:25" ht="13.5" hidden="1">
      <c r="A29" s="70">
        <v>21</v>
      </c>
      <c r="B29" s="70"/>
      <c r="C29" s="71"/>
      <c r="D29" s="71"/>
      <c r="E29" s="71"/>
      <c r="F29" s="71"/>
      <c r="U29" s="72" t="str">
        <f t="shared" si="0"/>
        <v/>
      </c>
      <c r="V29" s="71"/>
      <c r="W29" s="71"/>
      <c r="X29" s="71"/>
      <c r="Y29" s="71"/>
    </row>
    <row r="30" spans="1:25" ht="13.5" hidden="1">
      <c r="A30" s="70">
        <v>21</v>
      </c>
      <c r="B30" s="70"/>
      <c r="C30" s="71"/>
      <c r="D30" s="71"/>
      <c r="E30" s="71"/>
      <c r="F30" s="71"/>
      <c r="U30" s="72" t="str">
        <f t="shared" si="0"/>
        <v/>
      </c>
      <c r="V30" s="71"/>
      <c r="W30" s="71"/>
      <c r="X30" s="71"/>
      <c r="Y30" s="71"/>
    </row>
    <row r="31" spans="1:25" ht="13.5" hidden="1">
      <c r="A31" s="70">
        <v>21</v>
      </c>
      <c r="B31" s="70"/>
      <c r="C31" s="71"/>
      <c r="D31" s="71"/>
      <c r="E31" s="71"/>
      <c r="F31" s="71"/>
      <c r="U31" s="72" t="str">
        <f t="shared" si="0"/>
        <v/>
      </c>
      <c r="V31" s="71"/>
      <c r="W31" s="71"/>
      <c r="X31" s="71"/>
      <c r="Y31" s="71"/>
    </row>
    <row r="32" spans="1:25" ht="13.5" hidden="1">
      <c r="A32" s="70">
        <v>26</v>
      </c>
      <c r="B32" s="70"/>
      <c r="C32" s="71"/>
      <c r="D32" s="71"/>
      <c r="E32" s="71"/>
      <c r="F32" s="71"/>
      <c r="U32" s="72" t="str">
        <f t="shared" si="0"/>
        <v/>
      </c>
      <c r="V32" s="71"/>
      <c r="W32" s="71"/>
      <c r="X32" s="71"/>
      <c r="Y32" s="71"/>
    </row>
    <row r="33" spans="1:25" ht="13.5" hidden="1">
      <c r="A33" s="70">
        <v>-5</v>
      </c>
      <c r="B33" s="70"/>
      <c r="C33" s="71"/>
      <c r="D33" s="71"/>
      <c r="E33" s="71"/>
      <c r="F33" s="71"/>
      <c r="U33" s="72" t="str">
        <f t="shared" si="0"/>
        <v/>
      </c>
      <c r="V33" s="71"/>
      <c r="W33" s="71"/>
      <c r="X33" s="71"/>
      <c r="Y33" s="71"/>
    </row>
    <row r="34" spans="1:25" ht="13.5" hidden="1">
      <c r="A34" s="70">
        <v>18</v>
      </c>
      <c r="B34" s="70"/>
      <c r="C34" s="71"/>
      <c r="D34" s="71"/>
      <c r="E34" s="71"/>
      <c r="F34" s="71"/>
      <c r="U34" s="72" t="str">
        <f t="shared" si="0"/>
        <v/>
      </c>
      <c r="V34" s="71"/>
      <c r="W34" s="71"/>
      <c r="X34" s="71"/>
      <c r="Y34" s="71"/>
    </row>
    <row r="35" spans="1:25" ht="13.5" hidden="1">
      <c r="A35" s="70">
        <v>-3</v>
      </c>
      <c r="B35" s="70"/>
      <c r="C35" s="71"/>
      <c r="D35" s="71"/>
      <c r="E35" s="71"/>
      <c r="F35" s="71"/>
      <c r="U35" s="72" t="str">
        <f t="shared" si="0"/>
        <v/>
      </c>
      <c r="V35" s="71"/>
      <c r="W35" s="71"/>
      <c r="X35" s="71"/>
      <c r="Y35" s="71"/>
    </row>
    <row r="36" spans="1:25" ht="13.5" hidden="1">
      <c r="A36" s="70">
        <v>-18</v>
      </c>
      <c r="B36" s="70"/>
      <c r="C36" s="71"/>
      <c r="D36" s="71"/>
      <c r="E36" s="71"/>
      <c r="F36" s="71"/>
      <c r="U36" s="72" t="str">
        <f t="shared" si="0"/>
        <v/>
      </c>
      <c r="V36" s="71"/>
      <c r="W36" s="71"/>
      <c r="X36" s="71"/>
      <c r="Y36" s="71"/>
    </row>
    <row r="37" spans="1:25" ht="13.5" hidden="1">
      <c r="A37" s="70">
        <v>11</v>
      </c>
      <c r="B37" s="70"/>
      <c r="C37" s="71"/>
      <c r="D37" s="71"/>
      <c r="E37" s="71"/>
      <c r="F37" s="71"/>
      <c r="U37" s="72" t="str">
        <f t="shared" si="0"/>
        <v/>
      </c>
      <c r="V37" s="71"/>
      <c r="W37" s="71"/>
      <c r="X37" s="71"/>
      <c r="Y37" s="71"/>
    </row>
    <row r="38" spans="1:25" ht="13.5" hidden="1">
      <c r="A38" s="70">
        <v>-25</v>
      </c>
      <c r="B38" s="70"/>
      <c r="C38" s="71"/>
      <c r="D38" s="71"/>
      <c r="E38" s="71"/>
      <c r="F38" s="71"/>
      <c r="U38" s="72" t="str">
        <f t="shared" si="0"/>
        <v/>
      </c>
      <c r="V38" s="71"/>
      <c r="W38" s="71"/>
      <c r="X38" s="71"/>
      <c r="Y38" s="71"/>
    </row>
    <row r="39" spans="1:25" ht="13.5" hidden="1">
      <c r="A39" s="70">
        <v>21</v>
      </c>
      <c r="B39" s="70"/>
      <c r="C39" s="71"/>
      <c r="D39" s="71"/>
      <c r="E39" s="71"/>
      <c r="F39" s="71"/>
      <c r="U39" s="72" t="str">
        <f t="shared" si="0"/>
        <v/>
      </c>
      <c r="V39" s="71"/>
      <c r="W39" s="71"/>
      <c r="X39" s="71"/>
      <c r="Y39" s="71"/>
    </row>
    <row r="40" spans="1:25" ht="13.5" hidden="1">
      <c r="A40" s="70">
        <v>3</v>
      </c>
      <c r="B40" s="70"/>
      <c r="C40" s="71"/>
      <c r="D40" s="71"/>
      <c r="E40" s="71"/>
      <c r="F40" s="71"/>
      <c r="U40" s="72" t="str">
        <f t="shared" si="0"/>
        <v/>
      </c>
      <c r="V40" s="71"/>
      <c r="W40" s="71"/>
      <c r="X40" s="71"/>
      <c r="Y40" s="71"/>
    </row>
    <row r="41" spans="1:25" ht="13.5" hidden="1">
      <c r="A41" s="70">
        <v>34</v>
      </c>
      <c r="B41" s="70"/>
      <c r="C41" s="71"/>
      <c r="D41" s="71"/>
      <c r="E41" s="71"/>
      <c r="F41" s="71"/>
      <c r="U41" s="72" t="str">
        <f t="shared" si="0"/>
        <v/>
      </c>
      <c r="V41" s="71"/>
      <c r="W41" s="71"/>
      <c r="X41" s="71"/>
      <c r="Y41" s="71"/>
    </row>
    <row r="42" spans="1:25" ht="13.5" hidden="1">
      <c r="A42" s="70">
        <v>10</v>
      </c>
      <c r="B42" s="70"/>
      <c r="C42" s="71"/>
      <c r="D42" s="71"/>
      <c r="E42" s="71"/>
      <c r="F42" s="71"/>
      <c r="U42" s="72" t="str">
        <f t="shared" si="0"/>
        <v/>
      </c>
      <c r="V42" s="71"/>
      <c r="W42" s="71"/>
      <c r="X42" s="71"/>
      <c r="Y42" s="71"/>
    </row>
    <row r="43" spans="1:25" ht="13.5" hidden="1">
      <c r="A43" s="70">
        <v>-20</v>
      </c>
      <c r="B43" s="70"/>
      <c r="C43" s="71"/>
      <c r="D43" s="71"/>
      <c r="E43" s="71"/>
      <c r="F43" s="71"/>
      <c r="U43" s="72" t="str">
        <f t="shared" si="0"/>
        <v/>
      </c>
      <c r="V43" s="71"/>
      <c r="W43" s="71"/>
      <c r="X43" s="71"/>
      <c r="Y43" s="71"/>
    </row>
    <row r="44" spans="1:25" ht="13.5" hidden="1">
      <c r="A44" s="70">
        <v>5</v>
      </c>
      <c r="B44" s="70"/>
      <c r="C44" s="71"/>
      <c r="D44" s="71"/>
      <c r="E44" s="71"/>
      <c r="F44" s="71"/>
      <c r="U44" s="72" t="str">
        <f t="shared" si="0"/>
        <v/>
      </c>
      <c r="V44" s="71"/>
      <c r="W44" s="71"/>
      <c r="X44" s="71"/>
      <c r="Y44" s="71"/>
    </row>
    <row r="45" spans="1:25" ht="13.5" hidden="1">
      <c r="A45" s="70">
        <v>0</v>
      </c>
      <c r="B45" s="70"/>
      <c r="C45" s="71"/>
      <c r="D45" s="71"/>
      <c r="E45" s="71"/>
      <c r="F45" s="71"/>
      <c r="U45" s="72" t="str">
        <f t="shared" si="0"/>
        <v/>
      </c>
      <c r="V45" s="71"/>
      <c r="W45" s="71"/>
      <c r="X45" s="71"/>
      <c r="Y45" s="71"/>
    </row>
    <row r="46" spans="1:25" ht="13.5" hidden="1">
      <c r="A46" s="70">
        <v>-20</v>
      </c>
      <c r="B46" s="70"/>
      <c r="C46" s="71"/>
      <c r="D46" s="71"/>
      <c r="E46" s="71"/>
      <c r="F46" s="71"/>
      <c r="U46" s="72" t="str">
        <f t="shared" si="0"/>
        <v/>
      </c>
      <c r="V46" s="71"/>
      <c r="W46" s="71"/>
      <c r="X46" s="71"/>
      <c r="Y46" s="71"/>
    </row>
    <row r="47" spans="1:25" ht="13.5" hidden="1">
      <c r="A47" s="70">
        <v>14</v>
      </c>
      <c r="B47" s="70"/>
      <c r="C47" s="71"/>
      <c r="D47" s="71"/>
      <c r="E47" s="71"/>
      <c r="F47" s="71"/>
      <c r="U47" s="72" t="str">
        <f t="shared" si="0"/>
        <v/>
      </c>
      <c r="V47" s="71"/>
      <c r="W47" s="71"/>
      <c r="X47" s="71"/>
      <c r="Y47" s="71"/>
    </row>
    <row r="48" spans="1:25" ht="13.5" hidden="1">
      <c r="A48" s="70">
        <v>49</v>
      </c>
      <c r="B48" s="70"/>
      <c r="C48" s="71"/>
      <c r="D48" s="71"/>
      <c r="E48" s="71"/>
      <c r="F48" s="71"/>
      <c r="U48" s="72" t="str">
        <f t="shared" si="0"/>
        <v/>
      </c>
      <c r="V48" s="71"/>
      <c r="W48" s="71"/>
      <c r="X48" s="71"/>
      <c r="Y48" s="71"/>
    </row>
    <row r="49" spans="1:25" ht="13.5" hidden="1">
      <c r="A49" s="70">
        <v>37</v>
      </c>
      <c r="B49" s="70"/>
      <c r="C49" s="71"/>
      <c r="D49" s="71"/>
      <c r="E49" s="71"/>
      <c r="F49" s="71"/>
      <c r="U49" s="72" t="str">
        <f t="shared" si="0"/>
        <v/>
      </c>
      <c r="V49" s="71"/>
      <c r="W49" s="71"/>
      <c r="X49" s="71"/>
      <c r="Y49" s="71"/>
    </row>
    <row r="50" spans="1:25" ht="13.5" hidden="1">
      <c r="A50" s="70">
        <v>-14</v>
      </c>
      <c r="B50" s="70"/>
      <c r="C50" s="71"/>
      <c r="D50" s="71"/>
      <c r="E50" s="71"/>
      <c r="F50" s="71"/>
      <c r="U50" s="72" t="str">
        <f t="shared" si="0"/>
        <v/>
      </c>
      <c r="V50" s="71"/>
      <c r="W50" s="71"/>
      <c r="X50" s="71"/>
      <c r="Y50" s="71"/>
    </row>
    <row r="51" spans="1:25" ht="13.5" hidden="1">
      <c r="A51" s="70">
        <v>24</v>
      </c>
      <c r="B51" s="70"/>
      <c r="C51" s="71"/>
      <c r="D51" s="71"/>
      <c r="E51" s="71"/>
      <c r="F51" s="71"/>
      <c r="U51" s="72" t="str">
        <f t="shared" si="0"/>
        <v/>
      </c>
      <c r="V51" s="71"/>
      <c r="W51" s="71"/>
      <c r="X51" s="71"/>
      <c r="Y51" s="71"/>
    </row>
    <row r="52" spans="1:25" ht="13.5" hidden="1">
      <c r="A52" s="70">
        <v>-18</v>
      </c>
      <c r="B52" s="70"/>
      <c r="C52" s="71"/>
      <c r="D52" s="71"/>
      <c r="E52" s="71"/>
      <c r="F52" s="71"/>
      <c r="U52" s="72" t="str">
        <f t="shared" si="0"/>
        <v/>
      </c>
      <c r="V52" s="71"/>
      <c r="W52" s="71"/>
      <c r="X52" s="71"/>
      <c r="Y52" s="71"/>
    </row>
    <row r="53" spans="1:25" ht="13.5" hidden="1">
      <c r="A53" s="70">
        <v>3</v>
      </c>
      <c r="B53" s="70"/>
      <c r="C53" s="71"/>
      <c r="D53" s="71"/>
      <c r="E53" s="71"/>
      <c r="F53" s="71"/>
      <c r="U53" s="72" t="str">
        <f t="shared" si="0"/>
        <v/>
      </c>
      <c r="V53" s="71"/>
      <c r="W53" s="71"/>
      <c r="X53" s="71"/>
      <c r="Y53" s="71"/>
    </row>
    <row r="54" spans="1:25" ht="13.5" hidden="1">
      <c r="A54" s="70">
        <v>3</v>
      </c>
      <c r="B54" s="70"/>
      <c r="C54" s="71"/>
      <c r="D54" s="71"/>
      <c r="E54" s="71"/>
      <c r="F54" s="71"/>
      <c r="U54" s="72" t="str">
        <f t="shared" si="0"/>
        <v/>
      </c>
      <c r="V54" s="71"/>
      <c r="W54" s="71"/>
      <c r="X54" s="71"/>
      <c r="Y54" s="71"/>
    </row>
    <row r="55" spans="1:25" ht="13.5" hidden="1">
      <c r="A55" s="70">
        <v>12</v>
      </c>
      <c r="B55" s="70"/>
      <c r="C55" s="71"/>
      <c r="D55" s="71"/>
      <c r="E55" s="71"/>
      <c r="F55" s="71"/>
      <c r="U55" s="72" t="str">
        <f t="shared" si="0"/>
        <v/>
      </c>
      <c r="V55" s="71"/>
      <c r="W55" s="71"/>
      <c r="X55" s="71"/>
      <c r="Y55" s="71"/>
    </row>
    <row r="56" spans="1:25" hidden="1">
      <c r="A56" s="54">
        <v>74</v>
      </c>
      <c r="C56" s="43"/>
      <c r="D56" s="43"/>
    </row>
    <row r="57" spans="1:25" hidden="1">
      <c r="A57" s="54">
        <v>-13</v>
      </c>
      <c r="C57" s="43"/>
      <c r="D57" s="43"/>
    </row>
    <row r="58" spans="1:25" hidden="1">
      <c r="A58" s="54">
        <v>-1</v>
      </c>
      <c r="C58" s="43"/>
      <c r="D58" s="43"/>
    </row>
    <row r="59" spans="1:25" hidden="1">
      <c r="A59" s="54">
        <v>24</v>
      </c>
      <c r="C59" s="43"/>
      <c r="D59" s="43"/>
    </row>
    <row r="60" spans="1:25" hidden="1">
      <c r="A60" s="54">
        <v>24</v>
      </c>
      <c r="C60" s="43"/>
      <c r="D60" s="43"/>
    </row>
    <row r="61" spans="1:25" hidden="1">
      <c r="A61" s="54">
        <v>17</v>
      </c>
      <c r="C61" s="43"/>
      <c r="D61" s="43"/>
    </row>
    <row r="62" spans="1:25" hidden="1">
      <c r="A62" s="54">
        <v>17</v>
      </c>
      <c r="C62" s="43"/>
      <c r="D62" s="43"/>
    </row>
    <row r="63" spans="1:25" hidden="1">
      <c r="A63" s="54">
        <v>17</v>
      </c>
      <c r="C63" s="43"/>
      <c r="D63" s="43"/>
    </row>
    <row r="64" spans="1:25" hidden="1">
      <c r="A64" s="54">
        <v>-2</v>
      </c>
      <c r="C64" s="43"/>
      <c r="D64" s="43"/>
    </row>
    <row r="65" spans="1:4" hidden="1">
      <c r="A65" s="54">
        <v>0</v>
      </c>
      <c r="C65" s="43"/>
      <c r="D65" s="43"/>
    </row>
    <row r="66" spans="1:4" hidden="1">
      <c r="A66" s="54">
        <v>-1</v>
      </c>
      <c r="C66" s="43"/>
      <c r="D66" s="43"/>
    </row>
    <row r="67" spans="1:4" hidden="1">
      <c r="A67" s="54">
        <v>-1</v>
      </c>
      <c r="C67" s="43"/>
      <c r="D67" s="43"/>
    </row>
    <row r="68" spans="1:4" hidden="1">
      <c r="A68" s="54">
        <v>-1</v>
      </c>
      <c r="C68" s="43"/>
      <c r="D68" s="43"/>
    </row>
    <row r="69" spans="1:4" hidden="1">
      <c r="A69" s="54">
        <v>-1</v>
      </c>
      <c r="C69" s="43"/>
      <c r="D69" s="43"/>
    </row>
    <row r="70" spans="1:4" hidden="1">
      <c r="A70" s="54">
        <v>-1</v>
      </c>
      <c r="C70" s="43"/>
      <c r="D70" s="43"/>
    </row>
    <row r="71" spans="1:4" hidden="1">
      <c r="A71" s="54">
        <v>-1</v>
      </c>
      <c r="C71" s="43"/>
      <c r="D71" s="43"/>
    </row>
    <row r="72" spans="1:4" hidden="1">
      <c r="A72" s="54">
        <v>-29</v>
      </c>
      <c r="C72" s="43"/>
      <c r="D72" s="43"/>
    </row>
    <row r="73" spans="1:4" hidden="1">
      <c r="A73" s="54">
        <v>-29</v>
      </c>
      <c r="C73" s="43"/>
      <c r="D73" s="43"/>
    </row>
    <row r="74" spans="1:4" hidden="1">
      <c r="A74" s="54">
        <v>-29</v>
      </c>
      <c r="C74" s="43"/>
      <c r="D74" s="43"/>
    </row>
    <row r="75" spans="1:4" hidden="1">
      <c r="A75" s="54">
        <v>-29</v>
      </c>
      <c r="C75" s="43"/>
      <c r="D75" s="43"/>
    </row>
    <row r="76" spans="1:4" hidden="1">
      <c r="A76" s="54">
        <v>-29</v>
      </c>
      <c r="C76" s="43"/>
      <c r="D76" s="43"/>
    </row>
    <row r="77" spans="1:4" hidden="1">
      <c r="A77" s="54">
        <v>-29</v>
      </c>
      <c r="C77" s="43"/>
      <c r="D77" s="43"/>
    </row>
    <row r="78" spans="1:4" hidden="1">
      <c r="A78" s="54">
        <v>-1</v>
      </c>
      <c r="C78" s="43"/>
      <c r="D78" s="43"/>
    </row>
    <row r="79" spans="1:4" hidden="1">
      <c r="A79" s="54">
        <v>-29</v>
      </c>
      <c r="C79" s="43"/>
      <c r="D79" s="43"/>
    </row>
    <row r="80" spans="1:4" hidden="1">
      <c r="A80" s="54">
        <v>-29</v>
      </c>
      <c r="C80" s="43"/>
      <c r="D80" s="43"/>
    </row>
    <row r="81" spans="1:4" hidden="1">
      <c r="A81" s="54">
        <v>-1</v>
      </c>
      <c r="C81" s="43"/>
      <c r="D81" s="43"/>
    </row>
    <row r="82" spans="1:4" hidden="1">
      <c r="A82" s="54">
        <v>-1</v>
      </c>
      <c r="C82" s="43"/>
      <c r="D82" s="43"/>
    </row>
    <row r="83" spans="1:4" hidden="1">
      <c r="A83" s="54">
        <v>-1</v>
      </c>
      <c r="C83" s="43"/>
      <c r="D83" s="43"/>
    </row>
    <row r="84" spans="1:4" hidden="1">
      <c r="A84" s="54">
        <v>-1</v>
      </c>
      <c r="C84" s="43"/>
      <c r="D84" s="43"/>
    </row>
    <row r="85" spans="1:4" hidden="1">
      <c r="A85" s="54">
        <v>-1</v>
      </c>
      <c r="C85" s="43"/>
      <c r="D85" s="43"/>
    </row>
    <row r="86" spans="1:4" hidden="1">
      <c r="A86" s="54">
        <v>-1</v>
      </c>
      <c r="C86" s="43"/>
      <c r="D86" s="43"/>
    </row>
    <row r="87" spans="1:4" hidden="1">
      <c r="A87" s="54">
        <v>-1</v>
      </c>
      <c r="C87" s="43"/>
      <c r="D87" s="43"/>
    </row>
    <row r="88" spans="1:4" hidden="1">
      <c r="A88" s="54">
        <v>30</v>
      </c>
      <c r="C88" s="43"/>
      <c r="D88" s="43"/>
    </row>
    <row r="89" spans="1:4" hidden="1">
      <c r="A89" s="54">
        <v>14</v>
      </c>
      <c r="C89" s="43"/>
      <c r="D89" s="43"/>
    </row>
    <row r="90" spans="1:4" hidden="1">
      <c r="A90" s="54">
        <v>-29</v>
      </c>
      <c r="C90" s="43"/>
      <c r="D90" s="43"/>
    </row>
    <row r="91" spans="1:4" hidden="1">
      <c r="A91" s="54">
        <v>6</v>
      </c>
      <c r="C91" s="43"/>
      <c r="D91" s="43"/>
    </row>
    <row r="92" spans="1:4" hidden="1">
      <c r="A92" s="54">
        <v>-29</v>
      </c>
      <c r="C92" s="43"/>
      <c r="D92" s="43"/>
    </row>
    <row r="93" spans="1:4" hidden="1">
      <c r="A93" s="54">
        <v>14</v>
      </c>
      <c r="C93" s="43"/>
      <c r="D93" s="43"/>
    </row>
    <row r="94" spans="1:4" hidden="1">
      <c r="A94" s="54">
        <v>14</v>
      </c>
      <c r="C94" s="43"/>
      <c r="D94" s="43"/>
    </row>
    <row r="95" spans="1:4" hidden="1">
      <c r="A95" s="54">
        <v>-29</v>
      </c>
      <c r="C95" s="43"/>
      <c r="D95" s="43"/>
    </row>
    <row r="96" spans="1:4" hidden="1">
      <c r="A96" s="54">
        <v>-17</v>
      </c>
      <c r="C96" s="43"/>
      <c r="D96" s="43"/>
    </row>
    <row r="97" spans="1:4" hidden="1">
      <c r="A97" s="54">
        <v>0</v>
      </c>
      <c r="C97" s="43"/>
      <c r="D97" s="43"/>
    </row>
    <row r="98" spans="1:4" hidden="1">
      <c r="A98" s="54">
        <v>0</v>
      </c>
      <c r="C98" s="43"/>
      <c r="D98" s="43"/>
    </row>
    <row r="99" spans="1:4" hidden="1">
      <c r="A99" s="54">
        <v>38</v>
      </c>
      <c r="C99" s="43"/>
      <c r="D99" s="43"/>
    </row>
    <row r="100" spans="1:4" hidden="1">
      <c r="A100" s="54">
        <v>38</v>
      </c>
      <c r="C100" s="43"/>
      <c r="D100" s="43"/>
    </row>
    <row r="101" spans="1:4" hidden="1">
      <c r="A101" s="54">
        <v>0</v>
      </c>
      <c r="C101" s="43"/>
      <c r="D101" s="43"/>
    </row>
    <row r="102" spans="1:4" hidden="1">
      <c r="A102" s="54">
        <v>0</v>
      </c>
      <c r="C102" s="43"/>
      <c r="D102" s="43"/>
    </row>
    <row r="103" spans="1:4" hidden="1">
      <c r="A103" s="54">
        <v>0</v>
      </c>
      <c r="C103" s="43"/>
      <c r="D103" s="43"/>
    </row>
    <row r="104" spans="1:4" hidden="1">
      <c r="A104" s="54">
        <v>0</v>
      </c>
      <c r="C104" s="43"/>
      <c r="D104" s="43"/>
    </row>
    <row r="105" spans="1:4" hidden="1">
      <c r="A105" s="54">
        <v>0</v>
      </c>
      <c r="C105" s="43"/>
      <c r="D105" s="43"/>
    </row>
    <row r="106" spans="1:4" hidden="1">
      <c r="A106" s="54">
        <v>0</v>
      </c>
      <c r="C106" s="43"/>
      <c r="D106" s="43"/>
    </row>
    <row r="107" spans="1:4" hidden="1">
      <c r="A107" s="54">
        <v>0</v>
      </c>
      <c r="C107" s="43"/>
      <c r="D107" s="43"/>
    </row>
    <row r="108" spans="1:4" hidden="1">
      <c r="A108" s="54">
        <v>0</v>
      </c>
      <c r="C108" s="43"/>
      <c r="D108" s="43"/>
    </row>
    <row r="109" spans="1:4" hidden="1">
      <c r="A109" s="54">
        <v>-1</v>
      </c>
      <c r="C109" s="43"/>
      <c r="D109" s="43"/>
    </row>
    <row r="110" spans="1:4" hidden="1">
      <c r="A110" s="54">
        <v>-2</v>
      </c>
      <c r="C110" s="43"/>
      <c r="D110" s="43"/>
    </row>
    <row r="111" spans="1:4" hidden="1">
      <c r="A111" s="54">
        <v>-12</v>
      </c>
      <c r="C111" s="43"/>
      <c r="D111" s="43"/>
    </row>
    <row r="112" spans="1:4" hidden="1">
      <c r="A112" s="54">
        <v>-11</v>
      </c>
      <c r="C112" s="43"/>
      <c r="D112" s="43"/>
    </row>
    <row r="113" spans="1:4" hidden="1">
      <c r="A113" s="54">
        <v>33</v>
      </c>
      <c r="C113" s="43"/>
      <c r="D113" s="43"/>
    </row>
    <row r="114" spans="1:4" hidden="1">
      <c r="A114" s="54">
        <v>33</v>
      </c>
      <c r="C114" s="43"/>
      <c r="D114" s="43"/>
    </row>
    <row r="115" spans="1:4" hidden="1">
      <c r="A115" s="54">
        <v>33</v>
      </c>
      <c r="C115" s="43"/>
      <c r="D115" s="43"/>
    </row>
    <row r="116" spans="1:4" hidden="1">
      <c r="A116" s="54">
        <v>33</v>
      </c>
      <c r="C116" s="43"/>
      <c r="D116" s="43"/>
    </row>
    <row r="117" spans="1:4" hidden="1">
      <c r="A117" s="54">
        <v>-4</v>
      </c>
      <c r="C117" s="43"/>
      <c r="D117" s="43"/>
    </row>
    <row r="118" spans="1:4" hidden="1">
      <c r="A118" s="54">
        <v>19</v>
      </c>
      <c r="C118" s="43"/>
      <c r="D118" s="43"/>
    </row>
    <row r="119" spans="1:4" hidden="1">
      <c r="A119" s="54">
        <v>-17</v>
      </c>
      <c r="C119" s="43"/>
      <c r="D119" s="43"/>
    </row>
    <row r="120" spans="1:4" hidden="1">
      <c r="A120" s="54">
        <v>-17</v>
      </c>
      <c r="C120" s="43"/>
      <c r="D120" s="43"/>
    </row>
    <row r="121" spans="1:4" hidden="1">
      <c r="A121" s="54">
        <v>0</v>
      </c>
      <c r="C121" s="43"/>
      <c r="D121" s="43"/>
    </row>
    <row r="122" spans="1:4" hidden="1">
      <c r="A122" s="54">
        <v>6</v>
      </c>
      <c r="C122" s="43"/>
      <c r="D122" s="43"/>
    </row>
    <row r="123" spans="1:4" hidden="1">
      <c r="A123" s="54">
        <v>-1</v>
      </c>
      <c r="C123" s="43"/>
      <c r="D123" s="43"/>
    </row>
    <row r="124" spans="1:4" hidden="1">
      <c r="A124" s="54">
        <v>11</v>
      </c>
      <c r="C124" s="43"/>
      <c r="D124" s="43"/>
    </row>
    <row r="125" spans="1:4" hidden="1">
      <c r="A125" s="54">
        <v>-7</v>
      </c>
      <c r="C125" s="43"/>
      <c r="D125" s="43"/>
    </row>
    <row r="126" spans="1:4" hidden="1">
      <c r="A126" s="54">
        <v>-51</v>
      </c>
      <c r="C126" s="43"/>
      <c r="D126" s="43"/>
    </row>
    <row r="127" spans="1:4" hidden="1">
      <c r="A127" s="54">
        <v>1</v>
      </c>
      <c r="C127" s="43"/>
      <c r="D127" s="43"/>
    </row>
    <row r="128" spans="1:4" hidden="1">
      <c r="A128" s="54">
        <v>11</v>
      </c>
      <c r="C128" s="43"/>
      <c r="D128" s="43"/>
    </row>
    <row r="129" spans="1:4" hidden="1">
      <c r="A129" s="54">
        <v>4</v>
      </c>
      <c r="C129" s="43"/>
      <c r="D129" s="43"/>
    </row>
    <row r="130" spans="1:4" hidden="1">
      <c r="A130" s="54">
        <v>27</v>
      </c>
      <c r="C130" s="43"/>
      <c r="D130" s="43"/>
    </row>
    <row r="131" spans="1:4" hidden="1">
      <c r="A131" s="54">
        <v>-7</v>
      </c>
      <c r="C131" s="43"/>
      <c r="D131" s="43"/>
    </row>
    <row r="132" spans="1:4" hidden="1">
      <c r="A132" s="54">
        <v>1</v>
      </c>
      <c r="C132" s="43"/>
      <c r="D132" s="43"/>
    </row>
    <row r="133" spans="1:4" hidden="1">
      <c r="A133" s="54">
        <v>1</v>
      </c>
      <c r="C133" s="43"/>
      <c r="D133" s="43"/>
    </row>
    <row r="134" spans="1:4" hidden="1">
      <c r="A134" s="54">
        <v>-5</v>
      </c>
      <c r="C134" s="43"/>
      <c r="D134" s="43"/>
    </row>
    <row r="135" spans="1:4" hidden="1">
      <c r="A135" s="54">
        <v>0</v>
      </c>
      <c r="C135" s="43"/>
      <c r="D135" s="43"/>
    </row>
    <row r="136" spans="1:4" hidden="1">
      <c r="A136" s="54">
        <v>0</v>
      </c>
      <c r="C136" s="43"/>
      <c r="D136" s="43"/>
    </row>
    <row r="137" spans="1:4" hidden="1">
      <c r="A137" s="54">
        <v>-7</v>
      </c>
      <c r="C137" s="43"/>
      <c r="D137" s="43"/>
    </row>
    <row r="138" spans="1:4" hidden="1">
      <c r="A138" s="54">
        <v>5</v>
      </c>
      <c r="C138" s="43"/>
      <c r="D138" s="43"/>
    </row>
    <row r="139" spans="1:4" hidden="1">
      <c r="A139" s="54">
        <v>5</v>
      </c>
      <c r="C139" s="43"/>
      <c r="D139" s="43"/>
    </row>
    <row r="140" spans="1:4" hidden="1">
      <c r="A140" s="54">
        <v>5</v>
      </c>
      <c r="C140" s="43"/>
      <c r="D140" s="43"/>
    </row>
    <row r="141" spans="1:4" hidden="1">
      <c r="A141" s="54">
        <v>0</v>
      </c>
      <c r="C141" s="43"/>
      <c r="D141" s="43"/>
    </row>
    <row r="142" spans="1:4" hidden="1">
      <c r="A142" s="54" t="s">
        <v>38</v>
      </c>
      <c r="C142" s="43"/>
      <c r="D142" s="43"/>
    </row>
    <row r="143" spans="1:4" hidden="1">
      <c r="A143" s="54">
        <v>0</v>
      </c>
      <c r="C143" s="43"/>
      <c r="D143" s="43"/>
    </row>
    <row r="144" spans="1:4" hidden="1">
      <c r="A144" s="54">
        <v>0</v>
      </c>
      <c r="C144" s="43"/>
      <c r="D144" s="43"/>
    </row>
    <row r="145" spans="1:4" hidden="1">
      <c r="A145" s="54">
        <v>19</v>
      </c>
      <c r="C145" s="43"/>
      <c r="D145" s="43"/>
    </row>
    <row r="146" spans="1:4" hidden="1">
      <c r="A146" s="54">
        <v>23</v>
      </c>
      <c r="C146" s="43"/>
      <c r="D146" s="43"/>
    </row>
    <row r="147" spans="1:4" hidden="1">
      <c r="A147" s="54">
        <v>-2</v>
      </c>
      <c r="C147" s="43"/>
      <c r="D147" s="43"/>
    </row>
    <row r="148" spans="1:4" hidden="1">
      <c r="A148" s="54">
        <v>-2</v>
      </c>
      <c r="C148" s="43"/>
      <c r="D148" s="43"/>
    </row>
    <row r="149" spans="1:4" hidden="1">
      <c r="A149" s="54">
        <v>6</v>
      </c>
      <c r="C149" s="43"/>
      <c r="D149" s="43"/>
    </row>
    <row r="150" spans="1:4" hidden="1">
      <c r="A150" s="54">
        <v>6</v>
      </c>
      <c r="C150" s="43"/>
      <c r="D150" s="43"/>
    </row>
    <row r="151" spans="1:4" hidden="1">
      <c r="A151" s="54">
        <v>1</v>
      </c>
      <c r="C151" s="43"/>
      <c r="D151" s="43"/>
    </row>
    <row r="152" spans="1:4" hidden="1">
      <c r="A152" s="54">
        <v>3</v>
      </c>
      <c r="C152" s="43"/>
      <c r="D152" s="43"/>
    </row>
    <row r="153" spans="1:4" hidden="1">
      <c r="A153" s="54">
        <v>0</v>
      </c>
      <c r="C153" s="43"/>
      <c r="D153" s="43"/>
    </row>
    <row r="154" spans="1:4" hidden="1">
      <c r="A154" s="54">
        <v>5</v>
      </c>
      <c r="C154" s="43"/>
      <c r="D154" s="43"/>
    </row>
    <row r="155" spans="1:4" hidden="1">
      <c r="A155" s="54">
        <v>5</v>
      </c>
      <c r="C155" s="43"/>
      <c r="D155" s="43"/>
    </row>
    <row r="156" spans="1:4" hidden="1">
      <c r="A156" s="54">
        <v>10</v>
      </c>
      <c r="C156" s="43"/>
      <c r="D156" s="43"/>
    </row>
    <row r="157" spans="1:4" hidden="1">
      <c r="A157" s="54">
        <v>10</v>
      </c>
      <c r="C157" s="43"/>
      <c r="D157" s="43"/>
    </row>
    <row r="158" spans="1:4" hidden="1">
      <c r="A158" s="54">
        <v>10</v>
      </c>
      <c r="C158" s="43"/>
      <c r="D158" s="43"/>
    </row>
    <row r="159" spans="1:4" hidden="1">
      <c r="A159" s="54">
        <v>10</v>
      </c>
      <c r="C159" s="43"/>
      <c r="D159" s="43"/>
    </row>
    <row r="160" spans="1:4" hidden="1">
      <c r="A160" s="54">
        <v>10</v>
      </c>
      <c r="C160" s="43"/>
      <c r="D160" s="43"/>
    </row>
    <row r="161" spans="1:4" hidden="1">
      <c r="A161" s="54">
        <v>6</v>
      </c>
      <c r="C161" s="43"/>
      <c r="D161" s="43"/>
    </row>
    <row r="162" spans="1:4" hidden="1">
      <c r="A162" s="54">
        <v>2</v>
      </c>
      <c r="C162" s="43"/>
      <c r="D162" s="43"/>
    </row>
    <row r="163" spans="1:4" hidden="1">
      <c r="A163" s="54">
        <v>2</v>
      </c>
      <c r="C163" s="43"/>
      <c r="D163" s="43"/>
    </row>
    <row r="164" spans="1:4" hidden="1">
      <c r="A164" s="54">
        <v>2</v>
      </c>
      <c r="C164" s="43"/>
      <c r="D164" s="43"/>
    </row>
    <row r="165" spans="1:4" hidden="1">
      <c r="A165" s="54">
        <v>2</v>
      </c>
      <c r="C165" s="43"/>
      <c r="D165" s="43"/>
    </row>
    <row r="166" spans="1:4" hidden="1">
      <c r="A166" s="54">
        <v>2</v>
      </c>
      <c r="C166" s="43"/>
      <c r="D166" s="43"/>
    </row>
    <row r="167" spans="1:4" hidden="1">
      <c r="A167" s="54">
        <v>2</v>
      </c>
      <c r="C167" s="43"/>
      <c r="D167" s="43"/>
    </row>
    <row r="168" spans="1:4" hidden="1">
      <c r="A168" s="54">
        <v>2</v>
      </c>
      <c r="C168" s="43"/>
      <c r="D168" s="43"/>
    </row>
    <row r="169" spans="1:4" hidden="1">
      <c r="A169" s="54">
        <v>2</v>
      </c>
      <c r="C169" s="43"/>
      <c r="D169" s="43"/>
    </row>
    <row r="170" spans="1:4" hidden="1">
      <c r="A170" s="54">
        <v>2</v>
      </c>
      <c r="C170" s="43"/>
      <c r="D170" s="43"/>
    </row>
    <row r="171" spans="1:4" hidden="1">
      <c r="A171" s="54">
        <v>2</v>
      </c>
      <c r="C171" s="43"/>
      <c r="D171" s="43"/>
    </row>
    <row r="172" spans="1:4" hidden="1">
      <c r="A172" s="54">
        <v>2</v>
      </c>
      <c r="C172" s="43"/>
      <c r="D172" s="43"/>
    </row>
    <row r="173" spans="1:4" hidden="1">
      <c r="A173" s="54">
        <v>2</v>
      </c>
      <c r="C173" s="43"/>
      <c r="D173" s="43"/>
    </row>
    <row r="174" spans="1:4" hidden="1">
      <c r="A174" s="54">
        <v>3</v>
      </c>
      <c r="C174" s="43"/>
      <c r="D174" s="43"/>
    </row>
    <row r="175" spans="1:4" hidden="1">
      <c r="A175" s="54">
        <v>-21</v>
      </c>
      <c r="C175" s="43"/>
      <c r="D175" s="43"/>
    </row>
    <row r="176" spans="1:4" hidden="1">
      <c r="A176" s="54">
        <v>-21</v>
      </c>
      <c r="C176" s="43"/>
      <c r="D176" s="43"/>
    </row>
    <row r="177" spans="1:4" hidden="1">
      <c r="A177" s="54">
        <v>1</v>
      </c>
      <c r="C177" s="43"/>
      <c r="D177" s="43"/>
    </row>
    <row r="178" spans="1:4" hidden="1">
      <c r="A178" s="54">
        <v>-15</v>
      </c>
      <c r="C178" s="43"/>
      <c r="D178" s="43"/>
    </row>
    <row r="179" spans="1:4" hidden="1">
      <c r="A179" s="54">
        <v>0</v>
      </c>
      <c r="C179" s="43"/>
      <c r="D179" s="43"/>
    </row>
    <row r="180" spans="1:4" hidden="1">
      <c r="A180" s="54">
        <v>0</v>
      </c>
      <c r="C180" s="43"/>
      <c r="D180" s="43"/>
    </row>
    <row r="181" spans="1:4" hidden="1">
      <c r="A181" s="54">
        <v>4</v>
      </c>
      <c r="C181" s="43"/>
      <c r="D181" s="43"/>
    </row>
    <row r="182" spans="1:4" hidden="1">
      <c r="A182" s="54">
        <v>2</v>
      </c>
      <c r="C182" s="43"/>
      <c r="D182" s="43"/>
    </row>
    <row r="183" spans="1:4" hidden="1">
      <c r="A183" s="54">
        <v>-3</v>
      </c>
      <c r="C183" s="43"/>
      <c r="D183" s="43"/>
    </row>
    <row r="184" spans="1:4" hidden="1">
      <c r="A184" s="54">
        <v>-11</v>
      </c>
      <c r="C184" s="43"/>
      <c r="D184" s="43"/>
    </row>
    <row r="185" spans="1:4" hidden="1">
      <c r="A185" s="54">
        <v>-5</v>
      </c>
      <c r="C185" s="43"/>
      <c r="D185" s="43"/>
    </row>
    <row r="186" spans="1:4" hidden="1">
      <c r="A186" s="54">
        <v>1</v>
      </c>
      <c r="C186" s="43"/>
      <c r="D186" s="43"/>
    </row>
    <row r="187" spans="1:4" hidden="1">
      <c r="A187" s="54">
        <v>1</v>
      </c>
      <c r="C187" s="43"/>
      <c r="D187" s="43"/>
    </row>
    <row r="188" spans="1:4" hidden="1">
      <c r="A188" s="54">
        <v>-1</v>
      </c>
      <c r="C188" s="43"/>
      <c r="D188" s="43"/>
    </row>
    <row r="189" spans="1:4" hidden="1">
      <c r="A189" s="54">
        <v>0</v>
      </c>
      <c r="C189" s="43"/>
      <c r="D189" s="43"/>
    </row>
    <row r="190" spans="1:4" hidden="1">
      <c r="A190" s="54">
        <v>-21</v>
      </c>
      <c r="C190" s="43"/>
      <c r="D190" s="43"/>
    </row>
    <row r="191" spans="1:4" hidden="1">
      <c r="A191" s="54">
        <v>-12</v>
      </c>
    </row>
    <row r="192" spans="1:4" hidden="1">
      <c r="A192" s="54">
        <v>5</v>
      </c>
    </row>
    <row r="193" spans="1:4" hidden="1">
      <c r="A193" s="54">
        <v>-2</v>
      </c>
    </row>
    <row r="194" spans="1:4" hidden="1">
      <c r="A194" s="54">
        <v>-25</v>
      </c>
    </row>
    <row r="195" spans="1:4" hidden="1">
      <c r="A195" s="54">
        <v>-7</v>
      </c>
    </row>
    <row r="196" spans="1:4" hidden="1">
      <c r="A196" s="54">
        <v>10</v>
      </c>
    </row>
    <row r="197" spans="1:4" hidden="1">
      <c r="A197" s="54">
        <v>0</v>
      </c>
    </row>
    <row r="198" spans="1:4" hidden="1">
      <c r="A198" s="54">
        <v>0</v>
      </c>
      <c r="D198" s="56">
        <v>264</v>
      </c>
    </row>
    <row r="199" spans="1:4" hidden="1">
      <c r="A199" s="54">
        <v>1</v>
      </c>
      <c r="D199" s="56">
        <v>265</v>
      </c>
    </row>
    <row r="200" spans="1:4" hidden="1">
      <c r="A200" s="54">
        <v>-8</v>
      </c>
      <c r="D200" s="56">
        <v>266</v>
      </c>
    </row>
    <row r="201" spans="1:4" hidden="1">
      <c r="A201" s="54">
        <v>0</v>
      </c>
      <c r="D201" s="56">
        <v>267</v>
      </c>
    </row>
    <row r="202" spans="1:4" hidden="1">
      <c r="A202" s="54">
        <v>3</v>
      </c>
      <c r="D202" s="56">
        <v>268</v>
      </c>
    </row>
    <row r="203" spans="1:4" hidden="1">
      <c r="A203" s="54">
        <v>3</v>
      </c>
      <c r="D203" s="56">
        <v>269</v>
      </c>
    </row>
    <row r="204" spans="1:4" hidden="1">
      <c r="A204" s="54">
        <v>-3</v>
      </c>
      <c r="D204" s="56">
        <v>271</v>
      </c>
    </row>
    <row r="205" spans="1:4" hidden="1">
      <c r="A205" s="54">
        <v>16</v>
      </c>
      <c r="D205" s="56">
        <v>272</v>
      </c>
    </row>
    <row r="206" spans="1:4" hidden="1">
      <c r="A206" s="54">
        <v>16</v>
      </c>
      <c r="D206" s="56">
        <v>273</v>
      </c>
    </row>
    <row r="207" spans="1:4" hidden="1">
      <c r="A207" s="54">
        <v>13</v>
      </c>
      <c r="D207" s="56">
        <v>274</v>
      </c>
    </row>
    <row r="208" spans="1:4" hidden="1">
      <c r="A208" s="54">
        <v>13</v>
      </c>
      <c r="D208" s="56">
        <v>277</v>
      </c>
    </row>
    <row r="209" spans="1:4" hidden="1">
      <c r="A209" s="54">
        <v>13</v>
      </c>
      <c r="D209" s="56">
        <v>279</v>
      </c>
    </row>
    <row r="210" spans="1:4" hidden="1">
      <c r="A210" s="54">
        <v>13</v>
      </c>
      <c r="D210" s="56">
        <v>280</v>
      </c>
    </row>
    <row r="211" spans="1:4" hidden="1">
      <c r="A211" s="54">
        <v>13</v>
      </c>
      <c r="D211" s="56">
        <v>283</v>
      </c>
    </row>
    <row r="212" spans="1:4" hidden="1">
      <c r="A212" s="54">
        <v>13</v>
      </c>
      <c r="D212" s="56">
        <v>284</v>
      </c>
    </row>
    <row r="213" spans="1:4" hidden="1">
      <c r="A213" s="54">
        <v>13</v>
      </c>
      <c r="D213" s="56">
        <v>285</v>
      </c>
    </row>
    <row r="214" spans="1:4" hidden="1">
      <c r="A214" s="54">
        <v>13</v>
      </c>
      <c r="D214" s="56">
        <v>286</v>
      </c>
    </row>
    <row r="215" spans="1:4" hidden="1">
      <c r="A215" s="54">
        <v>13</v>
      </c>
      <c r="D215" s="56">
        <v>287</v>
      </c>
    </row>
    <row r="216" spans="1:4" hidden="1">
      <c r="A216" s="54">
        <v>13</v>
      </c>
      <c r="D216" s="56">
        <v>288</v>
      </c>
    </row>
    <row r="217" spans="1:4" hidden="1">
      <c r="A217" s="54">
        <v>13</v>
      </c>
      <c r="D217" s="56">
        <v>289</v>
      </c>
    </row>
    <row r="218" spans="1:4" hidden="1">
      <c r="A218" s="54">
        <v>13</v>
      </c>
      <c r="D218" s="56">
        <v>294</v>
      </c>
    </row>
    <row r="219" spans="1:4" hidden="1">
      <c r="A219" s="54">
        <v>13</v>
      </c>
      <c r="D219" s="56">
        <v>295</v>
      </c>
    </row>
    <row r="220" spans="1:4" hidden="1">
      <c r="A220" s="54">
        <v>0</v>
      </c>
      <c r="D220" s="56">
        <v>296</v>
      </c>
    </row>
    <row r="221" spans="1:4" hidden="1">
      <c r="A221" s="54">
        <v>5</v>
      </c>
      <c r="D221" s="56">
        <v>297</v>
      </c>
    </row>
    <row r="222" spans="1:4" hidden="1">
      <c r="A222" s="54">
        <v>0</v>
      </c>
      <c r="D222" s="56">
        <v>298</v>
      </c>
    </row>
    <row r="223" spans="1:4" hidden="1">
      <c r="A223" s="54">
        <v>4</v>
      </c>
      <c r="D223" s="56">
        <v>299</v>
      </c>
    </row>
    <row r="224" spans="1:4" hidden="1">
      <c r="A224" s="54">
        <v>-9</v>
      </c>
      <c r="D224" s="56">
        <v>302</v>
      </c>
    </row>
    <row r="225" spans="1:4" hidden="1">
      <c r="A225" s="54">
        <v>-3</v>
      </c>
      <c r="D225" s="56">
        <v>304</v>
      </c>
    </row>
    <row r="226" spans="1:4" hidden="1">
      <c r="A226" s="54">
        <v>1</v>
      </c>
      <c r="D226" s="56">
        <v>305</v>
      </c>
    </row>
    <row r="227" spans="1:4" hidden="1">
      <c r="A227" s="54">
        <v>-9</v>
      </c>
      <c r="D227" s="56">
        <v>306</v>
      </c>
    </row>
    <row r="228" spans="1:4" hidden="1">
      <c r="A228" s="54">
        <v>-1</v>
      </c>
      <c r="D228" s="56">
        <v>307</v>
      </c>
    </row>
    <row r="229" spans="1:4" hidden="1">
      <c r="A229" s="54">
        <v>-1</v>
      </c>
      <c r="D229" s="56">
        <v>309</v>
      </c>
    </row>
    <row r="230" spans="1:4" hidden="1">
      <c r="A230" s="54">
        <v>-1</v>
      </c>
      <c r="D230" s="56">
        <v>310</v>
      </c>
    </row>
    <row r="231" spans="1:4" hidden="1">
      <c r="A231" s="54">
        <v>5</v>
      </c>
      <c r="D231" s="56">
        <v>315</v>
      </c>
    </row>
    <row r="232" spans="1:4" hidden="1">
      <c r="A232" s="54">
        <v>-3</v>
      </c>
      <c r="D232" s="56">
        <v>316</v>
      </c>
    </row>
    <row r="233" spans="1:4" hidden="1">
      <c r="A233" s="54">
        <v>-3</v>
      </c>
      <c r="D233" s="56">
        <v>317</v>
      </c>
    </row>
    <row r="234" spans="1:4" hidden="1">
      <c r="A234" s="54">
        <v>-3</v>
      </c>
      <c r="D234" s="56">
        <v>317</v>
      </c>
    </row>
    <row r="235" spans="1:4" hidden="1">
      <c r="A235" s="54">
        <v>-3</v>
      </c>
      <c r="D235" s="56">
        <v>318</v>
      </c>
    </row>
    <row r="236" spans="1:4" hidden="1">
      <c r="A236" s="54">
        <v>-3</v>
      </c>
      <c r="D236" s="56">
        <v>319</v>
      </c>
    </row>
    <row r="237" spans="1:4" hidden="1">
      <c r="A237" s="54">
        <v>-3</v>
      </c>
      <c r="D237" s="56">
        <v>320</v>
      </c>
    </row>
    <row r="238" spans="1:4" hidden="1">
      <c r="A238" s="54">
        <v>-3</v>
      </c>
      <c r="D238" s="56">
        <v>322</v>
      </c>
    </row>
    <row r="239" spans="1:4" hidden="1">
      <c r="A239" s="54">
        <v>-3</v>
      </c>
      <c r="D239" s="56">
        <v>323</v>
      </c>
    </row>
    <row r="240" spans="1:4" hidden="1">
      <c r="A240" s="54">
        <v>-3</v>
      </c>
      <c r="D240" s="56">
        <v>324</v>
      </c>
    </row>
    <row r="241" spans="1:4" hidden="1">
      <c r="A241" s="54">
        <v>-3</v>
      </c>
      <c r="D241" s="56">
        <v>325</v>
      </c>
    </row>
    <row r="242" spans="1:4" hidden="1">
      <c r="A242" s="54">
        <v>7</v>
      </c>
      <c r="D242" s="56">
        <v>326</v>
      </c>
    </row>
    <row r="243" spans="1:4" hidden="1">
      <c r="A243" s="54">
        <v>7</v>
      </c>
      <c r="D243" s="56">
        <v>329</v>
      </c>
    </row>
    <row r="244" spans="1:4" hidden="1">
      <c r="A244" s="54">
        <v>0</v>
      </c>
      <c r="D244" s="56">
        <v>330</v>
      </c>
    </row>
    <row r="245" spans="1:4" hidden="1">
      <c r="A245" s="54">
        <v>0</v>
      </c>
      <c r="D245" s="56">
        <v>333</v>
      </c>
    </row>
    <row r="246" spans="1:4" hidden="1">
      <c r="A246" s="54">
        <v>17</v>
      </c>
      <c r="D246" s="56">
        <v>335</v>
      </c>
    </row>
    <row r="247" spans="1:4" hidden="1">
      <c r="A247" s="54">
        <v>0</v>
      </c>
      <c r="D247" s="56">
        <v>336</v>
      </c>
    </row>
    <row r="248" spans="1:4" hidden="1">
      <c r="A248" s="54">
        <v>12</v>
      </c>
      <c r="D248" s="56">
        <v>337</v>
      </c>
    </row>
    <row r="249" spans="1:4" hidden="1">
      <c r="A249" s="54">
        <v>0</v>
      </c>
      <c r="D249" s="56">
        <v>338</v>
      </c>
    </row>
    <row r="250" spans="1:4" hidden="1">
      <c r="A250" s="54">
        <v>0</v>
      </c>
      <c r="D250" s="56">
        <v>339</v>
      </c>
    </row>
    <row r="251" spans="1:4" hidden="1">
      <c r="A251" s="54">
        <v>-6</v>
      </c>
      <c r="D251" s="56">
        <v>340</v>
      </c>
    </row>
    <row r="252" spans="1:4" hidden="1">
      <c r="A252" s="54">
        <v>-1</v>
      </c>
      <c r="D252" s="56">
        <v>343</v>
      </c>
    </row>
    <row r="253" spans="1:4" hidden="1">
      <c r="A253" s="54">
        <v>-1</v>
      </c>
      <c r="D253" s="56">
        <v>344</v>
      </c>
    </row>
    <row r="254" spans="1:4" hidden="1">
      <c r="A254" s="54">
        <v>-16</v>
      </c>
      <c r="D254" s="56">
        <v>345</v>
      </c>
    </row>
    <row r="255" spans="1:4" hidden="1">
      <c r="A255" s="54">
        <v>23</v>
      </c>
      <c r="D255" s="56">
        <v>346</v>
      </c>
    </row>
    <row r="256" spans="1:4" hidden="1">
      <c r="A256" s="54">
        <v>11</v>
      </c>
      <c r="D256" s="56">
        <v>347</v>
      </c>
    </row>
    <row r="257" spans="1:4" hidden="1">
      <c r="A257" s="54">
        <v>11</v>
      </c>
      <c r="D257" s="56">
        <v>348</v>
      </c>
    </row>
    <row r="258" spans="1:4" hidden="1">
      <c r="A258" s="54">
        <v>11</v>
      </c>
      <c r="D258" s="56">
        <v>349</v>
      </c>
    </row>
    <row r="259" spans="1:4" hidden="1">
      <c r="A259" s="54">
        <v>25</v>
      </c>
      <c r="D259" s="56">
        <v>350</v>
      </c>
    </row>
    <row r="260" spans="1:4" hidden="1">
      <c r="A260" s="54">
        <v>25</v>
      </c>
      <c r="D260" s="56">
        <v>351</v>
      </c>
    </row>
    <row r="261" spans="1:4" hidden="1">
      <c r="A261" s="54">
        <v>1</v>
      </c>
      <c r="D261" s="56">
        <v>354</v>
      </c>
    </row>
    <row r="262" spans="1:4" hidden="1">
      <c r="A262" s="54">
        <v>-8</v>
      </c>
      <c r="D262" s="56">
        <v>355</v>
      </c>
    </row>
    <row r="263" spans="1:4" hidden="1">
      <c r="A263" s="54">
        <v>4</v>
      </c>
      <c r="D263" s="56">
        <v>356</v>
      </c>
    </row>
    <row r="264" spans="1:4" hidden="1">
      <c r="A264" s="54">
        <v>4</v>
      </c>
      <c r="D264" s="56">
        <v>357</v>
      </c>
    </row>
    <row r="265" spans="1:4" hidden="1">
      <c r="A265" s="54">
        <v>4</v>
      </c>
      <c r="D265" s="56">
        <v>358</v>
      </c>
    </row>
    <row r="266" spans="1:4" hidden="1">
      <c r="A266" s="54">
        <v>4</v>
      </c>
      <c r="D266" s="56">
        <v>359</v>
      </c>
    </row>
    <row r="267" spans="1:4" hidden="1">
      <c r="A267" s="54">
        <v>0</v>
      </c>
      <c r="D267" s="56">
        <v>360</v>
      </c>
    </row>
    <row r="268" spans="1:4" hidden="1">
      <c r="A268" s="54">
        <v>1</v>
      </c>
      <c r="D268" s="56">
        <v>363</v>
      </c>
    </row>
    <row r="269" spans="1:4" hidden="1">
      <c r="A269" s="54">
        <v>-1</v>
      </c>
      <c r="D269" s="56">
        <v>364</v>
      </c>
    </row>
    <row r="270" spans="1:4" hidden="1">
      <c r="A270" s="54">
        <v>4</v>
      </c>
      <c r="D270" s="56">
        <v>365</v>
      </c>
    </row>
    <row r="271" spans="1:4" hidden="1">
      <c r="A271" s="54">
        <v>5</v>
      </c>
      <c r="D271" s="56">
        <v>368</v>
      </c>
    </row>
    <row r="272" spans="1:4" hidden="1">
      <c r="A272" s="54">
        <v>5</v>
      </c>
      <c r="D272" s="56">
        <v>369</v>
      </c>
    </row>
    <row r="273" spans="1:4" hidden="1">
      <c r="A273" s="54">
        <v>0</v>
      </c>
      <c r="D273" s="56">
        <v>370</v>
      </c>
    </row>
    <row r="274" spans="1:4" hidden="1">
      <c r="A274" s="54">
        <v>-24</v>
      </c>
      <c r="D274" s="56">
        <v>371</v>
      </c>
    </row>
    <row r="275" spans="1:4" hidden="1">
      <c r="A275" s="54">
        <v>-27</v>
      </c>
      <c r="D275" s="56">
        <v>372</v>
      </c>
    </row>
    <row r="276" spans="1:4" hidden="1">
      <c r="A276" s="54">
        <v>9</v>
      </c>
      <c r="D276" s="56">
        <v>373</v>
      </c>
    </row>
    <row r="277" spans="1:4" hidden="1">
      <c r="A277" s="54">
        <v>-10</v>
      </c>
      <c r="D277" s="56">
        <v>375</v>
      </c>
    </row>
    <row r="278" spans="1:4" hidden="1">
      <c r="A278" s="54">
        <v>-10</v>
      </c>
      <c r="D278" s="56">
        <v>376</v>
      </c>
    </row>
    <row r="279" spans="1:4" hidden="1">
      <c r="A279" s="54">
        <v>0</v>
      </c>
      <c r="D279" s="56">
        <v>393</v>
      </c>
    </row>
    <row r="280" spans="1:4" hidden="1">
      <c r="A280" s="54">
        <v>-4</v>
      </c>
      <c r="D280" s="56">
        <v>395</v>
      </c>
    </row>
    <row r="281" spans="1:4" hidden="1">
      <c r="A281" s="54">
        <v>-5</v>
      </c>
      <c r="D281" s="56">
        <v>396</v>
      </c>
    </row>
    <row r="282" spans="1:4" hidden="1">
      <c r="A282" s="54">
        <v>-2</v>
      </c>
      <c r="D282" s="56">
        <v>397</v>
      </c>
    </row>
    <row r="283" spans="1:4" hidden="1">
      <c r="A283" s="54">
        <v>-2</v>
      </c>
      <c r="D283" s="56">
        <v>399</v>
      </c>
    </row>
    <row r="284" spans="1:4" hidden="1">
      <c r="A284" s="54">
        <v>-19</v>
      </c>
      <c r="D284" s="56">
        <v>402</v>
      </c>
    </row>
    <row r="285" spans="1:4" hidden="1">
      <c r="A285" s="54">
        <v>-1</v>
      </c>
      <c r="D285" s="56">
        <v>403</v>
      </c>
    </row>
    <row r="286" spans="1:4" hidden="1">
      <c r="A286" s="54">
        <v>-29</v>
      </c>
      <c r="D286" s="56">
        <v>407</v>
      </c>
    </row>
    <row r="287" spans="1:4" hidden="1">
      <c r="A287" s="54">
        <v>0</v>
      </c>
      <c r="D287" s="56">
        <v>408</v>
      </c>
    </row>
    <row r="288" spans="1:4" hidden="1">
      <c r="A288" s="54">
        <v>3653</v>
      </c>
      <c r="D288" s="56">
        <v>409</v>
      </c>
    </row>
    <row r="289" spans="1:4" hidden="1">
      <c r="A289" s="54">
        <v>10</v>
      </c>
      <c r="D289" s="56">
        <v>410</v>
      </c>
    </row>
    <row r="290" spans="1:4" hidden="1">
      <c r="A290" s="54">
        <v>10</v>
      </c>
      <c r="D290" s="56">
        <v>413</v>
      </c>
    </row>
    <row r="291" spans="1:4" hidden="1">
      <c r="A291" s="54">
        <v>10</v>
      </c>
      <c r="D291" s="56">
        <v>414</v>
      </c>
    </row>
    <row r="292" spans="1:4" hidden="1">
      <c r="A292" s="54">
        <v>-8</v>
      </c>
      <c r="D292" s="56">
        <v>416</v>
      </c>
    </row>
    <row r="293" spans="1:4" hidden="1">
      <c r="A293" s="54">
        <v>-8</v>
      </c>
      <c r="D293" s="56">
        <v>417</v>
      </c>
    </row>
    <row r="294" spans="1:4" hidden="1">
      <c r="A294" s="54">
        <v>12</v>
      </c>
      <c r="D294" s="56">
        <v>418</v>
      </c>
    </row>
    <row r="295" spans="1:4" hidden="1">
      <c r="A295" s="54">
        <v>0</v>
      </c>
      <c r="D295" s="56">
        <v>419</v>
      </c>
    </row>
    <row r="296" spans="1:4" hidden="1">
      <c r="A296" s="54">
        <v>10</v>
      </c>
      <c r="D296" s="56">
        <v>421</v>
      </c>
    </row>
    <row r="297" spans="1:4" hidden="1">
      <c r="A297" s="54">
        <v>0</v>
      </c>
      <c r="D297" s="56">
        <v>425</v>
      </c>
    </row>
    <row r="298" spans="1:4" hidden="1">
      <c r="A298" s="54">
        <v>1</v>
      </c>
      <c r="D298" s="56">
        <v>426</v>
      </c>
    </row>
    <row r="299" spans="1:4" hidden="1">
      <c r="A299" s="54">
        <v>1</v>
      </c>
      <c r="D299" s="56">
        <v>429</v>
      </c>
    </row>
    <row r="300" spans="1:4" hidden="1">
      <c r="A300" s="54">
        <v>5</v>
      </c>
      <c r="D300" s="56">
        <v>435</v>
      </c>
    </row>
    <row r="301" spans="1:4" hidden="1">
      <c r="A301" s="54">
        <v>1</v>
      </c>
      <c r="D301" s="56">
        <v>436</v>
      </c>
    </row>
    <row r="302" spans="1:4" hidden="1">
      <c r="A302" s="54">
        <v>-3</v>
      </c>
      <c r="D302" s="56">
        <v>437</v>
      </c>
    </row>
    <row r="303" spans="1:4" hidden="1">
      <c r="A303" s="54">
        <v>-3</v>
      </c>
      <c r="D303" s="56">
        <v>438</v>
      </c>
    </row>
    <row r="304" spans="1:4" hidden="1">
      <c r="A304" s="54">
        <v>-3</v>
      </c>
      <c r="D304" s="56">
        <v>440</v>
      </c>
    </row>
    <row r="305" spans="1:4" hidden="1">
      <c r="A305" s="54">
        <v>-3</v>
      </c>
      <c r="D305" s="56">
        <v>445</v>
      </c>
    </row>
    <row r="306" spans="1:4" hidden="1">
      <c r="A306" s="54">
        <v>-3</v>
      </c>
      <c r="D306" s="56">
        <v>446</v>
      </c>
    </row>
    <row r="307" spans="1:4" hidden="1">
      <c r="A307" s="54">
        <v>-3</v>
      </c>
      <c r="D307" s="56">
        <v>447</v>
      </c>
    </row>
    <row r="308" spans="1:4" hidden="1">
      <c r="A308" s="54">
        <v>-3</v>
      </c>
      <c r="D308" s="56">
        <v>450</v>
      </c>
    </row>
    <row r="309" spans="1:4" hidden="1">
      <c r="A309" s="54">
        <v>-1</v>
      </c>
      <c r="D309" s="56">
        <v>451</v>
      </c>
    </row>
    <row r="310" spans="1:4" hidden="1">
      <c r="A310" s="54">
        <v>-3</v>
      </c>
      <c r="D310" s="56">
        <v>453</v>
      </c>
    </row>
    <row r="311" spans="1:4" hidden="1">
      <c r="A311" s="54">
        <v>-3</v>
      </c>
      <c r="D311" s="56">
        <v>458</v>
      </c>
    </row>
    <row r="312" spans="1:4" hidden="1">
      <c r="A312" s="54">
        <v>-3</v>
      </c>
      <c r="D312" s="56">
        <v>459</v>
      </c>
    </row>
    <row r="313" spans="1:4" hidden="1">
      <c r="A313" s="54">
        <v>-3</v>
      </c>
      <c r="D313" s="56">
        <v>463</v>
      </c>
    </row>
    <row r="314" spans="1:4" hidden="1">
      <c r="A314" s="54">
        <v>-3</v>
      </c>
      <c r="D314" s="56">
        <v>465</v>
      </c>
    </row>
    <row r="315" spans="1:4" hidden="1">
      <c r="A315" s="54">
        <v>-3</v>
      </c>
      <c r="D315" s="56">
        <v>466</v>
      </c>
    </row>
    <row r="316" spans="1:4" hidden="1">
      <c r="A316" s="54">
        <v>-3</v>
      </c>
      <c r="D316" s="56">
        <v>472</v>
      </c>
    </row>
    <row r="317" spans="1:4" hidden="1">
      <c r="A317" s="54">
        <v>-3</v>
      </c>
      <c r="D317" s="56">
        <v>482</v>
      </c>
    </row>
    <row r="318" spans="1:4" hidden="1">
      <c r="A318" s="54">
        <v>3</v>
      </c>
      <c r="D318" s="56">
        <v>485</v>
      </c>
    </row>
    <row r="319" spans="1:4" hidden="1">
      <c r="A319" s="54">
        <v>-2</v>
      </c>
      <c r="D319" s="56">
        <v>486</v>
      </c>
    </row>
    <row r="320" spans="1:4" hidden="1">
      <c r="A320" s="54">
        <v>-2</v>
      </c>
      <c r="D320" s="56">
        <v>488</v>
      </c>
    </row>
    <row r="321" spans="1:4" hidden="1">
      <c r="A321" s="54">
        <v>-3</v>
      </c>
      <c r="D321" s="56">
        <v>489</v>
      </c>
    </row>
    <row r="322" spans="1:4" hidden="1">
      <c r="A322" s="54">
        <v>3</v>
      </c>
      <c r="D322" s="56">
        <v>490</v>
      </c>
    </row>
    <row r="323" spans="1:4" hidden="1">
      <c r="A323" s="54">
        <v>1</v>
      </c>
      <c r="D323" s="56">
        <v>491</v>
      </c>
    </row>
    <row r="324" spans="1:4" hidden="1">
      <c r="A324" s="54">
        <v>1</v>
      </c>
      <c r="D324" s="56">
        <v>492</v>
      </c>
    </row>
    <row r="325" spans="1:4" hidden="1">
      <c r="A325" s="54">
        <v>1</v>
      </c>
      <c r="D325" s="56">
        <v>493</v>
      </c>
    </row>
    <row r="326" spans="1:4" hidden="1">
      <c r="A326" s="54">
        <v>-2</v>
      </c>
      <c r="D326" s="56">
        <v>495</v>
      </c>
    </row>
    <row r="327" spans="1:4" hidden="1">
      <c r="A327" s="54">
        <v>0</v>
      </c>
      <c r="D327" s="56">
        <v>496</v>
      </c>
    </row>
    <row r="328" spans="1:4" hidden="1">
      <c r="A328" s="54">
        <v>-8</v>
      </c>
      <c r="D328" s="56">
        <v>498</v>
      </c>
    </row>
    <row r="329" spans="1:4" hidden="1">
      <c r="A329" s="54">
        <v>-8</v>
      </c>
      <c r="D329" s="56">
        <v>499</v>
      </c>
    </row>
    <row r="330" spans="1:4" hidden="1">
      <c r="A330" s="54">
        <v>-4</v>
      </c>
      <c r="D330" s="56">
        <v>500</v>
      </c>
    </row>
    <row r="331" spans="1:4" hidden="1">
      <c r="A331" s="54">
        <v>0</v>
      </c>
      <c r="D331" s="56">
        <v>501</v>
      </c>
    </row>
    <row r="332" spans="1:4" hidden="1">
      <c r="A332" s="54">
        <v>1</v>
      </c>
      <c r="D332" s="56">
        <v>501</v>
      </c>
    </row>
    <row r="333" spans="1:4" hidden="1">
      <c r="A333" s="54">
        <v>-1</v>
      </c>
      <c r="D333" s="56">
        <v>503</v>
      </c>
    </row>
    <row r="334" spans="1:4" hidden="1">
      <c r="A334" s="54">
        <v>-1</v>
      </c>
      <c r="D334" s="56">
        <v>511</v>
      </c>
    </row>
    <row r="335" spans="1:4" hidden="1">
      <c r="A335" s="54">
        <v>0</v>
      </c>
      <c r="D335" s="56">
        <v>512</v>
      </c>
    </row>
    <row r="336" spans="1:4" hidden="1">
      <c r="A336" s="54">
        <v>0</v>
      </c>
      <c r="D336" s="56">
        <v>514</v>
      </c>
    </row>
    <row r="337" spans="1:4" hidden="1">
      <c r="A337" s="54">
        <v>-1</v>
      </c>
      <c r="D337" s="56">
        <v>515</v>
      </c>
    </row>
    <row r="338" spans="1:4" hidden="1">
      <c r="A338" s="54">
        <v>-2</v>
      </c>
      <c r="D338" s="56">
        <v>518</v>
      </c>
    </row>
    <row r="339" spans="1:4" hidden="1">
      <c r="A339" s="54">
        <v>-2</v>
      </c>
      <c r="D339" s="56">
        <v>521</v>
      </c>
    </row>
    <row r="340" spans="1:4" hidden="1">
      <c r="A340" s="54">
        <v>2</v>
      </c>
      <c r="D340" s="56">
        <v>523</v>
      </c>
    </row>
    <row r="341" spans="1:4" hidden="1">
      <c r="A341" s="54">
        <v>2</v>
      </c>
      <c r="D341" s="56">
        <v>524</v>
      </c>
    </row>
    <row r="342" spans="1:4" hidden="1">
      <c r="A342" s="54">
        <v>0</v>
      </c>
      <c r="D342" s="56">
        <v>525</v>
      </c>
    </row>
    <row r="343" spans="1:4" hidden="1">
      <c r="A343" s="54">
        <v>0</v>
      </c>
      <c r="D343" s="56">
        <v>526</v>
      </c>
    </row>
    <row r="344" spans="1:4" hidden="1">
      <c r="A344" s="54">
        <v>0</v>
      </c>
      <c r="D344" s="56">
        <v>528</v>
      </c>
    </row>
    <row r="345" spans="1:4" hidden="1">
      <c r="A345" s="54">
        <v>0</v>
      </c>
      <c r="D345" s="56">
        <v>531</v>
      </c>
    </row>
    <row r="346" spans="1:4" hidden="1">
      <c r="A346" s="54">
        <v>0</v>
      </c>
      <c r="D346" s="56">
        <v>532</v>
      </c>
    </row>
    <row r="347" spans="1:4" hidden="1">
      <c r="A347" s="54">
        <v>0</v>
      </c>
      <c r="D347" s="56">
        <v>533</v>
      </c>
    </row>
    <row r="348" spans="1:4" hidden="1">
      <c r="A348" s="54">
        <v>0</v>
      </c>
      <c r="D348" s="56">
        <v>534</v>
      </c>
    </row>
    <row r="349" spans="1:4" hidden="1">
      <c r="A349" s="54">
        <v>0</v>
      </c>
      <c r="D349" s="56">
        <v>535</v>
      </c>
    </row>
    <row r="350" spans="1:4" hidden="1">
      <c r="A350" s="54">
        <v>2</v>
      </c>
      <c r="D350" s="56">
        <v>536</v>
      </c>
    </row>
    <row r="351" spans="1:4" hidden="1">
      <c r="A351" s="54">
        <v>0</v>
      </c>
      <c r="D351" s="56">
        <v>539</v>
      </c>
    </row>
    <row r="352" spans="1:4" hidden="1">
      <c r="A352" s="54">
        <v>-3</v>
      </c>
      <c r="D352" s="56">
        <v>560</v>
      </c>
    </row>
    <row r="353" spans="1:4" hidden="1">
      <c r="A353" s="54">
        <v>2</v>
      </c>
      <c r="D353" s="56">
        <v>563</v>
      </c>
    </row>
    <row r="354" spans="1:4" hidden="1">
      <c r="A354" s="54">
        <v>2</v>
      </c>
      <c r="D354" s="56">
        <v>564</v>
      </c>
    </row>
    <row r="355" spans="1:4" hidden="1">
      <c r="A355" s="54">
        <v>2</v>
      </c>
      <c r="D355" s="56">
        <v>565</v>
      </c>
    </row>
    <row r="356" spans="1:4" hidden="1">
      <c r="A356" s="54">
        <v>2</v>
      </c>
      <c r="D356" s="56">
        <v>566</v>
      </c>
    </row>
    <row r="357" spans="1:4" hidden="1">
      <c r="A357" s="54">
        <v>2</v>
      </c>
      <c r="D357" s="56">
        <v>571</v>
      </c>
    </row>
    <row r="358" spans="1:4" hidden="1">
      <c r="A358" s="54">
        <v>2</v>
      </c>
      <c r="D358" s="56">
        <v>572</v>
      </c>
    </row>
    <row r="359" spans="1:4" hidden="1">
      <c r="A359" s="54">
        <v>2</v>
      </c>
      <c r="D359" s="56">
        <v>573</v>
      </c>
    </row>
    <row r="360" spans="1:4" hidden="1">
      <c r="A360" s="54">
        <v>11</v>
      </c>
      <c r="D360" s="56">
        <v>574</v>
      </c>
    </row>
    <row r="361" spans="1:4" hidden="1">
      <c r="A361" s="54">
        <v>-10</v>
      </c>
      <c r="D361" s="56">
        <v>575</v>
      </c>
    </row>
    <row r="362" spans="1:4" hidden="1">
      <c r="A362" s="54">
        <v>-10</v>
      </c>
      <c r="D362" s="56">
        <v>576</v>
      </c>
    </row>
    <row r="363" spans="1:4" hidden="1">
      <c r="A363" s="54">
        <v>-10</v>
      </c>
      <c r="D363" s="56">
        <v>577</v>
      </c>
    </row>
    <row r="364" spans="1:4" hidden="1">
      <c r="A364" s="54">
        <v>-1</v>
      </c>
      <c r="D364" s="56">
        <v>578</v>
      </c>
    </row>
    <row r="365" spans="1:4" hidden="1">
      <c r="A365" s="54">
        <v>-10</v>
      </c>
      <c r="D365" s="56">
        <v>580</v>
      </c>
    </row>
    <row r="366" spans="1:4" hidden="1">
      <c r="A366" s="54">
        <v>-10</v>
      </c>
      <c r="D366" s="56">
        <v>581</v>
      </c>
    </row>
    <row r="367" spans="1:4" hidden="1">
      <c r="A367" s="54">
        <v>-10</v>
      </c>
      <c r="D367" s="56">
        <v>588</v>
      </c>
    </row>
    <row r="368" spans="1:4" hidden="1">
      <c r="A368" s="54">
        <v>-16</v>
      </c>
      <c r="D368" s="56">
        <v>589</v>
      </c>
    </row>
    <row r="369" spans="1:4" hidden="1">
      <c r="A369" s="54">
        <v>0</v>
      </c>
      <c r="D369" s="56">
        <v>591</v>
      </c>
    </row>
    <row r="370" spans="1:4" hidden="1">
      <c r="A370" s="54">
        <v>0</v>
      </c>
      <c r="D370" s="56">
        <v>594</v>
      </c>
    </row>
    <row r="371" spans="1:4" hidden="1">
      <c r="A371" s="54">
        <v>20</v>
      </c>
      <c r="D371" s="56">
        <v>595</v>
      </c>
    </row>
    <row r="372" spans="1:4" hidden="1">
      <c r="A372" s="54">
        <v>22</v>
      </c>
      <c r="D372" s="56">
        <v>598</v>
      </c>
    </row>
    <row r="373" spans="1:4" hidden="1">
      <c r="A373" s="54">
        <v>22</v>
      </c>
      <c r="D373" s="56">
        <v>599</v>
      </c>
    </row>
    <row r="374" spans="1:4" hidden="1">
      <c r="A374" s="54">
        <v>1</v>
      </c>
      <c r="D374" s="56">
        <v>600</v>
      </c>
    </row>
    <row r="375" spans="1:4" hidden="1">
      <c r="A375" s="54">
        <v>17</v>
      </c>
      <c r="D375" s="56">
        <v>602</v>
      </c>
    </row>
    <row r="376" spans="1:4" hidden="1">
      <c r="A376" s="54">
        <v>17</v>
      </c>
      <c r="D376" s="56">
        <v>603</v>
      </c>
    </row>
    <row r="377" spans="1:4" hidden="1">
      <c r="A377" s="54">
        <v>17</v>
      </c>
      <c r="D377" s="56">
        <v>604</v>
      </c>
    </row>
    <row r="378" spans="1:4" hidden="1">
      <c r="A378" s="54">
        <v>6</v>
      </c>
      <c r="D378" s="56">
        <v>606</v>
      </c>
    </row>
    <row r="379" spans="1:4" hidden="1">
      <c r="A379" s="54">
        <v>0</v>
      </c>
      <c r="D379" s="56">
        <v>607</v>
      </c>
    </row>
    <row r="380" spans="1:4" hidden="1">
      <c r="A380" s="54">
        <v>0</v>
      </c>
      <c r="D380" s="56">
        <v>608</v>
      </c>
    </row>
    <row r="381" spans="1:4" hidden="1">
      <c r="A381" s="54">
        <v>0</v>
      </c>
      <c r="D381" s="56">
        <v>609</v>
      </c>
    </row>
    <row r="382" spans="1:4" hidden="1">
      <c r="A382" s="54">
        <v>0</v>
      </c>
      <c r="D382" s="56">
        <v>613</v>
      </c>
    </row>
    <row r="383" spans="1:4" hidden="1">
      <c r="A383" s="54">
        <v>-3</v>
      </c>
      <c r="D383" s="56">
        <v>614</v>
      </c>
    </row>
    <row r="384" spans="1:4" hidden="1">
      <c r="A384" s="54">
        <v>-4</v>
      </c>
      <c r="D384" s="56">
        <v>621</v>
      </c>
    </row>
    <row r="385" spans="1:4" hidden="1">
      <c r="A385" s="54">
        <v>0</v>
      </c>
      <c r="D385" s="56">
        <v>622</v>
      </c>
    </row>
    <row r="386" spans="1:4" hidden="1">
      <c r="A386" s="54">
        <v>0</v>
      </c>
      <c r="D386" s="56">
        <v>623</v>
      </c>
    </row>
    <row r="387" spans="1:4" hidden="1">
      <c r="A387" s="54">
        <v>3</v>
      </c>
      <c r="D387" s="56">
        <v>634</v>
      </c>
    </row>
    <row r="388" spans="1:4" hidden="1">
      <c r="A388" s="54">
        <v>-1</v>
      </c>
      <c r="D388" s="56">
        <v>640</v>
      </c>
    </row>
    <row r="389" spans="1:4" hidden="1">
      <c r="A389" s="54">
        <v>4</v>
      </c>
      <c r="D389" s="56">
        <v>641</v>
      </c>
    </row>
    <row r="390" spans="1:4" hidden="1">
      <c r="A390" s="54">
        <v>1</v>
      </c>
      <c r="D390" s="56">
        <v>642</v>
      </c>
    </row>
    <row r="391" spans="1:4" hidden="1">
      <c r="A391" s="54">
        <v>19</v>
      </c>
      <c r="D391" s="56">
        <v>644</v>
      </c>
    </row>
    <row r="392" spans="1:4" hidden="1">
      <c r="A392" s="54">
        <v>3</v>
      </c>
      <c r="D392" s="56">
        <v>647</v>
      </c>
    </row>
    <row r="393" spans="1:4" hidden="1">
      <c r="A393" s="54">
        <v>0</v>
      </c>
      <c r="D393" s="56">
        <v>648</v>
      </c>
    </row>
    <row r="394" spans="1:4" hidden="1">
      <c r="A394" s="54">
        <v>0</v>
      </c>
      <c r="D394" s="56">
        <v>651</v>
      </c>
    </row>
    <row r="395" spans="1:4" hidden="1">
      <c r="A395" s="54">
        <v>0</v>
      </c>
      <c r="D395" s="56">
        <v>654</v>
      </c>
    </row>
    <row r="396" spans="1:4" hidden="1">
      <c r="A396" s="54">
        <v>2</v>
      </c>
      <c r="D396" s="56">
        <v>660</v>
      </c>
    </row>
    <row r="397" spans="1:4" hidden="1">
      <c r="A397" s="54">
        <v>-1</v>
      </c>
      <c r="D397" s="56">
        <v>662</v>
      </c>
    </row>
    <row r="398" spans="1:4" hidden="1">
      <c r="A398" s="54">
        <v>0</v>
      </c>
      <c r="D398" s="56">
        <v>663</v>
      </c>
    </row>
    <row r="399" spans="1:4" hidden="1">
      <c r="A399" s="54">
        <v>-3</v>
      </c>
      <c r="D399" s="56">
        <v>668</v>
      </c>
    </row>
    <row r="400" spans="1:4" hidden="1">
      <c r="A400" s="54">
        <v>-3</v>
      </c>
      <c r="D400" s="56">
        <v>669</v>
      </c>
    </row>
    <row r="401" spans="1:4" hidden="1">
      <c r="A401" s="54">
        <v>1</v>
      </c>
      <c r="D401" s="56">
        <v>671</v>
      </c>
    </row>
    <row r="402" spans="1:4" hidden="1">
      <c r="A402" s="54">
        <v>0</v>
      </c>
      <c r="D402" s="56">
        <v>677</v>
      </c>
    </row>
    <row r="403" spans="1:4" hidden="1">
      <c r="A403" s="54">
        <v>0</v>
      </c>
      <c r="D403" s="56">
        <v>683</v>
      </c>
    </row>
    <row r="404" spans="1:4" hidden="1">
      <c r="D404" s="56">
        <v>600</v>
      </c>
    </row>
    <row r="405" spans="1:4" hidden="1">
      <c r="D405" s="56">
        <v>601</v>
      </c>
    </row>
    <row r="406" spans="1:4" hidden="1">
      <c r="D406" s="56">
        <v>602</v>
      </c>
    </row>
    <row r="407" spans="1:4" hidden="1">
      <c r="D407" s="56">
        <v>603</v>
      </c>
    </row>
    <row r="408" spans="1:4" hidden="1">
      <c r="D408" s="56">
        <v>604</v>
      </c>
    </row>
    <row r="409" spans="1:4" hidden="1">
      <c r="D409" s="56">
        <v>605</v>
      </c>
    </row>
    <row r="410" spans="1:4" hidden="1">
      <c r="D410" s="56">
        <v>606</v>
      </c>
    </row>
    <row r="411" spans="1:4" hidden="1">
      <c r="D411" s="56">
        <v>607</v>
      </c>
    </row>
    <row r="412" spans="1:4" hidden="1">
      <c r="D412" s="56">
        <v>608</v>
      </c>
    </row>
    <row r="413" spans="1:4" hidden="1">
      <c r="D413" s="56">
        <v>609</v>
      </c>
    </row>
    <row r="414" spans="1:4" hidden="1">
      <c r="D414" s="56">
        <v>612</v>
      </c>
    </row>
    <row r="415" spans="1:4" hidden="1">
      <c r="D415" s="56">
        <v>613</v>
      </c>
    </row>
    <row r="416" spans="1:4" hidden="1">
      <c r="D416" s="56">
        <v>614</v>
      </c>
    </row>
    <row r="417" spans="4:4" hidden="1">
      <c r="D417" s="56">
        <v>615</v>
      </c>
    </row>
    <row r="418" spans="4:4" hidden="1">
      <c r="D418" s="56">
        <v>617</v>
      </c>
    </row>
    <row r="419" spans="4:4" hidden="1">
      <c r="D419" s="56">
        <v>618</v>
      </c>
    </row>
    <row r="420" spans="4:4" hidden="1">
      <c r="D420" s="56">
        <v>619</v>
      </c>
    </row>
    <row r="421" spans="4:4" hidden="1">
      <c r="D421" s="56">
        <v>621</v>
      </c>
    </row>
    <row r="422" spans="4:4" hidden="1">
      <c r="D422" s="56">
        <v>622</v>
      </c>
    </row>
    <row r="423" spans="4:4" hidden="1">
      <c r="D423" s="56">
        <v>623</v>
      </c>
    </row>
    <row r="424" spans="4:4" hidden="1">
      <c r="D424" s="56">
        <v>624</v>
      </c>
    </row>
    <row r="425" spans="4:4" hidden="1">
      <c r="D425" s="56">
        <v>627</v>
      </c>
    </row>
    <row r="426" spans="4:4" hidden="1">
      <c r="D426" s="56">
        <v>628</v>
      </c>
    </row>
    <row r="427" spans="4:4" hidden="1">
      <c r="D427" s="56">
        <v>634</v>
      </c>
    </row>
    <row r="428" spans="4:4" hidden="1">
      <c r="D428" s="56">
        <v>635</v>
      </c>
    </row>
    <row r="429" spans="4:4" hidden="1">
      <c r="D429" s="56">
        <v>640</v>
      </c>
    </row>
    <row r="430" spans="4:4" hidden="1">
      <c r="D430" s="56">
        <v>641</v>
      </c>
    </row>
    <row r="431" spans="4:4" hidden="1">
      <c r="D431" s="56">
        <v>642</v>
      </c>
    </row>
    <row r="432" spans="4:4" hidden="1">
      <c r="D432" s="56">
        <v>643</v>
      </c>
    </row>
    <row r="433" spans="4:4" hidden="1">
      <c r="D433" s="56">
        <v>644</v>
      </c>
    </row>
    <row r="434" spans="4:4" hidden="1">
      <c r="D434" s="56">
        <v>645</v>
      </c>
    </row>
    <row r="435" spans="4:4" hidden="1">
      <c r="D435" s="56">
        <v>646</v>
      </c>
    </row>
    <row r="436" spans="4:4" hidden="1">
      <c r="D436" s="56">
        <v>647</v>
      </c>
    </row>
    <row r="437" spans="4:4" hidden="1">
      <c r="D437" s="56">
        <v>648</v>
      </c>
    </row>
    <row r="438" spans="4:4" hidden="1">
      <c r="D438" s="56">
        <v>649</v>
      </c>
    </row>
    <row r="439" spans="4:4" hidden="1">
      <c r="D439" s="56">
        <v>650</v>
      </c>
    </row>
    <row r="440" spans="4:4" hidden="1">
      <c r="D440" s="56">
        <v>651</v>
      </c>
    </row>
    <row r="441" spans="4:4" hidden="1">
      <c r="D441" s="56">
        <v>654</v>
      </c>
    </row>
    <row r="442" spans="4:4" hidden="1">
      <c r="D442" s="56">
        <v>658</v>
      </c>
    </row>
    <row r="443" spans="4:4" hidden="1">
      <c r="D443" s="56">
        <v>659</v>
      </c>
    </row>
    <row r="444" spans="4:4" hidden="1">
      <c r="D444" s="56">
        <v>660</v>
      </c>
    </row>
    <row r="445" spans="4:4" hidden="1">
      <c r="D445" s="56">
        <v>661</v>
      </c>
    </row>
    <row r="446" spans="4:4" hidden="1">
      <c r="D446" s="56">
        <v>662</v>
      </c>
    </row>
    <row r="447" spans="4:4" hidden="1">
      <c r="D447" s="56">
        <v>663</v>
      </c>
    </row>
    <row r="448" spans="4:4" hidden="1">
      <c r="D448" s="56">
        <v>664</v>
      </c>
    </row>
    <row r="449" spans="4:4" hidden="1">
      <c r="D449" s="56">
        <v>665</v>
      </c>
    </row>
    <row r="450" spans="4:4" hidden="1">
      <c r="D450" s="56">
        <v>668</v>
      </c>
    </row>
    <row r="451" spans="4:4" hidden="1">
      <c r="D451" s="56">
        <v>669</v>
      </c>
    </row>
    <row r="452" spans="4:4" hidden="1">
      <c r="D452" s="56">
        <v>671</v>
      </c>
    </row>
    <row r="453" spans="4:4" hidden="1">
      <c r="D453" s="56">
        <v>672</v>
      </c>
    </row>
    <row r="454" spans="4:4" hidden="1">
      <c r="D454" s="56">
        <v>673</v>
      </c>
    </row>
    <row r="455" spans="4:4" hidden="1">
      <c r="D455" s="56">
        <v>674</v>
      </c>
    </row>
    <row r="456" spans="4:4" hidden="1">
      <c r="D456" s="56">
        <v>676</v>
      </c>
    </row>
    <row r="457" spans="4:4" hidden="1">
      <c r="D457" s="56">
        <v>677</v>
      </c>
    </row>
    <row r="458" spans="4:4" hidden="1">
      <c r="D458" s="56">
        <v>678</v>
      </c>
    </row>
    <row r="459" spans="4:4" hidden="1">
      <c r="D459" s="56">
        <v>680</v>
      </c>
    </row>
    <row r="460" spans="4:4" hidden="1"/>
    <row r="461" spans="4:4" hidden="1">
      <c r="D461" s="56">
        <v>683</v>
      </c>
    </row>
    <row r="462" spans="4:4" hidden="1">
      <c r="D462" s="56">
        <v>685</v>
      </c>
    </row>
    <row r="463" spans="4:4" hidden="1">
      <c r="D463" s="56">
        <v>687</v>
      </c>
    </row>
    <row r="464" spans="4:4" hidden="1">
      <c r="D464" s="56">
        <v>688</v>
      </c>
    </row>
    <row r="465" spans="4:4" hidden="1">
      <c r="D465" s="56">
        <v>691</v>
      </c>
    </row>
    <row r="466" spans="4:4" hidden="1">
      <c r="D466" s="56">
        <v>696</v>
      </c>
    </row>
    <row r="467" spans="4:4" hidden="1">
      <c r="D467" s="56">
        <v>701</v>
      </c>
    </row>
    <row r="468" spans="4:4" hidden="1">
      <c r="D468" s="56">
        <v>703</v>
      </c>
    </row>
    <row r="469" spans="4:4" hidden="1">
      <c r="D469" s="56">
        <v>705</v>
      </c>
    </row>
    <row r="470" spans="4:4" hidden="1">
      <c r="D470" s="56">
        <v>706</v>
      </c>
    </row>
    <row r="471" spans="4:4" hidden="1">
      <c r="D471" s="56">
        <v>708</v>
      </c>
    </row>
    <row r="472" spans="4:4" hidden="1">
      <c r="D472" s="56">
        <v>709</v>
      </c>
    </row>
    <row r="473" spans="4:4" hidden="1">
      <c r="D473" s="56">
        <v>710</v>
      </c>
    </row>
    <row r="474" spans="4:4" hidden="1">
      <c r="D474" s="56">
        <v>713</v>
      </c>
    </row>
    <row r="475" spans="4:4" hidden="1">
      <c r="D475" s="56">
        <v>714</v>
      </c>
    </row>
    <row r="476" spans="4:4" hidden="1">
      <c r="D476" s="56">
        <v>719</v>
      </c>
    </row>
    <row r="477" spans="4:4" hidden="1">
      <c r="D477" s="56">
        <v>720</v>
      </c>
    </row>
    <row r="478" spans="4:4" hidden="1">
      <c r="D478" s="56">
        <v>721</v>
      </c>
    </row>
    <row r="479" spans="4:4" hidden="1">
      <c r="D479" s="56">
        <v>722</v>
      </c>
    </row>
    <row r="480" spans="4:4" hidden="1">
      <c r="D480" s="56">
        <v>723</v>
      </c>
    </row>
    <row r="481" spans="4:4" hidden="1">
      <c r="D481" s="56">
        <v>725</v>
      </c>
    </row>
    <row r="482" spans="4:4" hidden="1">
      <c r="D482" s="56">
        <v>726</v>
      </c>
    </row>
    <row r="483" spans="4:4" hidden="1">
      <c r="D483" s="56">
        <v>727</v>
      </c>
    </row>
    <row r="484" spans="4:4" hidden="1">
      <c r="D484" s="56">
        <v>732</v>
      </c>
    </row>
    <row r="485" spans="4:4" hidden="1">
      <c r="D485" s="56">
        <v>733</v>
      </c>
    </row>
    <row r="486" spans="4:4" hidden="1">
      <c r="D486" s="56">
        <v>734</v>
      </c>
    </row>
    <row r="487" spans="4:4" hidden="1">
      <c r="D487" s="56">
        <v>735</v>
      </c>
    </row>
    <row r="488" spans="4:4" hidden="1">
      <c r="D488" s="56">
        <v>736</v>
      </c>
    </row>
    <row r="489" spans="4:4" hidden="1">
      <c r="D489" s="56">
        <v>737</v>
      </c>
    </row>
    <row r="490" spans="4:4" hidden="1">
      <c r="D490" s="56">
        <v>740</v>
      </c>
    </row>
    <row r="491" spans="4:4" hidden="1">
      <c r="D491" s="56">
        <v>741</v>
      </c>
    </row>
    <row r="492" spans="4:4" hidden="1">
      <c r="D492" s="56">
        <v>744</v>
      </c>
    </row>
    <row r="493" spans="4:4" hidden="1">
      <c r="D493" s="56">
        <v>745</v>
      </c>
    </row>
    <row r="494" spans="4:4" hidden="1">
      <c r="D494" s="56">
        <v>748</v>
      </c>
    </row>
    <row r="495" spans="4:4" hidden="1">
      <c r="D495" s="56">
        <v>749</v>
      </c>
    </row>
    <row r="496" spans="4:4" hidden="1">
      <c r="D496" s="56">
        <v>750</v>
      </c>
    </row>
    <row r="497" spans="4:4" hidden="1">
      <c r="D497" s="56">
        <v>753</v>
      </c>
    </row>
    <row r="498" spans="4:4" hidden="1">
      <c r="D498" s="56">
        <v>754</v>
      </c>
    </row>
    <row r="499" spans="4:4" hidden="1">
      <c r="D499" s="56">
        <v>755</v>
      </c>
    </row>
    <row r="500" spans="4:4" hidden="1">
      <c r="D500" s="56">
        <v>756</v>
      </c>
    </row>
    <row r="501" spans="4:4" hidden="1">
      <c r="D501" s="56">
        <v>759</v>
      </c>
    </row>
    <row r="502" spans="4:4" hidden="1">
      <c r="D502" s="56">
        <v>760</v>
      </c>
    </row>
    <row r="503" spans="4:4" hidden="1">
      <c r="D503" s="56">
        <v>763</v>
      </c>
    </row>
    <row r="504" spans="4:4" hidden="1">
      <c r="D504" s="56">
        <v>764</v>
      </c>
    </row>
    <row r="505" spans="4:4" hidden="1">
      <c r="D505" s="56">
        <v>765</v>
      </c>
    </row>
    <row r="506" spans="4:4" hidden="1">
      <c r="D506" s="56">
        <v>766</v>
      </c>
    </row>
    <row r="507" spans="4:4" hidden="1">
      <c r="D507" s="56">
        <v>768</v>
      </c>
    </row>
    <row r="508" spans="4:4" hidden="1">
      <c r="D508" s="56">
        <v>770</v>
      </c>
    </row>
    <row r="509" spans="4:4" hidden="1">
      <c r="D509" s="56">
        <v>771</v>
      </c>
    </row>
    <row r="510" spans="4:4" hidden="1">
      <c r="D510" s="56">
        <v>775</v>
      </c>
    </row>
    <row r="511" spans="4:4" hidden="1">
      <c r="D511" s="56">
        <v>776</v>
      </c>
    </row>
    <row r="512" spans="4:4" hidden="1">
      <c r="D512" s="56">
        <v>778</v>
      </c>
    </row>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sheetData>
  <sheetProtection selectLockedCells="1"/>
  <dataConsolidate/>
  <customSheetViews>
    <customSheetView guid="{2383B994-5DA1-4BB7-BA01-728624653006}" fitToPage="1" hiddenRows="1" hiddenColumns="1" state="hidden">
      <pane ySplit="23" topLeftCell="A25" activePane="bottomLeft" state="frozen"/>
      <selection pane="bottomLeft" activeCell="A403" sqref="A403:E403"/>
      <pageMargins left="0.7" right="0.7" top="0.75" bottom="0.75" header="0.3" footer="0.3"/>
      <pageSetup scale="79" orientation="landscape" r:id="rId1"/>
    </customSheetView>
    <customSheetView guid="{2CF83A42-D815-4571-8877-DB621A116308}" fitToPage="1" hiddenRows="1" hiddenColumns="1" state="hidden">
      <pane ySplit="23" topLeftCell="A25" activePane="bottomLeft" state="frozen"/>
      <selection pane="bottomLeft" activeCell="A403" sqref="A403:E403"/>
      <pageMargins left="0.7" right="0.7" top="0.75" bottom="0.75" header="0.3" footer="0.3"/>
      <pageSetup scale="79" orientation="landscape" r:id="rId2"/>
    </customSheetView>
    <customSheetView guid="{FFA6C093-E866-4B92-9807-8D478A2763D4}" fitToPage="1" hiddenRows="1" hiddenColumns="1" state="hidden">
      <pane ySplit="23" topLeftCell="A25" activePane="bottomLeft" state="frozen"/>
      <selection pane="bottomLeft" activeCell="A403" sqref="A403:E403"/>
      <pageMargins left="0.7" right="0.7" top="0.75" bottom="0.75" header="0.3" footer="0.3"/>
      <pageSetup scale="79" orientation="landscape" r:id="rId3"/>
    </customSheetView>
  </customSheetViews>
  <conditionalFormatting sqref="U26">
    <cfRule type="iconSet" priority="477">
      <iconSet reverse="1">
        <cfvo type="percent" val="0"/>
        <cfvo type="num" val="0"/>
        <cfvo type="num" val="5"/>
      </iconSet>
    </cfRule>
    <cfRule type="cellIs" dxfId="721" priority="478" operator="lessThanOrEqual">
      <formula>0</formula>
    </cfRule>
    <cfRule type="cellIs" dxfId="720" priority="479" operator="between">
      <formula>1</formula>
      <formula>4</formula>
    </cfRule>
    <cfRule type="cellIs" dxfId="719" priority="480" operator="between">
      <formula>5</formula>
      <formula>365</formula>
    </cfRule>
  </conditionalFormatting>
  <conditionalFormatting sqref="U27">
    <cfRule type="iconSet" priority="473">
      <iconSet reverse="1">
        <cfvo type="percent" val="0"/>
        <cfvo type="num" val="0"/>
        <cfvo type="num" val="5"/>
      </iconSet>
    </cfRule>
    <cfRule type="cellIs" dxfId="718" priority="474" operator="lessThanOrEqual">
      <formula>0</formula>
    </cfRule>
    <cfRule type="cellIs" dxfId="717" priority="475" operator="between">
      <formula>1</formula>
      <formula>4</formula>
    </cfRule>
    <cfRule type="cellIs" dxfId="716" priority="476" operator="between">
      <formula>5</formula>
      <formula>365</formula>
    </cfRule>
  </conditionalFormatting>
  <conditionalFormatting sqref="U28">
    <cfRule type="iconSet" priority="469">
      <iconSet reverse="1">
        <cfvo type="percent" val="0"/>
        <cfvo type="num" val="0"/>
        <cfvo type="num" val="5"/>
      </iconSet>
    </cfRule>
    <cfRule type="cellIs" dxfId="715" priority="470" operator="lessThanOrEqual">
      <formula>0</formula>
    </cfRule>
    <cfRule type="cellIs" dxfId="714" priority="471" operator="between">
      <formula>1</formula>
      <formula>4</formula>
    </cfRule>
    <cfRule type="cellIs" dxfId="713" priority="472" operator="between">
      <formula>5</formula>
      <formula>365</formula>
    </cfRule>
  </conditionalFormatting>
  <conditionalFormatting sqref="U29">
    <cfRule type="iconSet" priority="465">
      <iconSet reverse="1">
        <cfvo type="percent" val="0"/>
        <cfvo type="num" val="0"/>
        <cfvo type="num" val="5"/>
      </iconSet>
    </cfRule>
    <cfRule type="cellIs" dxfId="712" priority="466" operator="lessThanOrEqual">
      <formula>0</formula>
    </cfRule>
    <cfRule type="cellIs" dxfId="711" priority="467" operator="between">
      <formula>1</formula>
      <formula>4</formula>
    </cfRule>
    <cfRule type="cellIs" dxfId="710" priority="468" operator="between">
      <formula>5</formula>
      <formula>365</formula>
    </cfRule>
  </conditionalFormatting>
  <conditionalFormatting sqref="U30">
    <cfRule type="iconSet" priority="461">
      <iconSet reverse="1">
        <cfvo type="percent" val="0"/>
        <cfvo type="num" val="0"/>
        <cfvo type="num" val="5"/>
      </iconSet>
    </cfRule>
    <cfRule type="cellIs" dxfId="709" priority="462" operator="lessThanOrEqual">
      <formula>0</formula>
    </cfRule>
    <cfRule type="cellIs" dxfId="708" priority="463" operator="between">
      <formula>1</formula>
      <formula>4</formula>
    </cfRule>
    <cfRule type="cellIs" dxfId="707" priority="464" operator="between">
      <formula>5</formula>
      <formula>365</formula>
    </cfRule>
  </conditionalFormatting>
  <conditionalFormatting sqref="U31">
    <cfRule type="iconSet" priority="457">
      <iconSet reverse="1">
        <cfvo type="percent" val="0"/>
        <cfvo type="num" val="0"/>
        <cfvo type="num" val="5"/>
      </iconSet>
    </cfRule>
    <cfRule type="cellIs" dxfId="706" priority="458" operator="lessThanOrEqual">
      <formula>0</formula>
    </cfRule>
    <cfRule type="cellIs" dxfId="705" priority="459" operator="between">
      <formula>1</formula>
      <formula>4</formula>
    </cfRule>
    <cfRule type="cellIs" dxfId="704" priority="460" operator="between">
      <formula>5</formula>
      <formula>365</formula>
    </cfRule>
  </conditionalFormatting>
  <conditionalFormatting sqref="U32">
    <cfRule type="iconSet" priority="453">
      <iconSet reverse="1">
        <cfvo type="percent" val="0"/>
        <cfvo type="num" val="0"/>
        <cfvo type="num" val="5"/>
      </iconSet>
    </cfRule>
    <cfRule type="cellIs" dxfId="703" priority="454" operator="lessThanOrEqual">
      <formula>0</formula>
    </cfRule>
    <cfRule type="cellIs" dxfId="702" priority="455" operator="between">
      <formula>1</formula>
      <formula>4</formula>
    </cfRule>
    <cfRule type="cellIs" dxfId="701" priority="456" operator="between">
      <formula>5</formula>
      <formula>365</formula>
    </cfRule>
  </conditionalFormatting>
  <conditionalFormatting sqref="U33">
    <cfRule type="iconSet" priority="449">
      <iconSet reverse="1">
        <cfvo type="percent" val="0"/>
        <cfvo type="num" val="0"/>
        <cfvo type="num" val="5"/>
      </iconSet>
    </cfRule>
    <cfRule type="cellIs" dxfId="700" priority="450" operator="lessThanOrEqual">
      <formula>0</formula>
    </cfRule>
    <cfRule type="cellIs" dxfId="699" priority="451" operator="between">
      <formula>1</formula>
      <formula>4</formula>
    </cfRule>
    <cfRule type="cellIs" dxfId="698" priority="452" operator="between">
      <formula>5</formula>
      <formula>365</formula>
    </cfRule>
  </conditionalFormatting>
  <conditionalFormatting sqref="U34">
    <cfRule type="iconSet" priority="445">
      <iconSet reverse="1">
        <cfvo type="percent" val="0"/>
        <cfvo type="num" val="0"/>
        <cfvo type="num" val="5"/>
      </iconSet>
    </cfRule>
    <cfRule type="cellIs" dxfId="697" priority="446" operator="lessThanOrEqual">
      <formula>0</formula>
    </cfRule>
    <cfRule type="cellIs" dxfId="696" priority="447" operator="between">
      <formula>1</formula>
      <formula>4</formula>
    </cfRule>
    <cfRule type="cellIs" dxfId="695" priority="448" operator="between">
      <formula>5</formula>
      <formula>365</formula>
    </cfRule>
  </conditionalFormatting>
  <conditionalFormatting sqref="U35">
    <cfRule type="iconSet" priority="441">
      <iconSet reverse="1">
        <cfvo type="percent" val="0"/>
        <cfvo type="num" val="0"/>
        <cfvo type="num" val="5"/>
      </iconSet>
    </cfRule>
    <cfRule type="cellIs" dxfId="694" priority="442" operator="lessThanOrEqual">
      <formula>0</formula>
    </cfRule>
    <cfRule type="cellIs" dxfId="693" priority="443" operator="between">
      <formula>1</formula>
      <formula>4</formula>
    </cfRule>
    <cfRule type="cellIs" dxfId="692" priority="444" operator="between">
      <formula>5</formula>
      <formula>365</formula>
    </cfRule>
  </conditionalFormatting>
  <conditionalFormatting sqref="U36">
    <cfRule type="iconSet" priority="437">
      <iconSet reverse="1">
        <cfvo type="percent" val="0"/>
        <cfvo type="num" val="0"/>
        <cfvo type="num" val="5"/>
      </iconSet>
    </cfRule>
    <cfRule type="cellIs" dxfId="691" priority="438" operator="lessThanOrEqual">
      <formula>0</formula>
    </cfRule>
    <cfRule type="cellIs" dxfId="690" priority="439" operator="between">
      <formula>1</formula>
      <formula>4</formula>
    </cfRule>
    <cfRule type="cellIs" dxfId="689" priority="440" operator="between">
      <formula>5</formula>
      <formula>365</formula>
    </cfRule>
  </conditionalFormatting>
  <conditionalFormatting sqref="U37">
    <cfRule type="iconSet" priority="433">
      <iconSet reverse="1">
        <cfvo type="percent" val="0"/>
        <cfvo type="num" val="0"/>
        <cfvo type="num" val="5"/>
      </iconSet>
    </cfRule>
    <cfRule type="cellIs" dxfId="688" priority="434" operator="lessThanOrEqual">
      <formula>0</formula>
    </cfRule>
    <cfRule type="cellIs" dxfId="687" priority="435" operator="between">
      <formula>1</formula>
      <formula>4</formula>
    </cfRule>
    <cfRule type="cellIs" dxfId="686" priority="436" operator="between">
      <formula>5</formula>
      <formula>365</formula>
    </cfRule>
  </conditionalFormatting>
  <conditionalFormatting sqref="U38">
    <cfRule type="iconSet" priority="429">
      <iconSet reverse="1">
        <cfvo type="percent" val="0"/>
        <cfvo type="num" val="0"/>
        <cfvo type="num" val="5"/>
      </iconSet>
    </cfRule>
    <cfRule type="cellIs" dxfId="685" priority="430" operator="lessThanOrEqual">
      <formula>0</formula>
    </cfRule>
    <cfRule type="cellIs" dxfId="684" priority="431" operator="between">
      <formula>1</formula>
      <formula>4</formula>
    </cfRule>
    <cfRule type="cellIs" dxfId="683" priority="432" operator="between">
      <formula>5</formula>
      <formula>365</formula>
    </cfRule>
  </conditionalFormatting>
  <conditionalFormatting sqref="U39">
    <cfRule type="iconSet" priority="425">
      <iconSet reverse="1">
        <cfvo type="percent" val="0"/>
        <cfvo type="num" val="0"/>
        <cfvo type="num" val="5"/>
      </iconSet>
    </cfRule>
    <cfRule type="cellIs" dxfId="682" priority="426" operator="lessThanOrEqual">
      <formula>0</formula>
    </cfRule>
    <cfRule type="cellIs" dxfId="681" priority="427" operator="between">
      <formula>1</formula>
      <formula>4</formula>
    </cfRule>
    <cfRule type="cellIs" dxfId="680" priority="428" operator="between">
      <formula>5</formula>
      <formula>365</formula>
    </cfRule>
  </conditionalFormatting>
  <conditionalFormatting sqref="U40">
    <cfRule type="iconSet" priority="421">
      <iconSet reverse="1">
        <cfvo type="percent" val="0"/>
        <cfvo type="num" val="0"/>
        <cfvo type="num" val="5"/>
      </iconSet>
    </cfRule>
    <cfRule type="cellIs" dxfId="679" priority="422" operator="lessThanOrEqual">
      <formula>0</formula>
    </cfRule>
    <cfRule type="cellIs" dxfId="678" priority="423" operator="between">
      <formula>1</formula>
      <formula>4</formula>
    </cfRule>
    <cfRule type="cellIs" dxfId="677" priority="424" operator="between">
      <formula>5</formula>
      <formula>365</formula>
    </cfRule>
  </conditionalFormatting>
  <conditionalFormatting sqref="U41">
    <cfRule type="iconSet" priority="417">
      <iconSet reverse="1">
        <cfvo type="percent" val="0"/>
        <cfvo type="num" val="0"/>
        <cfvo type="num" val="5"/>
      </iconSet>
    </cfRule>
    <cfRule type="cellIs" dxfId="676" priority="418" operator="lessThanOrEqual">
      <formula>0</formula>
    </cfRule>
    <cfRule type="cellIs" dxfId="675" priority="419" operator="between">
      <formula>1</formula>
      <formula>4</formula>
    </cfRule>
    <cfRule type="cellIs" dxfId="674" priority="420" operator="between">
      <formula>5</formula>
      <formula>365</formula>
    </cfRule>
  </conditionalFormatting>
  <conditionalFormatting sqref="U42">
    <cfRule type="iconSet" priority="413">
      <iconSet reverse="1">
        <cfvo type="percent" val="0"/>
        <cfvo type="num" val="0"/>
        <cfvo type="num" val="5"/>
      </iconSet>
    </cfRule>
    <cfRule type="cellIs" dxfId="673" priority="414" operator="lessThanOrEqual">
      <formula>0</formula>
    </cfRule>
    <cfRule type="cellIs" dxfId="672" priority="415" operator="between">
      <formula>1</formula>
      <formula>4</formula>
    </cfRule>
    <cfRule type="cellIs" dxfId="671" priority="416" operator="between">
      <formula>5</formula>
      <formula>365</formula>
    </cfRule>
  </conditionalFormatting>
  <conditionalFormatting sqref="U43">
    <cfRule type="iconSet" priority="409">
      <iconSet reverse="1">
        <cfvo type="percent" val="0"/>
        <cfvo type="num" val="0"/>
        <cfvo type="num" val="5"/>
      </iconSet>
    </cfRule>
    <cfRule type="cellIs" dxfId="670" priority="410" operator="lessThanOrEqual">
      <formula>0</formula>
    </cfRule>
    <cfRule type="cellIs" dxfId="669" priority="411" operator="between">
      <formula>1</formula>
      <formula>4</formula>
    </cfRule>
    <cfRule type="cellIs" dxfId="668" priority="412" operator="between">
      <formula>5</formula>
      <formula>365</formula>
    </cfRule>
  </conditionalFormatting>
  <conditionalFormatting sqref="U44">
    <cfRule type="iconSet" priority="405">
      <iconSet reverse="1">
        <cfvo type="percent" val="0"/>
        <cfvo type="num" val="0"/>
        <cfvo type="num" val="5"/>
      </iconSet>
    </cfRule>
    <cfRule type="cellIs" dxfId="667" priority="406" operator="lessThanOrEqual">
      <formula>0</formula>
    </cfRule>
    <cfRule type="cellIs" dxfId="666" priority="407" operator="between">
      <formula>1</formula>
      <formula>4</formula>
    </cfRule>
    <cfRule type="cellIs" dxfId="665" priority="408" operator="between">
      <formula>5</formula>
      <formula>365</formula>
    </cfRule>
  </conditionalFormatting>
  <conditionalFormatting sqref="U45">
    <cfRule type="iconSet" priority="401">
      <iconSet reverse="1">
        <cfvo type="percent" val="0"/>
        <cfvo type="num" val="0"/>
        <cfvo type="num" val="5"/>
      </iconSet>
    </cfRule>
    <cfRule type="cellIs" dxfId="664" priority="402" operator="lessThanOrEqual">
      <formula>0</formula>
    </cfRule>
    <cfRule type="cellIs" dxfId="663" priority="403" operator="between">
      <formula>1</formula>
      <formula>4</formula>
    </cfRule>
    <cfRule type="cellIs" dxfId="662" priority="404" operator="between">
      <formula>5</formula>
      <formula>365</formula>
    </cfRule>
  </conditionalFormatting>
  <conditionalFormatting sqref="U46">
    <cfRule type="iconSet" priority="397">
      <iconSet reverse="1">
        <cfvo type="percent" val="0"/>
        <cfvo type="num" val="0"/>
        <cfvo type="num" val="5"/>
      </iconSet>
    </cfRule>
    <cfRule type="cellIs" dxfId="661" priority="398" operator="lessThanOrEqual">
      <formula>0</formula>
    </cfRule>
    <cfRule type="cellIs" dxfId="660" priority="399" operator="between">
      <formula>1</formula>
      <formula>4</formula>
    </cfRule>
    <cfRule type="cellIs" dxfId="659" priority="400" operator="between">
      <formula>5</formula>
      <formula>365</formula>
    </cfRule>
  </conditionalFormatting>
  <conditionalFormatting sqref="U47">
    <cfRule type="iconSet" priority="393">
      <iconSet reverse="1">
        <cfvo type="percent" val="0"/>
        <cfvo type="num" val="0"/>
        <cfvo type="num" val="5"/>
      </iconSet>
    </cfRule>
    <cfRule type="cellIs" dxfId="658" priority="394" operator="lessThanOrEqual">
      <formula>0</formula>
    </cfRule>
    <cfRule type="cellIs" dxfId="657" priority="395" operator="between">
      <formula>1</formula>
      <formula>4</formula>
    </cfRule>
    <cfRule type="cellIs" dxfId="656" priority="396" operator="between">
      <formula>5</formula>
      <formula>365</formula>
    </cfRule>
  </conditionalFormatting>
  <conditionalFormatting sqref="U48">
    <cfRule type="iconSet" priority="389">
      <iconSet reverse="1">
        <cfvo type="percent" val="0"/>
        <cfvo type="num" val="0"/>
        <cfvo type="num" val="5"/>
      </iconSet>
    </cfRule>
    <cfRule type="cellIs" dxfId="655" priority="390" operator="lessThanOrEqual">
      <formula>0</formula>
    </cfRule>
    <cfRule type="cellIs" dxfId="654" priority="391" operator="between">
      <formula>1</formula>
      <formula>4</formula>
    </cfRule>
    <cfRule type="cellIs" dxfId="653" priority="392" operator="between">
      <formula>5</formula>
      <formula>365</formula>
    </cfRule>
  </conditionalFormatting>
  <conditionalFormatting sqref="U49">
    <cfRule type="iconSet" priority="385">
      <iconSet reverse="1">
        <cfvo type="percent" val="0"/>
        <cfvo type="num" val="0"/>
        <cfvo type="num" val="5"/>
      </iconSet>
    </cfRule>
    <cfRule type="cellIs" dxfId="652" priority="386" operator="lessThanOrEqual">
      <formula>0</formula>
    </cfRule>
    <cfRule type="cellIs" dxfId="651" priority="387" operator="between">
      <formula>1</formula>
      <formula>4</formula>
    </cfRule>
    <cfRule type="cellIs" dxfId="650" priority="388" operator="between">
      <formula>5</formula>
      <formula>365</formula>
    </cfRule>
  </conditionalFormatting>
  <conditionalFormatting sqref="U50">
    <cfRule type="iconSet" priority="381">
      <iconSet reverse="1">
        <cfvo type="percent" val="0"/>
        <cfvo type="num" val="0"/>
        <cfvo type="num" val="5"/>
      </iconSet>
    </cfRule>
    <cfRule type="cellIs" dxfId="649" priority="382" operator="lessThanOrEqual">
      <formula>0</formula>
    </cfRule>
    <cfRule type="cellIs" dxfId="648" priority="383" operator="between">
      <formula>1</formula>
      <formula>4</formula>
    </cfRule>
    <cfRule type="cellIs" dxfId="647" priority="384" operator="between">
      <formula>5</formula>
      <formula>365</formula>
    </cfRule>
  </conditionalFormatting>
  <conditionalFormatting sqref="U51">
    <cfRule type="iconSet" priority="377">
      <iconSet reverse="1">
        <cfvo type="percent" val="0"/>
        <cfvo type="num" val="0"/>
        <cfvo type="num" val="5"/>
      </iconSet>
    </cfRule>
    <cfRule type="cellIs" dxfId="646" priority="378" operator="lessThanOrEqual">
      <formula>0</formula>
    </cfRule>
    <cfRule type="cellIs" dxfId="645" priority="379" operator="between">
      <formula>1</formula>
      <formula>4</formula>
    </cfRule>
    <cfRule type="cellIs" dxfId="644" priority="380" operator="between">
      <formula>5</formula>
      <formula>365</formula>
    </cfRule>
  </conditionalFormatting>
  <conditionalFormatting sqref="U52">
    <cfRule type="iconSet" priority="373">
      <iconSet reverse="1">
        <cfvo type="percent" val="0"/>
        <cfvo type="num" val="0"/>
        <cfvo type="num" val="5"/>
      </iconSet>
    </cfRule>
    <cfRule type="cellIs" dxfId="643" priority="374" operator="lessThanOrEqual">
      <formula>0</formula>
    </cfRule>
    <cfRule type="cellIs" dxfId="642" priority="375" operator="between">
      <formula>1</formula>
      <formula>4</formula>
    </cfRule>
    <cfRule type="cellIs" dxfId="641" priority="376" operator="between">
      <formula>5</formula>
      <formula>365</formula>
    </cfRule>
  </conditionalFormatting>
  <conditionalFormatting sqref="U53">
    <cfRule type="iconSet" priority="369">
      <iconSet reverse="1">
        <cfvo type="percent" val="0"/>
        <cfvo type="num" val="0"/>
        <cfvo type="num" val="5"/>
      </iconSet>
    </cfRule>
    <cfRule type="cellIs" dxfId="640" priority="370" operator="lessThanOrEqual">
      <formula>0</formula>
    </cfRule>
    <cfRule type="cellIs" dxfId="639" priority="371" operator="between">
      <formula>1</formula>
      <formula>4</formula>
    </cfRule>
    <cfRule type="cellIs" dxfId="638" priority="372" operator="between">
      <formula>5</formula>
      <formula>365</formula>
    </cfRule>
  </conditionalFormatting>
  <conditionalFormatting sqref="U54">
    <cfRule type="iconSet" priority="365">
      <iconSet reverse="1">
        <cfvo type="percent" val="0"/>
        <cfvo type="num" val="0"/>
        <cfvo type="num" val="5"/>
      </iconSet>
    </cfRule>
    <cfRule type="cellIs" dxfId="637" priority="366" operator="lessThanOrEqual">
      <formula>0</formula>
    </cfRule>
    <cfRule type="cellIs" dxfId="636" priority="367" operator="between">
      <formula>1</formula>
      <formula>4</formula>
    </cfRule>
    <cfRule type="cellIs" dxfId="635" priority="368" operator="between">
      <formula>5</formula>
      <formula>365</formula>
    </cfRule>
  </conditionalFormatting>
  <conditionalFormatting sqref="U55">
    <cfRule type="iconSet" priority="361">
      <iconSet reverse="1">
        <cfvo type="percent" val="0"/>
        <cfvo type="num" val="0"/>
        <cfvo type="num" val="5"/>
      </iconSet>
    </cfRule>
    <cfRule type="cellIs" dxfId="634" priority="362" operator="lessThanOrEqual">
      <formula>0</formula>
    </cfRule>
    <cfRule type="cellIs" dxfId="633" priority="363" operator="between">
      <formula>1</formula>
      <formula>4</formula>
    </cfRule>
    <cfRule type="cellIs" dxfId="632" priority="364" operator="between">
      <formula>5</formula>
      <formula>365</formula>
    </cfRule>
  </conditionalFormatting>
  <conditionalFormatting sqref="U26">
    <cfRule type="iconSet" priority="357">
      <iconSet reverse="1">
        <cfvo type="percent" val="0"/>
        <cfvo type="num" val="0"/>
        <cfvo type="num" val="5"/>
      </iconSet>
    </cfRule>
    <cfRule type="cellIs" dxfId="631" priority="358" operator="lessThanOrEqual">
      <formula>0</formula>
    </cfRule>
    <cfRule type="cellIs" dxfId="630" priority="359" operator="between">
      <formula>1</formula>
      <formula>4</formula>
    </cfRule>
    <cfRule type="cellIs" dxfId="629" priority="360" operator="between">
      <formula>5</formula>
      <formula>365</formula>
    </cfRule>
  </conditionalFormatting>
  <conditionalFormatting sqref="U27">
    <cfRule type="iconSet" priority="353">
      <iconSet reverse="1">
        <cfvo type="percent" val="0"/>
        <cfvo type="num" val="0"/>
        <cfvo type="num" val="5"/>
      </iconSet>
    </cfRule>
    <cfRule type="cellIs" dxfId="628" priority="354" operator="lessThanOrEqual">
      <formula>0</formula>
    </cfRule>
    <cfRule type="cellIs" dxfId="627" priority="355" operator="between">
      <formula>1</formula>
      <formula>4</formula>
    </cfRule>
    <cfRule type="cellIs" dxfId="626" priority="356" operator="between">
      <formula>5</formula>
      <formula>365</formula>
    </cfRule>
  </conditionalFormatting>
  <conditionalFormatting sqref="U28">
    <cfRule type="iconSet" priority="349">
      <iconSet reverse="1">
        <cfvo type="percent" val="0"/>
        <cfvo type="num" val="0"/>
        <cfvo type="num" val="5"/>
      </iconSet>
    </cfRule>
    <cfRule type="cellIs" dxfId="625" priority="350" operator="lessThanOrEqual">
      <formula>0</formula>
    </cfRule>
    <cfRule type="cellIs" dxfId="624" priority="351" operator="between">
      <formula>1</formula>
      <formula>4</formula>
    </cfRule>
    <cfRule type="cellIs" dxfId="623" priority="352" operator="between">
      <formula>5</formula>
      <formula>365</formula>
    </cfRule>
  </conditionalFormatting>
  <conditionalFormatting sqref="U29">
    <cfRule type="iconSet" priority="345">
      <iconSet reverse="1">
        <cfvo type="percent" val="0"/>
        <cfvo type="num" val="0"/>
        <cfvo type="num" val="5"/>
      </iconSet>
    </cfRule>
    <cfRule type="cellIs" dxfId="622" priority="346" operator="lessThanOrEqual">
      <formula>0</formula>
    </cfRule>
    <cfRule type="cellIs" dxfId="621" priority="347" operator="between">
      <formula>1</formula>
      <formula>4</formula>
    </cfRule>
    <cfRule type="cellIs" dxfId="620" priority="348" operator="between">
      <formula>5</formula>
      <formula>365</formula>
    </cfRule>
  </conditionalFormatting>
  <conditionalFormatting sqref="U30">
    <cfRule type="iconSet" priority="341">
      <iconSet reverse="1">
        <cfvo type="percent" val="0"/>
        <cfvo type="num" val="0"/>
        <cfvo type="num" val="5"/>
      </iconSet>
    </cfRule>
    <cfRule type="cellIs" dxfId="619" priority="342" operator="lessThanOrEqual">
      <formula>0</formula>
    </cfRule>
    <cfRule type="cellIs" dxfId="618" priority="343" operator="between">
      <formula>1</formula>
      <formula>4</formula>
    </cfRule>
    <cfRule type="cellIs" dxfId="617" priority="344" operator="between">
      <formula>5</formula>
      <formula>365</formula>
    </cfRule>
  </conditionalFormatting>
  <conditionalFormatting sqref="U31">
    <cfRule type="iconSet" priority="337">
      <iconSet reverse="1">
        <cfvo type="percent" val="0"/>
        <cfvo type="num" val="0"/>
        <cfvo type="num" val="5"/>
      </iconSet>
    </cfRule>
    <cfRule type="cellIs" dxfId="616" priority="338" operator="lessThanOrEqual">
      <formula>0</formula>
    </cfRule>
    <cfRule type="cellIs" dxfId="615" priority="339" operator="between">
      <formula>1</formula>
      <formula>4</formula>
    </cfRule>
    <cfRule type="cellIs" dxfId="614" priority="340" operator="between">
      <formula>5</formula>
      <formula>365</formula>
    </cfRule>
  </conditionalFormatting>
  <conditionalFormatting sqref="U32">
    <cfRule type="iconSet" priority="333">
      <iconSet reverse="1">
        <cfvo type="percent" val="0"/>
        <cfvo type="num" val="0"/>
        <cfvo type="num" val="5"/>
      </iconSet>
    </cfRule>
    <cfRule type="cellIs" dxfId="613" priority="334" operator="lessThanOrEqual">
      <formula>0</formula>
    </cfRule>
    <cfRule type="cellIs" dxfId="612" priority="335" operator="between">
      <formula>1</formula>
      <formula>4</formula>
    </cfRule>
    <cfRule type="cellIs" dxfId="611" priority="336" operator="between">
      <formula>5</formula>
      <formula>365</formula>
    </cfRule>
  </conditionalFormatting>
  <conditionalFormatting sqref="U33">
    <cfRule type="iconSet" priority="329">
      <iconSet reverse="1">
        <cfvo type="percent" val="0"/>
        <cfvo type="num" val="0"/>
        <cfvo type="num" val="5"/>
      </iconSet>
    </cfRule>
    <cfRule type="cellIs" dxfId="610" priority="330" operator="lessThanOrEqual">
      <formula>0</formula>
    </cfRule>
    <cfRule type="cellIs" dxfId="609" priority="331" operator="between">
      <formula>1</formula>
      <formula>4</formula>
    </cfRule>
    <cfRule type="cellIs" dxfId="608" priority="332" operator="between">
      <formula>5</formula>
      <formula>365</formula>
    </cfRule>
  </conditionalFormatting>
  <conditionalFormatting sqref="U34">
    <cfRule type="iconSet" priority="325">
      <iconSet reverse="1">
        <cfvo type="percent" val="0"/>
        <cfvo type="num" val="0"/>
        <cfvo type="num" val="5"/>
      </iconSet>
    </cfRule>
    <cfRule type="cellIs" dxfId="607" priority="326" operator="lessThanOrEqual">
      <formula>0</formula>
    </cfRule>
    <cfRule type="cellIs" dxfId="606" priority="327" operator="between">
      <formula>1</formula>
      <formula>4</formula>
    </cfRule>
    <cfRule type="cellIs" dxfId="605" priority="328" operator="between">
      <formula>5</formula>
      <formula>365</formula>
    </cfRule>
  </conditionalFormatting>
  <conditionalFormatting sqref="U35">
    <cfRule type="iconSet" priority="321">
      <iconSet reverse="1">
        <cfvo type="percent" val="0"/>
        <cfvo type="num" val="0"/>
        <cfvo type="num" val="5"/>
      </iconSet>
    </cfRule>
    <cfRule type="cellIs" dxfId="604" priority="322" operator="lessThanOrEqual">
      <formula>0</formula>
    </cfRule>
    <cfRule type="cellIs" dxfId="603" priority="323" operator="between">
      <formula>1</formula>
      <formula>4</formula>
    </cfRule>
    <cfRule type="cellIs" dxfId="602" priority="324" operator="between">
      <formula>5</formula>
      <formula>365</formula>
    </cfRule>
  </conditionalFormatting>
  <conditionalFormatting sqref="U36">
    <cfRule type="iconSet" priority="317">
      <iconSet reverse="1">
        <cfvo type="percent" val="0"/>
        <cfvo type="num" val="0"/>
        <cfvo type="num" val="5"/>
      </iconSet>
    </cfRule>
    <cfRule type="cellIs" dxfId="601" priority="318" operator="lessThanOrEqual">
      <formula>0</formula>
    </cfRule>
    <cfRule type="cellIs" dxfId="600" priority="319" operator="between">
      <formula>1</formula>
      <formula>4</formula>
    </cfRule>
    <cfRule type="cellIs" dxfId="599" priority="320" operator="between">
      <formula>5</formula>
      <formula>365</formula>
    </cfRule>
  </conditionalFormatting>
  <conditionalFormatting sqref="U37">
    <cfRule type="iconSet" priority="313">
      <iconSet reverse="1">
        <cfvo type="percent" val="0"/>
        <cfvo type="num" val="0"/>
        <cfvo type="num" val="5"/>
      </iconSet>
    </cfRule>
    <cfRule type="cellIs" dxfId="598" priority="314" operator="lessThanOrEqual">
      <formula>0</formula>
    </cfRule>
    <cfRule type="cellIs" dxfId="597" priority="315" operator="between">
      <formula>1</formula>
      <formula>4</formula>
    </cfRule>
    <cfRule type="cellIs" dxfId="596" priority="316" operator="between">
      <formula>5</formula>
      <formula>365</formula>
    </cfRule>
  </conditionalFormatting>
  <conditionalFormatting sqref="U38">
    <cfRule type="iconSet" priority="309">
      <iconSet reverse="1">
        <cfvo type="percent" val="0"/>
        <cfvo type="num" val="0"/>
        <cfvo type="num" val="5"/>
      </iconSet>
    </cfRule>
    <cfRule type="cellIs" dxfId="595" priority="310" operator="lessThanOrEqual">
      <formula>0</formula>
    </cfRule>
    <cfRule type="cellIs" dxfId="594" priority="311" operator="between">
      <formula>1</formula>
      <formula>4</formula>
    </cfRule>
    <cfRule type="cellIs" dxfId="593" priority="312" operator="between">
      <formula>5</formula>
      <formula>365</formula>
    </cfRule>
  </conditionalFormatting>
  <conditionalFormatting sqref="U39">
    <cfRule type="iconSet" priority="305">
      <iconSet reverse="1">
        <cfvo type="percent" val="0"/>
        <cfvo type="num" val="0"/>
        <cfvo type="num" val="5"/>
      </iconSet>
    </cfRule>
    <cfRule type="cellIs" dxfId="592" priority="306" operator="lessThanOrEqual">
      <formula>0</formula>
    </cfRule>
    <cfRule type="cellIs" dxfId="591" priority="307" operator="between">
      <formula>1</formula>
      <formula>4</formula>
    </cfRule>
    <cfRule type="cellIs" dxfId="590" priority="308" operator="between">
      <formula>5</formula>
      <formula>365</formula>
    </cfRule>
  </conditionalFormatting>
  <conditionalFormatting sqref="U40">
    <cfRule type="iconSet" priority="301">
      <iconSet reverse="1">
        <cfvo type="percent" val="0"/>
        <cfvo type="num" val="0"/>
        <cfvo type="num" val="5"/>
      </iconSet>
    </cfRule>
    <cfRule type="cellIs" dxfId="589" priority="302" operator="lessThanOrEqual">
      <formula>0</formula>
    </cfRule>
    <cfRule type="cellIs" dxfId="588" priority="303" operator="between">
      <formula>1</formula>
      <formula>4</formula>
    </cfRule>
    <cfRule type="cellIs" dxfId="587" priority="304" operator="between">
      <formula>5</formula>
      <formula>365</formula>
    </cfRule>
  </conditionalFormatting>
  <conditionalFormatting sqref="U41">
    <cfRule type="iconSet" priority="297">
      <iconSet reverse="1">
        <cfvo type="percent" val="0"/>
        <cfvo type="num" val="0"/>
        <cfvo type="num" val="5"/>
      </iconSet>
    </cfRule>
    <cfRule type="cellIs" dxfId="586" priority="298" operator="lessThanOrEqual">
      <formula>0</formula>
    </cfRule>
    <cfRule type="cellIs" dxfId="585" priority="299" operator="between">
      <formula>1</formula>
      <formula>4</formula>
    </cfRule>
    <cfRule type="cellIs" dxfId="584" priority="300" operator="between">
      <formula>5</formula>
      <formula>365</formula>
    </cfRule>
  </conditionalFormatting>
  <conditionalFormatting sqref="U42">
    <cfRule type="iconSet" priority="293">
      <iconSet reverse="1">
        <cfvo type="percent" val="0"/>
        <cfvo type="num" val="0"/>
        <cfvo type="num" val="5"/>
      </iconSet>
    </cfRule>
    <cfRule type="cellIs" dxfId="583" priority="294" operator="lessThanOrEqual">
      <formula>0</formula>
    </cfRule>
    <cfRule type="cellIs" dxfId="582" priority="295" operator="between">
      <formula>1</formula>
      <formula>4</formula>
    </cfRule>
    <cfRule type="cellIs" dxfId="581" priority="296" operator="between">
      <formula>5</formula>
      <formula>365</formula>
    </cfRule>
  </conditionalFormatting>
  <conditionalFormatting sqref="U43">
    <cfRule type="iconSet" priority="289">
      <iconSet reverse="1">
        <cfvo type="percent" val="0"/>
        <cfvo type="num" val="0"/>
        <cfvo type="num" val="5"/>
      </iconSet>
    </cfRule>
    <cfRule type="cellIs" dxfId="580" priority="290" operator="lessThanOrEqual">
      <formula>0</formula>
    </cfRule>
    <cfRule type="cellIs" dxfId="579" priority="291" operator="between">
      <formula>1</formula>
      <formula>4</formula>
    </cfRule>
    <cfRule type="cellIs" dxfId="578" priority="292" operator="between">
      <formula>5</formula>
      <formula>365</formula>
    </cfRule>
  </conditionalFormatting>
  <conditionalFormatting sqref="U44">
    <cfRule type="iconSet" priority="285">
      <iconSet reverse="1">
        <cfvo type="percent" val="0"/>
        <cfvo type="num" val="0"/>
        <cfvo type="num" val="5"/>
      </iconSet>
    </cfRule>
    <cfRule type="cellIs" dxfId="577" priority="286" operator="lessThanOrEqual">
      <formula>0</formula>
    </cfRule>
    <cfRule type="cellIs" dxfId="576" priority="287" operator="between">
      <formula>1</formula>
      <formula>4</formula>
    </cfRule>
    <cfRule type="cellIs" dxfId="575" priority="288" operator="between">
      <formula>5</formula>
      <formula>365</formula>
    </cfRule>
  </conditionalFormatting>
  <conditionalFormatting sqref="U45">
    <cfRule type="iconSet" priority="281">
      <iconSet reverse="1">
        <cfvo type="percent" val="0"/>
        <cfvo type="num" val="0"/>
        <cfvo type="num" val="5"/>
      </iconSet>
    </cfRule>
    <cfRule type="cellIs" dxfId="574" priority="282" operator="lessThanOrEqual">
      <formula>0</formula>
    </cfRule>
    <cfRule type="cellIs" dxfId="573" priority="283" operator="between">
      <formula>1</formula>
      <formula>4</formula>
    </cfRule>
    <cfRule type="cellIs" dxfId="572" priority="284" operator="between">
      <formula>5</formula>
      <formula>365</formula>
    </cfRule>
  </conditionalFormatting>
  <conditionalFormatting sqref="U46">
    <cfRule type="iconSet" priority="277">
      <iconSet reverse="1">
        <cfvo type="percent" val="0"/>
        <cfvo type="num" val="0"/>
        <cfvo type="num" val="5"/>
      </iconSet>
    </cfRule>
    <cfRule type="cellIs" dxfId="571" priority="278" operator="lessThanOrEqual">
      <formula>0</formula>
    </cfRule>
    <cfRule type="cellIs" dxfId="570" priority="279" operator="between">
      <formula>1</formula>
      <formula>4</formula>
    </cfRule>
    <cfRule type="cellIs" dxfId="569" priority="280" operator="between">
      <formula>5</formula>
      <formula>365</formula>
    </cfRule>
  </conditionalFormatting>
  <conditionalFormatting sqref="U47">
    <cfRule type="iconSet" priority="273">
      <iconSet reverse="1">
        <cfvo type="percent" val="0"/>
        <cfvo type="num" val="0"/>
        <cfvo type="num" val="5"/>
      </iconSet>
    </cfRule>
    <cfRule type="cellIs" dxfId="568" priority="274" operator="lessThanOrEqual">
      <formula>0</formula>
    </cfRule>
    <cfRule type="cellIs" dxfId="567" priority="275" operator="between">
      <formula>1</formula>
      <formula>4</formula>
    </cfRule>
    <cfRule type="cellIs" dxfId="566" priority="276" operator="between">
      <formula>5</formula>
      <formula>365</formula>
    </cfRule>
  </conditionalFormatting>
  <conditionalFormatting sqref="U48">
    <cfRule type="iconSet" priority="269">
      <iconSet reverse="1">
        <cfvo type="percent" val="0"/>
        <cfvo type="num" val="0"/>
        <cfvo type="num" val="5"/>
      </iconSet>
    </cfRule>
    <cfRule type="cellIs" dxfId="565" priority="270" operator="lessThanOrEqual">
      <formula>0</formula>
    </cfRule>
    <cfRule type="cellIs" dxfId="564" priority="271" operator="between">
      <formula>1</formula>
      <formula>4</formula>
    </cfRule>
    <cfRule type="cellIs" dxfId="563" priority="272" operator="between">
      <formula>5</formula>
      <formula>365</formula>
    </cfRule>
  </conditionalFormatting>
  <conditionalFormatting sqref="U49">
    <cfRule type="iconSet" priority="265">
      <iconSet reverse="1">
        <cfvo type="percent" val="0"/>
        <cfvo type="num" val="0"/>
        <cfvo type="num" val="5"/>
      </iconSet>
    </cfRule>
    <cfRule type="cellIs" dxfId="562" priority="266" operator="lessThanOrEqual">
      <formula>0</formula>
    </cfRule>
    <cfRule type="cellIs" dxfId="561" priority="267" operator="between">
      <formula>1</formula>
      <formula>4</formula>
    </cfRule>
    <cfRule type="cellIs" dxfId="560" priority="268" operator="between">
      <formula>5</formula>
      <formula>365</formula>
    </cfRule>
  </conditionalFormatting>
  <conditionalFormatting sqref="U50">
    <cfRule type="iconSet" priority="261">
      <iconSet reverse="1">
        <cfvo type="percent" val="0"/>
        <cfvo type="num" val="0"/>
        <cfvo type="num" val="5"/>
      </iconSet>
    </cfRule>
    <cfRule type="cellIs" dxfId="559" priority="262" operator="lessThanOrEqual">
      <formula>0</formula>
    </cfRule>
    <cfRule type="cellIs" dxfId="558" priority="263" operator="between">
      <formula>1</formula>
      <formula>4</formula>
    </cfRule>
    <cfRule type="cellIs" dxfId="557" priority="264" operator="between">
      <formula>5</formula>
      <formula>365</formula>
    </cfRule>
  </conditionalFormatting>
  <conditionalFormatting sqref="U51">
    <cfRule type="iconSet" priority="257">
      <iconSet reverse="1">
        <cfvo type="percent" val="0"/>
        <cfvo type="num" val="0"/>
        <cfvo type="num" val="5"/>
      </iconSet>
    </cfRule>
    <cfRule type="cellIs" dxfId="556" priority="258" operator="lessThanOrEqual">
      <formula>0</formula>
    </cfRule>
    <cfRule type="cellIs" dxfId="555" priority="259" operator="between">
      <formula>1</formula>
      <formula>4</formula>
    </cfRule>
    <cfRule type="cellIs" dxfId="554" priority="260" operator="between">
      <formula>5</formula>
      <formula>365</formula>
    </cfRule>
  </conditionalFormatting>
  <conditionalFormatting sqref="U52">
    <cfRule type="iconSet" priority="253">
      <iconSet reverse="1">
        <cfvo type="percent" val="0"/>
        <cfvo type="num" val="0"/>
        <cfvo type="num" val="5"/>
      </iconSet>
    </cfRule>
    <cfRule type="cellIs" dxfId="553" priority="254" operator="lessThanOrEqual">
      <formula>0</formula>
    </cfRule>
    <cfRule type="cellIs" dxfId="552" priority="255" operator="between">
      <formula>1</formula>
      <formula>4</formula>
    </cfRule>
    <cfRule type="cellIs" dxfId="551" priority="256" operator="between">
      <formula>5</formula>
      <formula>365</formula>
    </cfRule>
  </conditionalFormatting>
  <conditionalFormatting sqref="U53">
    <cfRule type="iconSet" priority="249">
      <iconSet reverse="1">
        <cfvo type="percent" val="0"/>
        <cfvo type="num" val="0"/>
        <cfvo type="num" val="5"/>
      </iconSet>
    </cfRule>
    <cfRule type="cellIs" dxfId="550" priority="250" operator="lessThanOrEqual">
      <formula>0</formula>
    </cfRule>
    <cfRule type="cellIs" dxfId="549" priority="251" operator="between">
      <formula>1</formula>
      <formula>4</formula>
    </cfRule>
    <cfRule type="cellIs" dxfId="548" priority="252" operator="between">
      <formula>5</formula>
      <formula>365</formula>
    </cfRule>
  </conditionalFormatting>
  <conditionalFormatting sqref="U54">
    <cfRule type="iconSet" priority="245">
      <iconSet reverse="1">
        <cfvo type="percent" val="0"/>
        <cfvo type="num" val="0"/>
        <cfvo type="num" val="5"/>
      </iconSet>
    </cfRule>
    <cfRule type="cellIs" dxfId="547" priority="246" operator="lessThanOrEqual">
      <formula>0</formula>
    </cfRule>
    <cfRule type="cellIs" dxfId="546" priority="247" operator="between">
      <formula>1</formula>
      <formula>4</formula>
    </cfRule>
    <cfRule type="cellIs" dxfId="545" priority="248" operator="between">
      <formula>5</formula>
      <formula>365</formula>
    </cfRule>
  </conditionalFormatting>
  <conditionalFormatting sqref="U55">
    <cfRule type="iconSet" priority="241">
      <iconSet reverse="1">
        <cfvo type="percent" val="0"/>
        <cfvo type="num" val="0"/>
        <cfvo type="num" val="5"/>
      </iconSet>
    </cfRule>
    <cfRule type="cellIs" dxfId="544" priority="242" operator="lessThanOrEqual">
      <formula>0</formula>
    </cfRule>
    <cfRule type="cellIs" dxfId="543" priority="243" operator="between">
      <formula>1</formula>
      <formula>4</formula>
    </cfRule>
    <cfRule type="cellIs" dxfId="542" priority="244" operator="between">
      <formula>5</formula>
      <formula>365</formula>
    </cfRule>
  </conditionalFormatting>
  <conditionalFormatting sqref="U26">
    <cfRule type="iconSet" priority="237">
      <iconSet reverse="1">
        <cfvo type="percent" val="0"/>
        <cfvo type="num" val="0"/>
        <cfvo type="num" val="5"/>
      </iconSet>
    </cfRule>
    <cfRule type="cellIs" dxfId="541" priority="238" operator="lessThanOrEqual">
      <formula>0</formula>
    </cfRule>
    <cfRule type="cellIs" dxfId="540" priority="239" operator="between">
      <formula>1</formula>
      <formula>4</formula>
    </cfRule>
    <cfRule type="cellIs" dxfId="539" priority="240" operator="between">
      <formula>5</formula>
      <formula>365</formula>
    </cfRule>
  </conditionalFormatting>
  <conditionalFormatting sqref="U27">
    <cfRule type="iconSet" priority="233">
      <iconSet reverse="1">
        <cfvo type="percent" val="0"/>
        <cfvo type="num" val="0"/>
        <cfvo type="num" val="5"/>
      </iconSet>
    </cfRule>
    <cfRule type="cellIs" dxfId="538" priority="234" operator="lessThanOrEqual">
      <formula>0</formula>
    </cfRule>
    <cfRule type="cellIs" dxfId="537" priority="235" operator="between">
      <formula>1</formula>
      <formula>4</formula>
    </cfRule>
    <cfRule type="cellIs" dxfId="536" priority="236" operator="between">
      <formula>5</formula>
      <formula>365</formula>
    </cfRule>
  </conditionalFormatting>
  <conditionalFormatting sqref="U28">
    <cfRule type="iconSet" priority="229">
      <iconSet reverse="1">
        <cfvo type="percent" val="0"/>
        <cfvo type="num" val="0"/>
        <cfvo type="num" val="5"/>
      </iconSet>
    </cfRule>
    <cfRule type="cellIs" dxfId="535" priority="230" operator="lessThanOrEqual">
      <formula>0</formula>
    </cfRule>
    <cfRule type="cellIs" dxfId="534" priority="231" operator="between">
      <formula>1</formula>
      <formula>4</formula>
    </cfRule>
    <cfRule type="cellIs" dxfId="533" priority="232" operator="between">
      <formula>5</formula>
      <formula>365</formula>
    </cfRule>
  </conditionalFormatting>
  <conditionalFormatting sqref="U29">
    <cfRule type="iconSet" priority="225">
      <iconSet reverse="1">
        <cfvo type="percent" val="0"/>
        <cfvo type="num" val="0"/>
        <cfvo type="num" val="5"/>
      </iconSet>
    </cfRule>
    <cfRule type="cellIs" dxfId="532" priority="226" operator="lessThanOrEqual">
      <formula>0</formula>
    </cfRule>
    <cfRule type="cellIs" dxfId="531" priority="227" operator="between">
      <formula>1</formula>
      <formula>4</formula>
    </cfRule>
    <cfRule type="cellIs" dxfId="530" priority="228" operator="between">
      <formula>5</formula>
      <formula>365</formula>
    </cfRule>
  </conditionalFormatting>
  <conditionalFormatting sqref="U30">
    <cfRule type="iconSet" priority="221">
      <iconSet reverse="1">
        <cfvo type="percent" val="0"/>
        <cfvo type="num" val="0"/>
        <cfvo type="num" val="5"/>
      </iconSet>
    </cfRule>
    <cfRule type="cellIs" dxfId="529" priority="222" operator="lessThanOrEqual">
      <formula>0</formula>
    </cfRule>
    <cfRule type="cellIs" dxfId="528" priority="223" operator="between">
      <formula>1</formula>
      <formula>4</formula>
    </cfRule>
    <cfRule type="cellIs" dxfId="527" priority="224" operator="between">
      <formula>5</formula>
      <formula>365</formula>
    </cfRule>
  </conditionalFormatting>
  <conditionalFormatting sqref="U31">
    <cfRule type="iconSet" priority="217">
      <iconSet reverse="1">
        <cfvo type="percent" val="0"/>
        <cfvo type="num" val="0"/>
        <cfvo type="num" val="5"/>
      </iconSet>
    </cfRule>
    <cfRule type="cellIs" dxfId="526" priority="218" operator="lessThanOrEqual">
      <formula>0</formula>
    </cfRule>
    <cfRule type="cellIs" dxfId="525" priority="219" operator="between">
      <formula>1</formula>
      <formula>4</formula>
    </cfRule>
    <cfRule type="cellIs" dxfId="524" priority="220" operator="between">
      <formula>5</formula>
      <formula>365</formula>
    </cfRule>
  </conditionalFormatting>
  <conditionalFormatting sqref="U32">
    <cfRule type="iconSet" priority="213">
      <iconSet reverse="1">
        <cfvo type="percent" val="0"/>
        <cfvo type="num" val="0"/>
        <cfvo type="num" val="5"/>
      </iconSet>
    </cfRule>
    <cfRule type="cellIs" dxfId="523" priority="214" operator="lessThanOrEqual">
      <formula>0</formula>
    </cfRule>
    <cfRule type="cellIs" dxfId="522" priority="215" operator="between">
      <formula>1</formula>
      <formula>4</formula>
    </cfRule>
    <cfRule type="cellIs" dxfId="521" priority="216" operator="between">
      <formula>5</formula>
      <formula>365</formula>
    </cfRule>
  </conditionalFormatting>
  <conditionalFormatting sqref="U33">
    <cfRule type="iconSet" priority="209">
      <iconSet reverse="1">
        <cfvo type="percent" val="0"/>
        <cfvo type="num" val="0"/>
        <cfvo type="num" val="5"/>
      </iconSet>
    </cfRule>
    <cfRule type="cellIs" dxfId="520" priority="210" operator="lessThanOrEqual">
      <formula>0</formula>
    </cfRule>
    <cfRule type="cellIs" dxfId="519" priority="211" operator="between">
      <formula>1</formula>
      <formula>4</formula>
    </cfRule>
    <cfRule type="cellIs" dxfId="518" priority="212" operator="between">
      <formula>5</formula>
      <formula>365</formula>
    </cfRule>
  </conditionalFormatting>
  <conditionalFormatting sqref="U34">
    <cfRule type="iconSet" priority="205">
      <iconSet reverse="1">
        <cfvo type="percent" val="0"/>
        <cfvo type="num" val="0"/>
        <cfvo type="num" val="5"/>
      </iconSet>
    </cfRule>
    <cfRule type="cellIs" dxfId="517" priority="206" operator="lessThanOrEqual">
      <formula>0</formula>
    </cfRule>
    <cfRule type="cellIs" dxfId="516" priority="207" operator="between">
      <formula>1</formula>
      <formula>4</formula>
    </cfRule>
    <cfRule type="cellIs" dxfId="515" priority="208" operator="between">
      <formula>5</formula>
      <formula>365</formula>
    </cfRule>
  </conditionalFormatting>
  <conditionalFormatting sqref="U35">
    <cfRule type="iconSet" priority="201">
      <iconSet reverse="1">
        <cfvo type="percent" val="0"/>
        <cfvo type="num" val="0"/>
        <cfvo type="num" val="5"/>
      </iconSet>
    </cfRule>
    <cfRule type="cellIs" dxfId="514" priority="202" operator="lessThanOrEqual">
      <formula>0</formula>
    </cfRule>
    <cfRule type="cellIs" dxfId="513" priority="203" operator="between">
      <formula>1</formula>
      <formula>4</formula>
    </cfRule>
    <cfRule type="cellIs" dxfId="512" priority="204" operator="between">
      <formula>5</formula>
      <formula>365</formula>
    </cfRule>
  </conditionalFormatting>
  <conditionalFormatting sqref="U36">
    <cfRule type="iconSet" priority="197">
      <iconSet reverse="1">
        <cfvo type="percent" val="0"/>
        <cfvo type="num" val="0"/>
        <cfvo type="num" val="5"/>
      </iconSet>
    </cfRule>
    <cfRule type="cellIs" dxfId="511" priority="198" operator="lessThanOrEqual">
      <formula>0</formula>
    </cfRule>
    <cfRule type="cellIs" dxfId="510" priority="199" operator="between">
      <formula>1</formula>
      <formula>4</formula>
    </cfRule>
    <cfRule type="cellIs" dxfId="509" priority="200" operator="between">
      <formula>5</formula>
      <formula>365</formula>
    </cfRule>
  </conditionalFormatting>
  <conditionalFormatting sqref="U37">
    <cfRule type="iconSet" priority="193">
      <iconSet reverse="1">
        <cfvo type="percent" val="0"/>
        <cfvo type="num" val="0"/>
        <cfvo type="num" val="5"/>
      </iconSet>
    </cfRule>
    <cfRule type="cellIs" dxfId="508" priority="194" operator="lessThanOrEqual">
      <formula>0</formula>
    </cfRule>
    <cfRule type="cellIs" dxfId="507" priority="195" operator="between">
      <formula>1</formula>
      <formula>4</formula>
    </cfRule>
    <cfRule type="cellIs" dxfId="506" priority="196" operator="between">
      <formula>5</formula>
      <formula>365</formula>
    </cfRule>
  </conditionalFormatting>
  <conditionalFormatting sqref="U38">
    <cfRule type="iconSet" priority="189">
      <iconSet reverse="1">
        <cfvo type="percent" val="0"/>
        <cfvo type="num" val="0"/>
        <cfvo type="num" val="5"/>
      </iconSet>
    </cfRule>
    <cfRule type="cellIs" dxfId="505" priority="190" operator="lessThanOrEqual">
      <formula>0</formula>
    </cfRule>
    <cfRule type="cellIs" dxfId="504" priority="191" operator="between">
      <formula>1</formula>
      <formula>4</formula>
    </cfRule>
    <cfRule type="cellIs" dxfId="503" priority="192" operator="between">
      <formula>5</formula>
      <formula>365</formula>
    </cfRule>
  </conditionalFormatting>
  <conditionalFormatting sqref="U39">
    <cfRule type="iconSet" priority="185">
      <iconSet reverse="1">
        <cfvo type="percent" val="0"/>
        <cfvo type="num" val="0"/>
        <cfvo type="num" val="5"/>
      </iconSet>
    </cfRule>
    <cfRule type="cellIs" dxfId="502" priority="186" operator="lessThanOrEqual">
      <formula>0</formula>
    </cfRule>
    <cfRule type="cellIs" dxfId="501" priority="187" operator="between">
      <formula>1</formula>
      <formula>4</formula>
    </cfRule>
    <cfRule type="cellIs" dxfId="500" priority="188" operator="between">
      <formula>5</formula>
      <formula>365</formula>
    </cfRule>
  </conditionalFormatting>
  <conditionalFormatting sqref="U40">
    <cfRule type="iconSet" priority="181">
      <iconSet reverse="1">
        <cfvo type="percent" val="0"/>
        <cfvo type="num" val="0"/>
        <cfvo type="num" val="5"/>
      </iconSet>
    </cfRule>
    <cfRule type="cellIs" dxfId="499" priority="182" operator="lessThanOrEqual">
      <formula>0</formula>
    </cfRule>
    <cfRule type="cellIs" dxfId="498" priority="183" operator="between">
      <formula>1</formula>
      <formula>4</formula>
    </cfRule>
    <cfRule type="cellIs" dxfId="497" priority="184" operator="between">
      <formula>5</formula>
      <formula>365</formula>
    </cfRule>
  </conditionalFormatting>
  <conditionalFormatting sqref="U41">
    <cfRule type="iconSet" priority="177">
      <iconSet reverse="1">
        <cfvo type="percent" val="0"/>
        <cfvo type="num" val="0"/>
        <cfvo type="num" val="5"/>
      </iconSet>
    </cfRule>
    <cfRule type="cellIs" dxfId="496" priority="178" operator="lessThanOrEqual">
      <formula>0</formula>
    </cfRule>
    <cfRule type="cellIs" dxfId="495" priority="179" operator="between">
      <formula>1</formula>
      <formula>4</formula>
    </cfRule>
    <cfRule type="cellIs" dxfId="494" priority="180" operator="between">
      <formula>5</formula>
      <formula>365</formula>
    </cfRule>
  </conditionalFormatting>
  <conditionalFormatting sqref="U42">
    <cfRule type="iconSet" priority="173">
      <iconSet reverse="1">
        <cfvo type="percent" val="0"/>
        <cfvo type="num" val="0"/>
        <cfvo type="num" val="5"/>
      </iconSet>
    </cfRule>
    <cfRule type="cellIs" dxfId="493" priority="174" operator="lessThanOrEqual">
      <formula>0</formula>
    </cfRule>
    <cfRule type="cellIs" dxfId="492" priority="175" operator="between">
      <formula>1</formula>
      <formula>4</formula>
    </cfRule>
    <cfRule type="cellIs" dxfId="491" priority="176" operator="between">
      <formula>5</formula>
      <formula>365</formula>
    </cfRule>
  </conditionalFormatting>
  <conditionalFormatting sqref="U43">
    <cfRule type="iconSet" priority="169">
      <iconSet reverse="1">
        <cfvo type="percent" val="0"/>
        <cfvo type="num" val="0"/>
        <cfvo type="num" val="5"/>
      </iconSet>
    </cfRule>
    <cfRule type="cellIs" dxfId="490" priority="170" operator="lessThanOrEqual">
      <formula>0</formula>
    </cfRule>
    <cfRule type="cellIs" dxfId="489" priority="171" operator="between">
      <formula>1</formula>
      <formula>4</formula>
    </cfRule>
    <cfRule type="cellIs" dxfId="488" priority="172" operator="between">
      <formula>5</formula>
      <formula>365</formula>
    </cfRule>
  </conditionalFormatting>
  <conditionalFormatting sqref="U44">
    <cfRule type="iconSet" priority="165">
      <iconSet reverse="1">
        <cfvo type="percent" val="0"/>
        <cfvo type="num" val="0"/>
        <cfvo type="num" val="5"/>
      </iconSet>
    </cfRule>
    <cfRule type="cellIs" dxfId="487" priority="166" operator="lessThanOrEqual">
      <formula>0</formula>
    </cfRule>
    <cfRule type="cellIs" dxfId="486" priority="167" operator="between">
      <formula>1</formula>
      <formula>4</formula>
    </cfRule>
    <cfRule type="cellIs" dxfId="485" priority="168" operator="between">
      <formula>5</formula>
      <formula>365</formula>
    </cfRule>
  </conditionalFormatting>
  <conditionalFormatting sqref="U45">
    <cfRule type="iconSet" priority="161">
      <iconSet reverse="1">
        <cfvo type="percent" val="0"/>
        <cfvo type="num" val="0"/>
        <cfvo type="num" val="5"/>
      </iconSet>
    </cfRule>
    <cfRule type="cellIs" dxfId="484" priority="162" operator="lessThanOrEqual">
      <formula>0</formula>
    </cfRule>
    <cfRule type="cellIs" dxfId="483" priority="163" operator="between">
      <formula>1</formula>
      <formula>4</formula>
    </cfRule>
    <cfRule type="cellIs" dxfId="482" priority="164" operator="between">
      <formula>5</formula>
      <formula>365</formula>
    </cfRule>
  </conditionalFormatting>
  <conditionalFormatting sqref="U46">
    <cfRule type="iconSet" priority="157">
      <iconSet reverse="1">
        <cfvo type="percent" val="0"/>
        <cfvo type="num" val="0"/>
        <cfvo type="num" val="5"/>
      </iconSet>
    </cfRule>
    <cfRule type="cellIs" dxfId="481" priority="158" operator="lessThanOrEqual">
      <formula>0</formula>
    </cfRule>
    <cfRule type="cellIs" dxfId="480" priority="159" operator="between">
      <formula>1</formula>
      <formula>4</formula>
    </cfRule>
    <cfRule type="cellIs" dxfId="479" priority="160" operator="between">
      <formula>5</formula>
      <formula>365</formula>
    </cfRule>
  </conditionalFormatting>
  <conditionalFormatting sqref="U47">
    <cfRule type="iconSet" priority="153">
      <iconSet reverse="1">
        <cfvo type="percent" val="0"/>
        <cfvo type="num" val="0"/>
        <cfvo type="num" val="5"/>
      </iconSet>
    </cfRule>
    <cfRule type="cellIs" dxfId="478" priority="154" operator="lessThanOrEqual">
      <formula>0</formula>
    </cfRule>
    <cfRule type="cellIs" dxfId="477" priority="155" operator="between">
      <formula>1</formula>
      <formula>4</formula>
    </cfRule>
    <cfRule type="cellIs" dxfId="476" priority="156" operator="between">
      <formula>5</formula>
      <formula>365</formula>
    </cfRule>
  </conditionalFormatting>
  <conditionalFormatting sqref="U48">
    <cfRule type="iconSet" priority="149">
      <iconSet reverse="1">
        <cfvo type="percent" val="0"/>
        <cfvo type="num" val="0"/>
        <cfvo type="num" val="5"/>
      </iconSet>
    </cfRule>
    <cfRule type="cellIs" dxfId="475" priority="150" operator="lessThanOrEqual">
      <formula>0</formula>
    </cfRule>
    <cfRule type="cellIs" dxfId="474" priority="151" operator="between">
      <formula>1</formula>
      <formula>4</formula>
    </cfRule>
    <cfRule type="cellIs" dxfId="473" priority="152" operator="between">
      <formula>5</formula>
      <formula>365</formula>
    </cfRule>
  </conditionalFormatting>
  <conditionalFormatting sqref="U49">
    <cfRule type="iconSet" priority="145">
      <iconSet reverse="1">
        <cfvo type="percent" val="0"/>
        <cfvo type="num" val="0"/>
        <cfvo type="num" val="5"/>
      </iconSet>
    </cfRule>
    <cfRule type="cellIs" dxfId="472" priority="146" operator="lessThanOrEqual">
      <formula>0</formula>
    </cfRule>
    <cfRule type="cellIs" dxfId="471" priority="147" operator="between">
      <formula>1</formula>
      <formula>4</formula>
    </cfRule>
    <cfRule type="cellIs" dxfId="470" priority="148" operator="between">
      <formula>5</formula>
      <formula>365</formula>
    </cfRule>
  </conditionalFormatting>
  <conditionalFormatting sqref="U50">
    <cfRule type="iconSet" priority="141">
      <iconSet reverse="1">
        <cfvo type="percent" val="0"/>
        <cfvo type="num" val="0"/>
        <cfvo type="num" val="5"/>
      </iconSet>
    </cfRule>
    <cfRule type="cellIs" dxfId="469" priority="142" operator="lessThanOrEqual">
      <formula>0</formula>
    </cfRule>
    <cfRule type="cellIs" dxfId="468" priority="143" operator="between">
      <formula>1</formula>
      <formula>4</formula>
    </cfRule>
    <cfRule type="cellIs" dxfId="467" priority="144" operator="between">
      <formula>5</formula>
      <formula>365</formula>
    </cfRule>
  </conditionalFormatting>
  <conditionalFormatting sqref="U51">
    <cfRule type="iconSet" priority="137">
      <iconSet reverse="1">
        <cfvo type="percent" val="0"/>
        <cfvo type="num" val="0"/>
        <cfvo type="num" val="5"/>
      </iconSet>
    </cfRule>
    <cfRule type="cellIs" dxfId="466" priority="138" operator="lessThanOrEqual">
      <formula>0</formula>
    </cfRule>
    <cfRule type="cellIs" dxfId="465" priority="139" operator="between">
      <formula>1</formula>
      <formula>4</formula>
    </cfRule>
    <cfRule type="cellIs" dxfId="464" priority="140" operator="between">
      <formula>5</formula>
      <formula>365</formula>
    </cfRule>
  </conditionalFormatting>
  <conditionalFormatting sqref="U52">
    <cfRule type="iconSet" priority="133">
      <iconSet reverse="1">
        <cfvo type="percent" val="0"/>
        <cfvo type="num" val="0"/>
        <cfvo type="num" val="5"/>
      </iconSet>
    </cfRule>
    <cfRule type="cellIs" dxfId="463" priority="134" operator="lessThanOrEqual">
      <formula>0</formula>
    </cfRule>
    <cfRule type="cellIs" dxfId="462" priority="135" operator="between">
      <formula>1</formula>
      <formula>4</formula>
    </cfRule>
    <cfRule type="cellIs" dxfId="461" priority="136" operator="between">
      <formula>5</formula>
      <formula>365</formula>
    </cfRule>
  </conditionalFormatting>
  <conditionalFormatting sqref="U53">
    <cfRule type="iconSet" priority="129">
      <iconSet reverse="1">
        <cfvo type="percent" val="0"/>
        <cfvo type="num" val="0"/>
        <cfvo type="num" val="5"/>
      </iconSet>
    </cfRule>
    <cfRule type="cellIs" dxfId="460" priority="130" operator="lessThanOrEqual">
      <formula>0</formula>
    </cfRule>
    <cfRule type="cellIs" dxfId="459" priority="131" operator="between">
      <formula>1</formula>
      <formula>4</formula>
    </cfRule>
    <cfRule type="cellIs" dxfId="458" priority="132" operator="between">
      <formula>5</formula>
      <formula>365</formula>
    </cfRule>
  </conditionalFormatting>
  <conditionalFormatting sqref="U54">
    <cfRule type="iconSet" priority="125">
      <iconSet reverse="1">
        <cfvo type="percent" val="0"/>
        <cfvo type="num" val="0"/>
        <cfvo type="num" val="5"/>
      </iconSet>
    </cfRule>
    <cfRule type="cellIs" dxfId="457" priority="126" operator="lessThanOrEqual">
      <formula>0</formula>
    </cfRule>
    <cfRule type="cellIs" dxfId="456" priority="127" operator="between">
      <formula>1</formula>
      <formula>4</formula>
    </cfRule>
    <cfRule type="cellIs" dxfId="455" priority="128" operator="between">
      <formula>5</formula>
      <formula>365</formula>
    </cfRule>
  </conditionalFormatting>
  <conditionalFormatting sqref="U55">
    <cfRule type="iconSet" priority="121">
      <iconSet reverse="1">
        <cfvo type="percent" val="0"/>
        <cfvo type="num" val="0"/>
        <cfvo type="num" val="5"/>
      </iconSet>
    </cfRule>
    <cfRule type="cellIs" dxfId="454" priority="122" operator="lessThanOrEqual">
      <formula>0</formula>
    </cfRule>
    <cfRule type="cellIs" dxfId="453" priority="123" operator="between">
      <formula>1</formula>
      <formula>4</formula>
    </cfRule>
    <cfRule type="cellIs" dxfId="452" priority="124" operator="between">
      <formula>5</formula>
      <formula>365</formula>
    </cfRule>
  </conditionalFormatting>
  <conditionalFormatting sqref="U26">
    <cfRule type="iconSet" priority="117">
      <iconSet reverse="1">
        <cfvo type="percent" val="0"/>
        <cfvo type="num" val="0"/>
        <cfvo type="num" val="5"/>
      </iconSet>
    </cfRule>
    <cfRule type="cellIs" dxfId="451" priority="118" operator="lessThanOrEqual">
      <formula>0</formula>
    </cfRule>
    <cfRule type="cellIs" dxfId="450" priority="119" operator="between">
      <formula>1</formula>
      <formula>4</formula>
    </cfRule>
    <cfRule type="cellIs" dxfId="449" priority="120" operator="between">
      <formula>5</formula>
      <formula>365</formula>
    </cfRule>
  </conditionalFormatting>
  <conditionalFormatting sqref="U27">
    <cfRule type="iconSet" priority="113">
      <iconSet reverse="1">
        <cfvo type="percent" val="0"/>
        <cfvo type="num" val="0"/>
        <cfvo type="num" val="5"/>
      </iconSet>
    </cfRule>
    <cfRule type="cellIs" dxfId="448" priority="114" operator="lessThanOrEqual">
      <formula>0</formula>
    </cfRule>
    <cfRule type="cellIs" dxfId="447" priority="115" operator="between">
      <formula>1</formula>
      <formula>4</formula>
    </cfRule>
    <cfRule type="cellIs" dxfId="446" priority="116" operator="between">
      <formula>5</formula>
      <formula>365</formula>
    </cfRule>
  </conditionalFormatting>
  <conditionalFormatting sqref="U28">
    <cfRule type="iconSet" priority="109">
      <iconSet reverse="1">
        <cfvo type="percent" val="0"/>
        <cfvo type="num" val="0"/>
        <cfvo type="num" val="5"/>
      </iconSet>
    </cfRule>
    <cfRule type="cellIs" dxfId="445" priority="110" operator="lessThanOrEqual">
      <formula>0</formula>
    </cfRule>
    <cfRule type="cellIs" dxfId="444" priority="111" operator="between">
      <formula>1</formula>
      <formula>4</formula>
    </cfRule>
    <cfRule type="cellIs" dxfId="443" priority="112" operator="between">
      <formula>5</formula>
      <formula>365</formula>
    </cfRule>
  </conditionalFormatting>
  <conditionalFormatting sqref="U29">
    <cfRule type="iconSet" priority="105">
      <iconSet reverse="1">
        <cfvo type="percent" val="0"/>
        <cfvo type="num" val="0"/>
        <cfvo type="num" val="5"/>
      </iconSet>
    </cfRule>
    <cfRule type="cellIs" dxfId="442" priority="106" operator="lessThanOrEqual">
      <formula>0</formula>
    </cfRule>
    <cfRule type="cellIs" dxfId="441" priority="107" operator="between">
      <formula>1</formula>
      <formula>4</formula>
    </cfRule>
    <cfRule type="cellIs" dxfId="440" priority="108" operator="between">
      <formula>5</formula>
      <formula>365</formula>
    </cfRule>
  </conditionalFormatting>
  <conditionalFormatting sqref="U30">
    <cfRule type="iconSet" priority="101">
      <iconSet reverse="1">
        <cfvo type="percent" val="0"/>
        <cfvo type="num" val="0"/>
        <cfvo type="num" val="5"/>
      </iconSet>
    </cfRule>
    <cfRule type="cellIs" dxfId="439" priority="102" operator="lessThanOrEqual">
      <formula>0</formula>
    </cfRule>
    <cfRule type="cellIs" dxfId="438" priority="103" operator="between">
      <formula>1</formula>
      <formula>4</formula>
    </cfRule>
    <cfRule type="cellIs" dxfId="437" priority="104" operator="between">
      <formula>5</formula>
      <formula>365</formula>
    </cfRule>
  </conditionalFormatting>
  <conditionalFormatting sqref="U31">
    <cfRule type="iconSet" priority="97">
      <iconSet reverse="1">
        <cfvo type="percent" val="0"/>
        <cfvo type="num" val="0"/>
        <cfvo type="num" val="5"/>
      </iconSet>
    </cfRule>
    <cfRule type="cellIs" dxfId="436" priority="98" operator="lessThanOrEqual">
      <formula>0</formula>
    </cfRule>
    <cfRule type="cellIs" dxfId="435" priority="99" operator="between">
      <formula>1</formula>
      <formula>4</formula>
    </cfRule>
    <cfRule type="cellIs" dxfId="434" priority="100" operator="between">
      <formula>5</formula>
      <formula>365</formula>
    </cfRule>
  </conditionalFormatting>
  <conditionalFormatting sqref="U32">
    <cfRule type="iconSet" priority="93">
      <iconSet reverse="1">
        <cfvo type="percent" val="0"/>
        <cfvo type="num" val="0"/>
        <cfvo type="num" val="5"/>
      </iconSet>
    </cfRule>
    <cfRule type="cellIs" dxfId="433" priority="94" operator="lessThanOrEqual">
      <formula>0</formula>
    </cfRule>
    <cfRule type="cellIs" dxfId="432" priority="95" operator="between">
      <formula>1</formula>
      <formula>4</formula>
    </cfRule>
    <cfRule type="cellIs" dxfId="431" priority="96" operator="between">
      <formula>5</formula>
      <formula>365</formula>
    </cfRule>
  </conditionalFormatting>
  <conditionalFormatting sqref="U33">
    <cfRule type="iconSet" priority="89">
      <iconSet reverse="1">
        <cfvo type="percent" val="0"/>
        <cfvo type="num" val="0"/>
        <cfvo type="num" val="5"/>
      </iconSet>
    </cfRule>
    <cfRule type="cellIs" dxfId="430" priority="90" operator="lessThanOrEqual">
      <formula>0</formula>
    </cfRule>
    <cfRule type="cellIs" dxfId="429" priority="91" operator="between">
      <formula>1</formula>
      <formula>4</formula>
    </cfRule>
    <cfRule type="cellIs" dxfId="428" priority="92" operator="between">
      <formula>5</formula>
      <formula>365</formula>
    </cfRule>
  </conditionalFormatting>
  <conditionalFormatting sqref="U34">
    <cfRule type="iconSet" priority="85">
      <iconSet reverse="1">
        <cfvo type="percent" val="0"/>
        <cfvo type="num" val="0"/>
        <cfvo type="num" val="5"/>
      </iconSet>
    </cfRule>
    <cfRule type="cellIs" dxfId="427" priority="86" operator="lessThanOrEqual">
      <formula>0</formula>
    </cfRule>
    <cfRule type="cellIs" dxfId="426" priority="87" operator="between">
      <formula>1</formula>
      <formula>4</formula>
    </cfRule>
    <cfRule type="cellIs" dxfId="425" priority="88" operator="between">
      <formula>5</formula>
      <formula>365</formula>
    </cfRule>
  </conditionalFormatting>
  <conditionalFormatting sqref="U35">
    <cfRule type="iconSet" priority="81">
      <iconSet reverse="1">
        <cfvo type="percent" val="0"/>
        <cfvo type="num" val="0"/>
        <cfvo type="num" val="5"/>
      </iconSet>
    </cfRule>
    <cfRule type="cellIs" dxfId="424" priority="82" operator="lessThanOrEqual">
      <formula>0</formula>
    </cfRule>
    <cfRule type="cellIs" dxfId="423" priority="83" operator="between">
      <formula>1</formula>
      <formula>4</formula>
    </cfRule>
    <cfRule type="cellIs" dxfId="422" priority="84" operator="between">
      <formula>5</formula>
      <formula>365</formula>
    </cfRule>
  </conditionalFormatting>
  <conditionalFormatting sqref="U36">
    <cfRule type="iconSet" priority="77">
      <iconSet reverse="1">
        <cfvo type="percent" val="0"/>
        <cfvo type="num" val="0"/>
        <cfvo type="num" val="5"/>
      </iconSet>
    </cfRule>
    <cfRule type="cellIs" dxfId="421" priority="78" operator="lessThanOrEqual">
      <formula>0</formula>
    </cfRule>
    <cfRule type="cellIs" dxfId="420" priority="79" operator="between">
      <formula>1</formula>
      <formula>4</formula>
    </cfRule>
    <cfRule type="cellIs" dxfId="419" priority="80" operator="between">
      <formula>5</formula>
      <formula>365</formula>
    </cfRule>
  </conditionalFormatting>
  <conditionalFormatting sqref="U37">
    <cfRule type="iconSet" priority="73">
      <iconSet reverse="1">
        <cfvo type="percent" val="0"/>
        <cfvo type="num" val="0"/>
        <cfvo type="num" val="5"/>
      </iconSet>
    </cfRule>
    <cfRule type="cellIs" dxfId="418" priority="74" operator="lessThanOrEqual">
      <formula>0</formula>
    </cfRule>
    <cfRule type="cellIs" dxfId="417" priority="75" operator="between">
      <formula>1</formula>
      <formula>4</formula>
    </cfRule>
    <cfRule type="cellIs" dxfId="416" priority="76" operator="between">
      <formula>5</formula>
      <formula>365</formula>
    </cfRule>
  </conditionalFormatting>
  <conditionalFormatting sqref="U38">
    <cfRule type="iconSet" priority="69">
      <iconSet reverse="1">
        <cfvo type="percent" val="0"/>
        <cfvo type="num" val="0"/>
        <cfvo type="num" val="5"/>
      </iconSet>
    </cfRule>
    <cfRule type="cellIs" dxfId="415" priority="70" operator="lessThanOrEqual">
      <formula>0</formula>
    </cfRule>
    <cfRule type="cellIs" dxfId="414" priority="71" operator="between">
      <formula>1</formula>
      <formula>4</formula>
    </cfRule>
    <cfRule type="cellIs" dxfId="413" priority="72" operator="between">
      <formula>5</formula>
      <formula>365</formula>
    </cfRule>
  </conditionalFormatting>
  <conditionalFormatting sqref="U39">
    <cfRule type="iconSet" priority="65">
      <iconSet reverse="1">
        <cfvo type="percent" val="0"/>
        <cfvo type="num" val="0"/>
        <cfvo type="num" val="5"/>
      </iconSet>
    </cfRule>
    <cfRule type="cellIs" dxfId="412" priority="66" operator="lessThanOrEqual">
      <formula>0</formula>
    </cfRule>
    <cfRule type="cellIs" dxfId="411" priority="67" operator="between">
      <formula>1</formula>
      <formula>4</formula>
    </cfRule>
    <cfRule type="cellIs" dxfId="410" priority="68" operator="between">
      <formula>5</formula>
      <formula>365</formula>
    </cfRule>
  </conditionalFormatting>
  <conditionalFormatting sqref="U40">
    <cfRule type="iconSet" priority="61">
      <iconSet reverse="1">
        <cfvo type="percent" val="0"/>
        <cfvo type="num" val="0"/>
        <cfvo type="num" val="5"/>
      </iconSet>
    </cfRule>
    <cfRule type="cellIs" dxfId="409" priority="62" operator="lessThanOrEqual">
      <formula>0</formula>
    </cfRule>
    <cfRule type="cellIs" dxfId="408" priority="63" operator="between">
      <formula>1</formula>
      <formula>4</formula>
    </cfRule>
    <cfRule type="cellIs" dxfId="407" priority="64" operator="between">
      <formula>5</formula>
      <formula>365</formula>
    </cfRule>
  </conditionalFormatting>
  <conditionalFormatting sqref="U41">
    <cfRule type="iconSet" priority="57">
      <iconSet reverse="1">
        <cfvo type="percent" val="0"/>
        <cfvo type="num" val="0"/>
        <cfvo type="num" val="5"/>
      </iconSet>
    </cfRule>
    <cfRule type="cellIs" dxfId="406" priority="58" operator="lessThanOrEqual">
      <formula>0</formula>
    </cfRule>
    <cfRule type="cellIs" dxfId="405" priority="59" operator="between">
      <formula>1</formula>
      <formula>4</formula>
    </cfRule>
    <cfRule type="cellIs" dxfId="404" priority="60" operator="between">
      <formula>5</formula>
      <formula>365</formula>
    </cfRule>
  </conditionalFormatting>
  <conditionalFormatting sqref="U42">
    <cfRule type="iconSet" priority="53">
      <iconSet reverse="1">
        <cfvo type="percent" val="0"/>
        <cfvo type="num" val="0"/>
        <cfvo type="num" val="5"/>
      </iconSet>
    </cfRule>
    <cfRule type="cellIs" dxfId="403" priority="54" operator="lessThanOrEqual">
      <formula>0</formula>
    </cfRule>
    <cfRule type="cellIs" dxfId="402" priority="55" operator="between">
      <formula>1</formula>
      <formula>4</formula>
    </cfRule>
    <cfRule type="cellIs" dxfId="401" priority="56" operator="between">
      <formula>5</formula>
      <formula>365</formula>
    </cfRule>
  </conditionalFormatting>
  <conditionalFormatting sqref="U43">
    <cfRule type="iconSet" priority="49">
      <iconSet reverse="1">
        <cfvo type="percent" val="0"/>
        <cfvo type="num" val="0"/>
        <cfvo type="num" val="5"/>
      </iconSet>
    </cfRule>
    <cfRule type="cellIs" dxfId="400" priority="50" operator="lessThanOrEqual">
      <formula>0</formula>
    </cfRule>
    <cfRule type="cellIs" dxfId="399" priority="51" operator="between">
      <formula>1</formula>
      <formula>4</formula>
    </cfRule>
    <cfRule type="cellIs" dxfId="398" priority="52" operator="between">
      <formula>5</formula>
      <formula>365</formula>
    </cfRule>
  </conditionalFormatting>
  <conditionalFormatting sqref="U44">
    <cfRule type="iconSet" priority="45">
      <iconSet reverse="1">
        <cfvo type="percent" val="0"/>
        <cfvo type="num" val="0"/>
        <cfvo type="num" val="5"/>
      </iconSet>
    </cfRule>
    <cfRule type="cellIs" dxfId="397" priority="46" operator="lessThanOrEqual">
      <formula>0</formula>
    </cfRule>
    <cfRule type="cellIs" dxfId="396" priority="47" operator="between">
      <formula>1</formula>
      <formula>4</formula>
    </cfRule>
    <cfRule type="cellIs" dxfId="395" priority="48" operator="between">
      <formula>5</formula>
      <formula>365</formula>
    </cfRule>
  </conditionalFormatting>
  <conditionalFormatting sqref="U45">
    <cfRule type="iconSet" priority="41">
      <iconSet reverse="1">
        <cfvo type="percent" val="0"/>
        <cfvo type="num" val="0"/>
        <cfvo type="num" val="5"/>
      </iconSet>
    </cfRule>
    <cfRule type="cellIs" dxfId="394" priority="42" operator="lessThanOrEqual">
      <formula>0</formula>
    </cfRule>
    <cfRule type="cellIs" dxfId="393" priority="43" operator="between">
      <formula>1</formula>
      <formula>4</formula>
    </cfRule>
    <cfRule type="cellIs" dxfId="392" priority="44" operator="between">
      <formula>5</formula>
      <formula>365</formula>
    </cfRule>
  </conditionalFormatting>
  <conditionalFormatting sqref="U46">
    <cfRule type="iconSet" priority="37">
      <iconSet reverse="1">
        <cfvo type="percent" val="0"/>
        <cfvo type="num" val="0"/>
        <cfvo type="num" val="5"/>
      </iconSet>
    </cfRule>
    <cfRule type="cellIs" dxfId="391" priority="38" operator="lessThanOrEqual">
      <formula>0</formula>
    </cfRule>
    <cfRule type="cellIs" dxfId="390" priority="39" operator="between">
      <formula>1</formula>
      <formula>4</formula>
    </cfRule>
    <cfRule type="cellIs" dxfId="389" priority="40" operator="between">
      <formula>5</formula>
      <formula>365</formula>
    </cfRule>
  </conditionalFormatting>
  <conditionalFormatting sqref="U47">
    <cfRule type="iconSet" priority="33">
      <iconSet reverse="1">
        <cfvo type="percent" val="0"/>
        <cfvo type="num" val="0"/>
        <cfvo type="num" val="5"/>
      </iconSet>
    </cfRule>
    <cfRule type="cellIs" dxfId="388" priority="34" operator="lessThanOrEqual">
      <formula>0</formula>
    </cfRule>
    <cfRule type="cellIs" dxfId="387" priority="35" operator="between">
      <formula>1</formula>
      <formula>4</formula>
    </cfRule>
    <cfRule type="cellIs" dxfId="386" priority="36" operator="between">
      <formula>5</formula>
      <formula>365</formula>
    </cfRule>
  </conditionalFormatting>
  <conditionalFormatting sqref="U48">
    <cfRule type="iconSet" priority="29">
      <iconSet reverse="1">
        <cfvo type="percent" val="0"/>
        <cfvo type="num" val="0"/>
        <cfvo type="num" val="5"/>
      </iconSet>
    </cfRule>
    <cfRule type="cellIs" dxfId="385" priority="30" operator="lessThanOrEqual">
      <formula>0</formula>
    </cfRule>
    <cfRule type="cellIs" dxfId="384" priority="31" operator="between">
      <formula>1</formula>
      <formula>4</formula>
    </cfRule>
    <cfRule type="cellIs" dxfId="383" priority="32" operator="between">
      <formula>5</formula>
      <formula>365</formula>
    </cfRule>
  </conditionalFormatting>
  <conditionalFormatting sqref="U49">
    <cfRule type="iconSet" priority="25">
      <iconSet reverse="1">
        <cfvo type="percent" val="0"/>
        <cfvo type="num" val="0"/>
        <cfvo type="num" val="5"/>
      </iconSet>
    </cfRule>
    <cfRule type="cellIs" dxfId="382" priority="26" operator="lessThanOrEqual">
      <formula>0</formula>
    </cfRule>
    <cfRule type="cellIs" dxfId="381" priority="27" operator="between">
      <formula>1</formula>
      <formula>4</formula>
    </cfRule>
    <cfRule type="cellIs" dxfId="380" priority="28" operator="between">
      <formula>5</formula>
      <formula>365</formula>
    </cfRule>
  </conditionalFormatting>
  <conditionalFormatting sqref="U50">
    <cfRule type="iconSet" priority="21">
      <iconSet reverse="1">
        <cfvo type="percent" val="0"/>
        <cfvo type="num" val="0"/>
        <cfvo type="num" val="5"/>
      </iconSet>
    </cfRule>
    <cfRule type="cellIs" dxfId="379" priority="22" operator="lessThanOrEqual">
      <formula>0</formula>
    </cfRule>
    <cfRule type="cellIs" dxfId="378" priority="23" operator="between">
      <formula>1</formula>
      <formula>4</formula>
    </cfRule>
    <cfRule type="cellIs" dxfId="377" priority="24" operator="between">
      <formula>5</formula>
      <formula>365</formula>
    </cfRule>
  </conditionalFormatting>
  <conditionalFormatting sqref="U51">
    <cfRule type="iconSet" priority="17">
      <iconSet reverse="1">
        <cfvo type="percent" val="0"/>
        <cfvo type="num" val="0"/>
        <cfvo type="num" val="5"/>
      </iconSet>
    </cfRule>
    <cfRule type="cellIs" dxfId="376" priority="18" operator="lessThanOrEqual">
      <formula>0</formula>
    </cfRule>
    <cfRule type="cellIs" dxfId="375" priority="19" operator="between">
      <formula>1</formula>
      <formula>4</formula>
    </cfRule>
    <cfRule type="cellIs" dxfId="374" priority="20" operator="between">
      <formula>5</formula>
      <formula>365</formula>
    </cfRule>
  </conditionalFormatting>
  <conditionalFormatting sqref="U52">
    <cfRule type="iconSet" priority="13">
      <iconSet reverse="1">
        <cfvo type="percent" val="0"/>
        <cfvo type="num" val="0"/>
        <cfvo type="num" val="5"/>
      </iconSet>
    </cfRule>
    <cfRule type="cellIs" dxfId="373" priority="14" operator="lessThanOrEqual">
      <formula>0</formula>
    </cfRule>
    <cfRule type="cellIs" dxfId="372" priority="15" operator="between">
      <formula>1</formula>
      <formula>4</formula>
    </cfRule>
    <cfRule type="cellIs" dxfId="371" priority="16" operator="between">
      <formula>5</formula>
      <formula>365</formula>
    </cfRule>
  </conditionalFormatting>
  <conditionalFormatting sqref="U53">
    <cfRule type="iconSet" priority="9">
      <iconSet reverse="1">
        <cfvo type="percent" val="0"/>
        <cfvo type="num" val="0"/>
        <cfvo type="num" val="5"/>
      </iconSet>
    </cfRule>
    <cfRule type="cellIs" dxfId="370" priority="10" operator="lessThanOrEqual">
      <formula>0</formula>
    </cfRule>
    <cfRule type="cellIs" dxfId="369" priority="11" operator="between">
      <formula>1</formula>
      <formula>4</formula>
    </cfRule>
    <cfRule type="cellIs" dxfId="368" priority="12" operator="between">
      <formula>5</formula>
      <formula>365</formula>
    </cfRule>
  </conditionalFormatting>
  <conditionalFormatting sqref="U54">
    <cfRule type="iconSet" priority="5">
      <iconSet reverse="1">
        <cfvo type="percent" val="0"/>
        <cfvo type="num" val="0"/>
        <cfvo type="num" val="5"/>
      </iconSet>
    </cfRule>
    <cfRule type="cellIs" dxfId="367" priority="6" operator="lessThanOrEqual">
      <formula>0</formula>
    </cfRule>
    <cfRule type="cellIs" dxfId="366" priority="7" operator="between">
      <formula>1</formula>
      <formula>4</formula>
    </cfRule>
    <cfRule type="cellIs" dxfId="365" priority="8" operator="between">
      <formula>5</formula>
      <formula>365</formula>
    </cfRule>
  </conditionalFormatting>
  <conditionalFormatting sqref="U55">
    <cfRule type="iconSet" priority="1">
      <iconSet reverse="1">
        <cfvo type="percent" val="0"/>
        <cfvo type="num" val="0"/>
        <cfvo type="num" val="5"/>
      </iconSet>
    </cfRule>
    <cfRule type="cellIs" dxfId="364" priority="2" operator="lessThanOrEqual">
      <formula>0</formula>
    </cfRule>
    <cfRule type="cellIs" dxfId="363" priority="3" operator="between">
      <formula>1</formula>
      <formula>4</formula>
    </cfRule>
    <cfRule type="cellIs" dxfId="362" priority="4" operator="between">
      <formula>5</formula>
      <formula>365</formula>
    </cfRule>
  </conditionalFormatting>
  <pageMargins left="0.7" right="0.7" top="0.75" bottom="0.75" header="0.3" footer="0.3"/>
  <pageSetup scale="79" orientation="landscape" r:id="rId4"/>
  <drawing r:id="rId5"/>
  <legacyDrawing r:id="rId6"/>
</worksheet>
</file>

<file path=xl/worksheets/sheet4.xml><?xml version="1.0" encoding="utf-8"?>
<worksheet xmlns="http://schemas.openxmlformats.org/spreadsheetml/2006/main" xmlns:r="http://schemas.openxmlformats.org/officeDocument/2006/relationships">
  <sheetPr codeName="Sheet19"/>
  <dimension ref="A1:AD190"/>
  <sheetViews>
    <sheetView workbookViewId="0">
      <pane ySplit="24" topLeftCell="A25" activePane="bottomLeft" state="frozen"/>
      <selection activeCell="B1" sqref="B1"/>
      <selection pane="bottomLeft" activeCell="D29" sqref="D29"/>
    </sheetView>
  </sheetViews>
  <sheetFormatPr defaultColWidth="9.453125" defaultRowHeight="23"/>
  <cols>
    <col min="1" max="1" width="7" style="54" hidden="1" customWidth="1"/>
    <col min="2" max="2" width="4.54296875" style="54" customWidth="1"/>
    <col min="3" max="4" width="30.54296875" style="56" customWidth="1"/>
    <col min="5" max="5" width="180.54296875" style="43" customWidth="1"/>
    <col min="6" max="6" width="4.54296875" style="43" customWidth="1"/>
    <col min="7" max="7" width="40.54296875" style="41" customWidth="1"/>
    <col min="8" max="10" width="15" style="42" customWidth="1"/>
    <col min="11" max="11" width="30.453125" style="43" customWidth="1"/>
    <col min="12" max="16384" width="9.453125" style="43"/>
  </cols>
  <sheetData>
    <row r="1" spans="1:14" ht="45.5">
      <c r="A1" s="35"/>
      <c r="B1" s="36"/>
      <c r="C1" s="37"/>
      <c r="D1" s="38" t="s">
        <v>93</v>
      </c>
      <c r="E1" s="39"/>
      <c r="F1" s="40"/>
      <c r="N1" s="44"/>
    </row>
    <row r="2" spans="1:14" ht="6" customHeight="1">
      <c r="A2" s="45"/>
      <c r="B2" s="46"/>
      <c r="C2" s="47"/>
      <c r="D2" s="48"/>
      <c r="E2" s="49"/>
      <c r="F2" s="40"/>
      <c r="N2" s="44"/>
    </row>
    <row r="3" spans="1:14" ht="23.5" thickBot="1">
      <c r="A3" s="50"/>
      <c r="B3" s="51" t="s">
        <v>94</v>
      </c>
      <c r="C3" s="52" t="s">
        <v>58</v>
      </c>
      <c r="D3" s="52" t="s">
        <v>57</v>
      </c>
      <c r="E3" s="53"/>
      <c r="F3" s="40"/>
    </row>
    <row r="4" spans="1:14" ht="6" customHeight="1">
      <c r="B4" s="55"/>
      <c r="F4" s="40"/>
    </row>
    <row r="5" spans="1:14">
      <c r="B5" s="55">
        <v>1</v>
      </c>
      <c r="C5" s="57" t="s">
        <v>56</v>
      </c>
      <c r="D5" s="57">
        <f>COUNTIF(A25:A301,"&lt;0")</f>
        <v>53</v>
      </c>
      <c r="F5" s="40"/>
      <c r="H5" s="58"/>
      <c r="I5" s="58"/>
    </row>
    <row r="6" spans="1:14">
      <c r="B6" s="55">
        <v>2</v>
      </c>
      <c r="C6" s="59" t="s">
        <v>55</v>
      </c>
      <c r="D6" s="59">
        <f>COUNTIF(A25:A301,"=0")</f>
        <v>23</v>
      </c>
      <c r="F6" s="40"/>
      <c r="H6" s="58"/>
    </row>
    <row r="7" spans="1:14">
      <c r="B7" s="55">
        <v>3</v>
      </c>
      <c r="C7" s="60" t="s">
        <v>54</v>
      </c>
      <c r="D7" s="61">
        <f>COUNTIFS(A25:A301,"&gt;0",A25:A301,"&lt;5")</f>
        <v>23</v>
      </c>
      <c r="F7" s="40"/>
    </row>
    <row r="8" spans="1:14">
      <c r="B8" s="55">
        <v>4</v>
      </c>
      <c r="C8" s="62" t="s">
        <v>53</v>
      </c>
      <c r="D8" s="63">
        <f>COUNTIFS(A25:A301,"&gt;4",A25:A301,"&lt;1000")</f>
        <v>63</v>
      </c>
      <c r="F8" s="40"/>
    </row>
    <row r="9" spans="1:14">
      <c r="B9" s="55"/>
      <c r="C9" s="56" t="s">
        <v>95</v>
      </c>
      <c r="D9" s="56">
        <f>SUM(D5:D8)</f>
        <v>162</v>
      </c>
      <c r="F9" s="40"/>
    </row>
    <row r="10" spans="1:14">
      <c r="B10" s="55"/>
      <c r="C10" s="64" t="s">
        <v>96</v>
      </c>
      <c r="F10" s="40"/>
    </row>
    <row r="11" spans="1:14">
      <c r="B11" s="55"/>
      <c r="C11" s="65" t="s">
        <v>97</v>
      </c>
      <c r="D11" s="66">
        <f>D5/D9</f>
        <v>0.3271604938271605</v>
      </c>
      <c r="F11" s="40"/>
    </row>
    <row r="12" spans="1:14">
      <c r="B12" s="55"/>
      <c r="C12" s="65" t="s">
        <v>98</v>
      </c>
      <c r="D12" s="67">
        <f>D6/D9</f>
        <v>0.1419753086419753</v>
      </c>
      <c r="F12" s="40"/>
    </row>
    <row r="13" spans="1:14">
      <c r="B13" s="55"/>
      <c r="C13" s="65" t="s">
        <v>99</v>
      </c>
      <c r="D13" s="68">
        <f>D7/D9</f>
        <v>0.1419753086419753</v>
      </c>
      <c r="F13" s="40"/>
    </row>
    <row r="14" spans="1:14">
      <c r="B14" s="55"/>
      <c r="C14" s="65" t="s">
        <v>100</v>
      </c>
      <c r="D14" s="69">
        <f>D8/D9</f>
        <v>0.3888888888888889</v>
      </c>
      <c r="F14" s="40"/>
    </row>
    <row r="15" spans="1:14">
      <c r="B15" s="55"/>
      <c r="F15" s="40"/>
    </row>
    <row r="16" spans="1:14">
      <c r="B16" s="55"/>
      <c r="F16" s="40"/>
    </row>
    <row r="17" spans="1:30" ht="25.5" customHeight="1">
      <c r="B17" s="55"/>
      <c r="F17" s="40"/>
    </row>
    <row r="18" spans="1:30" ht="25.5" customHeight="1">
      <c r="B18" s="55"/>
      <c r="C18" s="43"/>
      <c r="D18" s="43"/>
      <c r="F18" s="40"/>
    </row>
    <row r="19" spans="1:30" ht="25.5" customHeight="1">
      <c r="B19" s="55"/>
      <c r="C19" s="43"/>
      <c r="D19" s="43"/>
      <c r="F19" s="40"/>
    </row>
    <row r="20" spans="1:30" ht="25.5" customHeight="1">
      <c r="B20" s="55"/>
      <c r="C20" s="43"/>
      <c r="D20" s="43"/>
      <c r="F20" s="40"/>
    </row>
    <row r="21" spans="1:30" ht="25.5" customHeight="1">
      <c r="B21" s="55"/>
      <c r="C21" s="43"/>
      <c r="D21" s="43"/>
      <c r="F21" s="40"/>
    </row>
    <row r="22" spans="1:30" ht="25.5" customHeight="1">
      <c r="B22" s="55"/>
      <c r="C22" s="43"/>
      <c r="D22" s="43"/>
      <c r="F22" s="40"/>
    </row>
    <row r="23" spans="1:30" ht="25.5" customHeight="1">
      <c r="B23" s="55"/>
      <c r="C23" s="43"/>
      <c r="D23" s="43"/>
      <c r="F23" s="40"/>
    </row>
    <row r="24" spans="1:30" ht="25.5" customHeight="1">
      <c r="B24" s="55"/>
      <c r="C24" s="40"/>
      <c r="D24" s="40"/>
      <c r="E24" s="40"/>
      <c r="F24" s="40"/>
    </row>
    <row r="25" spans="1:30" ht="25.5" customHeight="1">
      <c r="A25" s="54">
        <v>-10</v>
      </c>
      <c r="C25" s="43"/>
      <c r="D25" s="43"/>
    </row>
    <row r="26" spans="1:30" ht="25.5" customHeight="1">
      <c r="A26" s="70">
        <v>20</v>
      </c>
      <c r="B26" s="70"/>
      <c r="C26" s="71"/>
      <c r="D26" s="71"/>
      <c r="E26" s="71"/>
      <c r="F26" s="71"/>
      <c r="Z26" s="72" t="str">
        <f t="shared" ref="Z26:Z55" si="0">IF(SUM(Y26)&gt;0,SUM(Y26-X26),"")</f>
        <v/>
      </c>
      <c r="AA26" s="71"/>
      <c r="AB26" s="71"/>
      <c r="AC26" s="71"/>
      <c r="AD26" s="71"/>
    </row>
    <row r="27" spans="1:30">
      <c r="A27" s="70">
        <v>20</v>
      </c>
      <c r="B27" s="70"/>
      <c r="C27" s="71"/>
      <c r="D27" s="71"/>
      <c r="E27" s="71"/>
      <c r="F27" s="71"/>
      <c r="Z27" s="72" t="str">
        <f t="shared" si="0"/>
        <v/>
      </c>
      <c r="AA27" s="71"/>
      <c r="AB27" s="71"/>
      <c r="AC27" s="71"/>
      <c r="AD27" s="71"/>
    </row>
    <row r="28" spans="1:30">
      <c r="A28" s="70">
        <v>20</v>
      </c>
      <c r="B28" s="70"/>
      <c r="C28" s="71"/>
      <c r="D28" s="71"/>
      <c r="E28" s="71"/>
      <c r="F28" s="71"/>
      <c r="Z28" s="72" t="str">
        <f t="shared" si="0"/>
        <v/>
      </c>
      <c r="AA28" s="71"/>
      <c r="AB28" s="71"/>
      <c r="AC28" s="71"/>
      <c r="AD28" s="71"/>
    </row>
    <row r="29" spans="1:30">
      <c r="A29" s="70">
        <v>20</v>
      </c>
      <c r="B29" s="70"/>
      <c r="C29" s="71"/>
      <c r="D29" s="71"/>
      <c r="E29" s="71"/>
      <c r="F29" s="71"/>
      <c r="Z29" s="72" t="str">
        <f t="shared" si="0"/>
        <v/>
      </c>
      <c r="AA29" s="71"/>
      <c r="AB29" s="71"/>
      <c r="AC29" s="71"/>
      <c r="AD29" s="71"/>
    </row>
    <row r="30" spans="1:30">
      <c r="A30" s="70">
        <v>20</v>
      </c>
      <c r="B30" s="70"/>
      <c r="C30" s="71"/>
      <c r="D30" s="71"/>
      <c r="E30" s="71"/>
      <c r="F30" s="71"/>
      <c r="Z30" s="72" t="str">
        <f t="shared" si="0"/>
        <v/>
      </c>
      <c r="AA30" s="71"/>
      <c r="AB30" s="71"/>
      <c r="AC30" s="71"/>
      <c r="AD30" s="71"/>
    </row>
    <row r="31" spans="1:30">
      <c r="A31" s="70">
        <v>20</v>
      </c>
      <c r="B31" s="70"/>
      <c r="C31" s="71"/>
      <c r="D31" s="71"/>
      <c r="E31" s="71"/>
      <c r="F31" s="71"/>
      <c r="Z31" s="72" t="str">
        <f t="shared" si="0"/>
        <v/>
      </c>
      <c r="AA31" s="71"/>
      <c r="AB31" s="71"/>
      <c r="AC31" s="71"/>
      <c r="AD31" s="71"/>
    </row>
    <row r="32" spans="1:30">
      <c r="A32" s="70">
        <v>20</v>
      </c>
      <c r="B32" s="70"/>
      <c r="C32" s="71"/>
      <c r="D32" s="71"/>
      <c r="E32" s="71"/>
      <c r="F32" s="71"/>
      <c r="Z32" s="72" t="str">
        <f t="shared" si="0"/>
        <v/>
      </c>
      <c r="AA32" s="71"/>
      <c r="AB32" s="71"/>
      <c r="AC32" s="71"/>
      <c r="AD32" s="71"/>
    </row>
    <row r="33" spans="1:30">
      <c r="A33" s="70">
        <v>20</v>
      </c>
      <c r="B33" s="70"/>
      <c r="C33" s="71"/>
      <c r="D33" s="71"/>
      <c r="E33" s="71"/>
      <c r="F33" s="71"/>
      <c r="Z33" s="72" t="str">
        <f t="shared" si="0"/>
        <v/>
      </c>
      <c r="AA33" s="71"/>
      <c r="AB33" s="71"/>
      <c r="AC33" s="71"/>
      <c r="AD33" s="71"/>
    </row>
    <row r="34" spans="1:30">
      <c r="A34" s="70">
        <v>20</v>
      </c>
      <c r="B34" s="70"/>
      <c r="C34" s="71"/>
      <c r="D34" s="71"/>
      <c r="E34" s="71"/>
      <c r="F34" s="71"/>
      <c r="Z34" s="72" t="str">
        <f t="shared" si="0"/>
        <v/>
      </c>
      <c r="AA34" s="71"/>
      <c r="AB34" s="71"/>
      <c r="AC34" s="71"/>
      <c r="AD34" s="71"/>
    </row>
    <row r="35" spans="1:30">
      <c r="A35" s="70">
        <v>20</v>
      </c>
      <c r="B35" s="70"/>
      <c r="C35" s="71"/>
      <c r="D35" s="71"/>
      <c r="E35" s="71"/>
      <c r="F35" s="71"/>
      <c r="Z35" s="72" t="str">
        <f t="shared" si="0"/>
        <v/>
      </c>
      <c r="AA35" s="71"/>
      <c r="AB35" s="71"/>
      <c r="AC35" s="71"/>
      <c r="AD35" s="71"/>
    </row>
    <row r="36" spans="1:30">
      <c r="A36" s="70">
        <v>20</v>
      </c>
      <c r="B36" s="70"/>
      <c r="C36" s="71"/>
      <c r="D36" s="71"/>
      <c r="E36" s="71"/>
      <c r="F36" s="71"/>
      <c r="Z36" s="72" t="str">
        <f t="shared" si="0"/>
        <v/>
      </c>
      <c r="AA36" s="71"/>
      <c r="AB36" s="71"/>
      <c r="AC36" s="71"/>
      <c r="AD36" s="71"/>
    </row>
    <row r="37" spans="1:30">
      <c r="A37" s="70">
        <v>20</v>
      </c>
      <c r="B37" s="70"/>
      <c r="C37" s="71"/>
      <c r="D37" s="71"/>
      <c r="E37" s="71"/>
      <c r="F37" s="71"/>
      <c r="Z37" s="72" t="str">
        <f t="shared" si="0"/>
        <v/>
      </c>
      <c r="AA37" s="71"/>
      <c r="AB37" s="71"/>
      <c r="AC37" s="71"/>
      <c r="AD37" s="71"/>
    </row>
    <row r="38" spans="1:30">
      <c r="A38" s="70">
        <v>20</v>
      </c>
      <c r="B38" s="70"/>
      <c r="C38" s="71"/>
      <c r="D38" s="71"/>
      <c r="E38" s="71"/>
      <c r="F38" s="71"/>
      <c r="Z38" s="72" t="str">
        <f t="shared" si="0"/>
        <v/>
      </c>
      <c r="AA38" s="71"/>
      <c r="AB38" s="71"/>
      <c r="AC38" s="71"/>
      <c r="AD38" s="71"/>
    </row>
    <row r="39" spans="1:30">
      <c r="A39" s="70">
        <v>20</v>
      </c>
      <c r="B39" s="70"/>
      <c r="C39" s="71"/>
      <c r="D39" s="71"/>
      <c r="E39" s="71"/>
      <c r="F39" s="71"/>
      <c r="Z39" s="72" t="str">
        <f t="shared" si="0"/>
        <v/>
      </c>
      <c r="AA39" s="71"/>
      <c r="AB39" s="71"/>
      <c r="AC39" s="71"/>
      <c r="AD39" s="71"/>
    </row>
    <row r="40" spans="1:30">
      <c r="A40" s="70">
        <v>20</v>
      </c>
      <c r="B40" s="70"/>
      <c r="C40" s="71"/>
      <c r="D40" s="71"/>
      <c r="E40" s="71"/>
      <c r="F40" s="71"/>
      <c r="Z40" s="72" t="str">
        <f t="shared" si="0"/>
        <v/>
      </c>
      <c r="AA40" s="71"/>
      <c r="AB40" s="71"/>
      <c r="AC40" s="71"/>
      <c r="AD40" s="71"/>
    </row>
    <row r="41" spans="1:30">
      <c r="A41" s="70">
        <v>20</v>
      </c>
      <c r="B41" s="70"/>
      <c r="C41" s="71"/>
      <c r="D41" s="71"/>
      <c r="E41" s="71"/>
      <c r="F41" s="71"/>
      <c r="Z41" s="72" t="str">
        <f t="shared" si="0"/>
        <v/>
      </c>
      <c r="AA41" s="71"/>
      <c r="AB41" s="71"/>
      <c r="AC41" s="71"/>
      <c r="AD41" s="71"/>
    </row>
    <row r="42" spans="1:30">
      <c r="A42" s="70">
        <v>20</v>
      </c>
      <c r="B42" s="70"/>
      <c r="C42" s="71"/>
      <c r="D42" s="71"/>
      <c r="E42" s="71"/>
      <c r="F42" s="71"/>
      <c r="Z42" s="72" t="str">
        <f t="shared" si="0"/>
        <v/>
      </c>
      <c r="AA42" s="71"/>
      <c r="AB42" s="71"/>
      <c r="AC42" s="71"/>
      <c r="AD42" s="71"/>
    </row>
    <row r="43" spans="1:30">
      <c r="A43" s="70">
        <v>20</v>
      </c>
      <c r="B43" s="70"/>
      <c r="C43" s="71"/>
      <c r="D43" s="71"/>
      <c r="E43" s="71"/>
      <c r="F43" s="71"/>
      <c r="Z43" s="72" t="str">
        <f t="shared" si="0"/>
        <v/>
      </c>
      <c r="AA43" s="71"/>
      <c r="AB43" s="71"/>
      <c r="AC43" s="71"/>
      <c r="AD43" s="71"/>
    </row>
    <row r="44" spans="1:30">
      <c r="A44" s="70">
        <v>20</v>
      </c>
      <c r="B44" s="70"/>
      <c r="C44" s="71"/>
      <c r="D44" s="71"/>
      <c r="E44" s="71"/>
      <c r="F44" s="71"/>
      <c r="Z44" s="72" t="str">
        <f t="shared" si="0"/>
        <v/>
      </c>
      <c r="AA44" s="71"/>
      <c r="AB44" s="71"/>
      <c r="AC44" s="71"/>
      <c r="AD44" s="71"/>
    </row>
    <row r="45" spans="1:30">
      <c r="A45" s="70">
        <v>20</v>
      </c>
      <c r="B45" s="70"/>
      <c r="C45" s="71"/>
      <c r="D45" s="71"/>
      <c r="E45" s="71"/>
      <c r="F45" s="71"/>
      <c r="Z45" s="72" t="str">
        <f t="shared" si="0"/>
        <v/>
      </c>
      <c r="AA45" s="71"/>
      <c r="AB45" s="71"/>
      <c r="AC45" s="71"/>
      <c r="AD45" s="71"/>
    </row>
    <row r="46" spans="1:30">
      <c r="A46" s="70">
        <v>27</v>
      </c>
      <c r="B46" s="70"/>
      <c r="C46" s="71"/>
      <c r="D46" s="71"/>
      <c r="E46" s="71"/>
      <c r="F46" s="71"/>
      <c r="Z46" s="72" t="str">
        <f t="shared" si="0"/>
        <v/>
      </c>
      <c r="AA46" s="71"/>
      <c r="AB46" s="71"/>
      <c r="AC46" s="71"/>
      <c r="AD46" s="71"/>
    </row>
    <row r="47" spans="1:30">
      <c r="A47" s="70">
        <v>-32</v>
      </c>
      <c r="B47" s="70"/>
      <c r="C47" s="71"/>
      <c r="D47" s="71"/>
      <c r="E47" s="71"/>
      <c r="F47" s="71"/>
      <c r="Z47" s="72" t="str">
        <f t="shared" si="0"/>
        <v/>
      </c>
      <c r="AA47" s="71"/>
      <c r="AB47" s="71"/>
      <c r="AC47" s="71"/>
      <c r="AD47" s="71"/>
    </row>
    <row r="48" spans="1:30">
      <c r="A48" s="70">
        <v>-19</v>
      </c>
      <c r="B48" s="70"/>
      <c r="C48" s="71"/>
      <c r="D48" s="71"/>
      <c r="E48" s="71"/>
      <c r="F48" s="71"/>
      <c r="Z48" s="72" t="str">
        <f t="shared" si="0"/>
        <v/>
      </c>
      <c r="AA48" s="71"/>
      <c r="AB48" s="71"/>
      <c r="AC48" s="71"/>
      <c r="AD48" s="71"/>
    </row>
    <row r="49" spans="1:30">
      <c r="A49" s="70">
        <v>-19</v>
      </c>
      <c r="B49" s="70"/>
      <c r="C49" s="71"/>
      <c r="D49" s="71"/>
      <c r="E49" s="71"/>
      <c r="F49" s="71"/>
      <c r="Z49" s="72" t="str">
        <f t="shared" si="0"/>
        <v/>
      </c>
      <c r="AA49" s="71"/>
      <c r="AB49" s="71"/>
      <c r="AC49" s="71"/>
      <c r="AD49" s="71"/>
    </row>
    <row r="50" spans="1:30">
      <c r="A50" s="70">
        <v>-56</v>
      </c>
      <c r="B50" s="70"/>
      <c r="C50" s="71"/>
      <c r="D50" s="71"/>
      <c r="E50" s="71"/>
      <c r="F50" s="71"/>
      <c r="Z50" s="72" t="str">
        <f t="shared" si="0"/>
        <v/>
      </c>
      <c r="AA50" s="71"/>
      <c r="AB50" s="71"/>
      <c r="AC50" s="71"/>
      <c r="AD50" s="71"/>
    </row>
    <row r="51" spans="1:30">
      <c r="A51" s="70">
        <v>-43</v>
      </c>
      <c r="B51" s="70"/>
      <c r="C51" s="71"/>
      <c r="D51" s="71"/>
      <c r="E51" s="71"/>
      <c r="F51" s="71"/>
      <c r="Z51" s="72" t="str">
        <f t="shared" si="0"/>
        <v/>
      </c>
      <c r="AA51" s="71"/>
      <c r="AB51" s="71"/>
      <c r="AC51" s="71"/>
      <c r="AD51" s="71"/>
    </row>
    <row r="52" spans="1:30">
      <c r="A52" s="70">
        <v>-40</v>
      </c>
      <c r="B52" s="70"/>
      <c r="C52" s="71"/>
      <c r="D52" s="71"/>
      <c r="E52" s="71"/>
      <c r="F52" s="71"/>
      <c r="Z52" s="72" t="str">
        <f t="shared" si="0"/>
        <v/>
      </c>
      <c r="AA52" s="71"/>
      <c r="AB52" s="71"/>
      <c r="AC52" s="71"/>
      <c r="AD52" s="71"/>
    </row>
    <row r="53" spans="1:30">
      <c r="A53" s="70">
        <v>-16</v>
      </c>
      <c r="B53" s="70"/>
      <c r="C53" s="71"/>
      <c r="D53" s="71"/>
      <c r="E53" s="71"/>
      <c r="F53" s="71"/>
      <c r="Z53" s="72" t="str">
        <f t="shared" si="0"/>
        <v/>
      </c>
      <c r="AA53" s="71"/>
      <c r="AB53" s="71"/>
      <c r="AC53" s="71"/>
      <c r="AD53" s="71"/>
    </row>
    <row r="54" spans="1:30">
      <c r="A54" s="70">
        <v>-16</v>
      </c>
      <c r="B54" s="70"/>
      <c r="C54" s="71"/>
      <c r="D54" s="71"/>
      <c r="E54" s="71"/>
      <c r="F54" s="71"/>
      <c r="Z54" s="72" t="str">
        <f t="shared" si="0"/>
        <v/>
      </c>
      <c r="AA54" s="71"/>
      <c r="AB54" s="71"/>
      <c r="AC54" s="71"/>
      <c r="AD54" s="71"/>
    </row>
    <row r="55" spans="1:30">
      <c r="A55" s="70">
        <v>-3</v>
      </c>
      <c r="B55" s="70"/>
      <c r="C55" s="71"/>
      <c r="D55" s="71"/>
      <c r="E55" s="71"/>
      <c r="F55" s="71"/>
      <c r="Z55" s="72" t="str">
        <f t="shared" si="0"/>
        <v/>
      </c>
      <c r="AA55" s="71"/>
      <c r="AB55" s="71"/>
      <c r="AC55" s="71"/>
      <c r="AD55" s="71"/>
    </row>
    <row r="56" spans="1:30">
      <c r="A56" s="54">
        <v>1</v>
      </c>
      <c r="C56" s="43"/>
      <c r="D56" s="43"/>
    </row>
    <row r="57" spans="1:30">
      <c r="A57" s="54">
        <v>-14</v>
      </c>
      <c r="C57" s="43"/>
      <c r="D57" s="43"/>
    </row>
    <row r="58" spans="1:30">
      <c r="A58" s="54">
        <v>-4</v>
      </c>
      <c r="C58" s="43"/>
      <c r="D58" s="43"/>
    </row>
    <row r="59" spans="1:30">
      <c r="A59" s="54">
        <v>-16</v>
      </c>
      <c r="C59" s="43"/>
      <c r="D59" s="43"/>
    </row>
    <row r="60" spans="1:30">
      <c r="A60" s="54">
        <v>-16</v>
      </c>
      <c r="C60" s="43"/>
      <c r="D60" s="43"/>
    </row>
    <row r="61" spans="1:30">
      <c r="A61" s="54">
        <v>-8</v>
      </c>
      <c r="C61" s="43"/>
      <c r="D61" s="43"/>
    </row>
    <row r="62" spans="1:30">
      <c r="A62" s="54">
        <v>-10</v>
      </c>
      <c r="C62" s="43"/>
      <c r="D62" s="43"/>
    </row>
    <row r="63" spans="1:30">
      <c r="A63" s="54">
        <v>-6</v>
      </c>
      <c r="C63" s="43"/>
      <c r="D63" s="43"/>
    </row>
    <row r="64" spans="1:30">
      <c r="A64" s="54">
        <v>0</v>
      </c>
      <c r="C64" s="43"/>
      <c r="D64" s="43"/>
    </row>
    <row r="65" spans="1:4">
      <c r="A65" s="54">
        <v>0</v>
      </c>
      <c r="C65" s="43"/>
      <c r="D65" s="43"/>
    </row>
    <row r="66" spans="1:4">
      <c r="A66" s="54">
        <v>0</v>
      </c>
      <c r="C66" s="43"/>
      <c r="D66" s="43"/>
    </row>
    <row r="67" spans="1:4">
      <c r="A67" s="54">
        <v>0</v>
      </c>
      <c r="C67" s="43"/>
      <c r="D67" s="43"/>
    </row>
    <row r="68" spans="1:4">
      <c r="A68" s="54">
        <v>0</v>
      </c>
      <c r="C68" s="43"/>
      <c r="D68" s="43"/>
    </row>
    <row r="69" spans="1:4">
      <c r="A69" s="54">
        <v>-3</v>
      </c>
      <c r="C69" s="43"/>
      <c r="D69" s="43"/>
    </row>
    <row r="70" spans="1:4">
      <c r="A70" s="54">
        <v>-4</v>
      </c>
      <c r="C70" s="43"/>
      <c r="D70" s="43"/>
    </row>
    <row r="71" spans="1:4">
      <c r="A71" s="54">
        <v>-4</v>
      </c>
      <c r="C71" s="43"/>
      <c r="D71" s="43"/>
    </row>
    <row r="72" spans="1:4">
      <c r="A72" s="54">
        <v>-14</v>
      </c>
      <c r="C72" s="43"/>
      <c r="D72" s="43"/>
    </row>
    <row r="73" spans="1:4">
      <c r="A73" s="54">
        <v>2</v>
      </c>
      <c r="C73" s="43"/>
      <c r="D73" s="43"/>
    </row>
    <row r="74" spans="1:4">
      <c r="A74" s="54">
        <v>0</v>
      </c>
      <c r="C74" s="43"/>
      <c r="D74" s="43"/>
    </row>
    <row r="75" spans="1:4">
      <c r="A75" s="54">
        <v>-33</v>
      </c>
      <c r="C75" s="43"/>
      <c r="D75" s="43"/>
    </row>
    <row r="76" spans="1:4">
      <c r="A76" s="54">
        <v>-28</v>
      </c>
      <c r="C76" s="43"/>
      <c r="D76" s="43"/>
    </row>
    <row r="77" spans="1:4">
      <c r="A77" s="54">
        <v>0</v>
      </c>
      <c r="C77" s="43"/>
      <c r="D77" s="43"/>
    </row>
    <row r="78" spans="1:4">
      <c r="A78" s="54" t="s">
        <v>38</v>
      </c>
      <c r="C78" s="43"/>
      <c r="D78" s="43"/>
    </row>
    <row r="79" spans="1:4">
      <c r="A79" s="54">
        <v>12</v>
      </c>
      <c r="C79" s="43"/>
      <c r="D79" s="43"/>
    </row>
    <row r="80" spans="1:4">
      <c r="A80" s="54">
        <v>-6</v>
      </c>
      <c r="C80" s="43"/>
      <c r="D80" s="43"/>
    </row>
    <row r="81" spans="1:4">
      <c r="A81" s="54">
        <v>-20</v>
      </c>
      <c r="C81" s="43"/>
      <c r="D81" s="43"/>
    </row>
    <row r="82" spans="1:4">
      <c r="A82" s="54">
        <v>11</v>
      </c>
      <c r="C82" s="43"/>
      <c r="D82" s="43"/>
    </row>
    <row r="83" spans="1:4">
      <c r="A83" s="54">
        <v>11</v>
      </c>
      <c r="C83" s="43"/>
      <c r="D83" s="43"/>
    </row>
    <row r="84" spans="1:4">
      <c r="A84" s="54">
        <v>11</v>
      </c>
      <c r="C84" s="43"/>
      <c r="D84" s="43"/>
    </row>
    <row r="85" spans="1:4">
      <c r="A85" s="54">
        <v>14</v>
      </c>
      <c r="C85" s="43"/>
      <c r="D85" s="43"/>
    </row>
    <row r="86" spans="1:4">
      <c r="A86" s="54">
        <v>-3</v>
      </c>
      <c r="C86" s="43"/>
      <c r="D86" s="43"/>
    </row>
    <row r="87" spans="1:4">
      <c r="A87" s="54">
        <v>11</v>
      </c>
      <c r="C87" s="43"/>
      <c r="D87" s="43"/>
    </row>
    <row r="88" spans="1:4">
      <c r="A88" s="54">
        <v>4</v>
      </c>
      <c r="C88" s="43"/>
      <c r="D88" s="43"/>
    </row>
    <row r="89" spans="1:4">
      <c r="A89" s="54">
        <v>28</v>
      </c>
      <c r="C89" s="43"/>
      <c r="D89" s="43"/>
    </row>
    <row r="90" spans="1:4">
      <c r="A90" s="54">
        <v>-9</v>
      </c>
      <c r="C90" s="43"/>
      <c r="D90" s="43"/>
    </row>
    <row r="91" spans="1:4">
      <c r="A91" s="54">
        <v>-3</v>
      </c>
      <c r="C91" s="43"/>
      <c r="D91" s="43"/>
    </row>
    <row r="92" spans="1:4">
      <c r="A92" s="54">
        <v>0</v>
      </c>
      <c r="C92" s="43"/>
      <c r="D92" s="43"/>
    </row>
    <row r="93" spans="1:4">
      <c r="A93" s="54">
        <v>12</v>
      </c>
      <c r="C93" s="43"/>
      <c r="D93" s="43"/>
    </row>
    <row r="94" spans="1:4">
      <c r="A94" s="54">
        <v>-3</v>
      </c>
      <c r="C94" s="43"/>
      <c r="D94" s="43"/>
    </row>
    <row r="95" spans="1:4">
      <c r="A95" s="54">
        <v>-15</v>
      </c>
      <c r="C95" s="43"/>
      <c r="D95" s="43"/>
    </row>
    <row r="96" spans="1:4">
      <c r="A96" s="54">
        <v>6</v>
      </c>
      <c r="C96" s="43"/>
      <c r="D96" s="43"/>
    </row>
    <row r="97" spans="1:4">
      <c r="A97" s="54">
        <v>5</v>
      </c>
      <c r="C97" s="43"/>
      <c r="D97" s="43"/>
    </row>
    <row r="98" spans="1:4">
      <c r="A98" s="54">
        <v>5</v>
      </c>
      <c r="C98" s="43"/>
      <c r="D98" s="43"/>
    </row>
    <row r="99" spans="1:4">
      <c r="A99" s="54">
        <v>5</v>
      </c>
      <c r="C99" s="43"/>
      <c r="D99" s="43"/>
    </row>
    <row r="100" spans="1:4">
      <c r="A100" s="54">
        <v>5</v>
      </c>
      <c r="C100" s="43"/>
      <c r="D100" s="43"/>
    </row>
    <row r="101" spans="1:4">
      <c r="A101" s="54">
        <v>12</v>
      </c>
      <c r="C101" s="43"/>
      <c r="D101" s="43"/>
    </row>
    <row r="102" spans="1:4">
      <c r="A102" s="54">
        <v>-7</v>
      </c>
      <c r="C102" s="43"/>
      <c r="D102" s="43"/>
    </row>
    <row r="103" spans="1:4">
      <c r="A103" s="54">
        <v>1</v>
      </c>
      <c r="C103" s="43"/>
      <c r="D103" s="43"/>
    </row>
    <row r="104" spans="1:4">
      <c r="A104" s="54">
        <v>204</v>
      </c>
      <c r="C104" s="43"/>
      <c r="D104" s="43"/>
    </row>
    <row r="105" spans="1:4">
      <c r="A105" s="54">
        <v>-6</v>
      </c>
      <c r="C105" s="43"/>
      <c r="D105" s="43"/>
    </row>
    <row r="106" spans="1:4">
      <c r="A106" s="54">
        <v>-7</v>
      </c>
      <c r="C106" s="43"/>
      <c r="D106" s="43"/>
    </row>
    <row r="107" spans="1:4">
      <c r="A107" s="54">
        <v>4</v>
      </c>
      <c r="C107" s="43"/>
      <c r="D107" s="43"/>
    </row>
    <row r="108" spans="1:4">
      <c r="A108" s="54">
        <v>2</v>
      </c>
      <c r="C108" s="43"/>
      <c r="D108" s="43"/>
    </row>
    <row r="109" spans="1:4">
      <c r="A109" s="54">
        <v>2</v>
      </c>
      <c r="C109" s="43"/>
      <c r="D109" s="43"/>
    </row>
    <row r="110" spans="1:4">
      <c r="A110" s="54">
        <v>6</v>
      </c>
      <c r="C110" s="43"/>
      <c r="D110" s="43"/>
    </row>
    <row r="111" spans="1:4">
      <c r="A111" s="54">
        <v>11</v>
      </c>
      <c r="C111" s="43"/>
      <c r="D111" s="43"/>
    </row>
    <row r="112" spans="1:4">
      <c r="A112" s="54">
        <v>11</v>
      </c>
      <c r="C112" s="43"/>
      <c r="D112" s="43"/>
    </row>
    <row r="113" spans="1:4">
      <c r="A113" s="54">
        <v>13</v>
      </c>
      <c r="C113" s="43"/>
      <c r="D113" s="43"/>
    </row>
    <row r="114" spans="1:4">
      <c r="A114" s="54">
        <v>11</v>
      </c>
      <c r="C114" s="43"/>
      <c r="D114" s="43"/>
    </row>
    <row r="115" spans="1:4">
      <c r="A115" s="54">
        <v>10</v>
      </c>
      <c r="C115" s="43"/>
      <c r="D115" s="43"/>
    </row>
    <row r="116" spans="1:4">
      <c r="A116" s="54">
        <v>10</v>
      </c>
      <c r="C116" s="43"/>
      <c r="D116" s="43"/>
    </row>
    <row r="117" spans="1:4">
      <c r="A117" s="54">
        <v>8</v>
      </c>
      <c r="C117" s="43"/>
      <c r="D117" s="43"/>
    </row>
    <row r="118" spans="1:4">
      <c r="A118" s="54">
        <v>4</v>
      </c>
      <c r="C118" s="43"/>
      <c r="D118" s="43"/>
    </row>
    <row r="119" spans="1:4">
      <c r="A119" s="54">
        <v>0</v>
      </c>
      <c r="C119" s="43"/>
      <c r="D119" s="43"/>
    </row>
    <row r="120" spans="1:4">
      <c r="A120" s="54">
        <v>0</v>
      </c>
      <c r="C120" s="43"/>
      <c r="D120" s="43"/>
    </row>
    <row r="121" spans="1:4">
      <c r="A121" s="54">
        <v>55</v>
      </c>
      <c r="C121" s="43"/>
      <c r="D121" s="43"/>
    </row>
    <row r="122" spans="1:4">
      <c r="A122" s="54">
        <v>0</v>
      </c>
      <c r="C122" s="43"/>
      <c r="D122" s="43"/>
    </row>
    <row r="123" spans="1:4">
      <c r="A123" s="54">
        <v>0</v>
      </c>
      <c r="C123" s="43"/>
      <c r="D123" s="43"/>
    </row>
    <row r="124" spans="1:4">
      <c r="A124" s="54">
        <v>0</v>
      </c>
      <c r="C124" s="43"/>
      <c r="D124" s="43"/>
    </row>
    <row r="125" spans="1:4">
      <c r="A125" s="54">
        <v>4</v>
      </c>
      <c r="C125" s="43"/>
      <c r="D125" s="43"/>
    </row>
    <row r="126" spans="1:4">
      <c r="A126" s="54">
        <v>4</v>
      </c>
      <c r="C126" s="43"/>
      <c r="D126" s="43"/>
    </row>
    <row r="127" spans="1:4">
      <c r="A127" s="54">
        <v>4</v>
      </c>
      <c r="C127" s="43"/>
      <c r="D127" s="43"/>
    </row>
    <row r="128" spans="1:4">
      <c r="A128" s="54">
        <v>0</v>
      </c>
      <c r="C128" s="43"/>
      <c r="D128" s="43"/>
    </row>
    <row r="129" spans="1:4">
      <c r="A129" s="54">
        <v>2</v>
      </c>
      <c r="C129" s="43"/>
      <c r="D129" s="43"/>
    </row>
    <row r="130" spans="1:4">
      <c r="A130" s="54">
        <v>-5</v>
      </c>
      <c r="C130" s="43"/>
      <c r="D130" s="43"/>
    </row>
    <row r="131" spans="1:4">
      <c r="A131" s="54">
        <v>4</v>
      </c>
      <c r="C131" s="43"/>
      <c r="D131" s="43"/>
    </row>
    <row r="132" spans="1:4">
      <c r="A132" s="54">
        <v>-6</v>
      </c>
      <c r="C132" s="43"/>
      <c r="D132" s="43"/>
    </row>
    <row r="133" spans="1:4">
      <c r="A133" s="54">
        <v>-5</v>
      </c>
      <c r="C133" s="43"/>
      <c r="D133" s="43"/>
    </row>
    <row r="134" spans="1:4">
      <c r="A134" s="54">
        <v>-5</v>
      </c>
      <c r="C134" s="43"/>
      <c r="D134" s="43"/>
    </row>
    <row r="135" spans="1:4">
      <c r="A135" s="54">
        <v>-5</v>
      </c>
      <c r="C135" s="43"/>
      <c r="D135" s="43"/>
    </row>
    <row r="136" spans="1:4">
      <c r="A136" s="54">
        <v>-5</v>
      </c>
      <c r="C136" s="43"/>
      <c r="D136" s="43"/>
    </row>
    <row r="137" spans="1:4">
      <c r="A137" s="54">
        <v>34</v>
      </c>
      <c r="C137" s="43"/>
      <c r="D137" s="43"/>
    </row>
    <row r="138" spans="1:4">
      <c r="A138" s="54">
        <v>32</v>
      </c>
      <c r="C138" s="43"/>
      <c r="D138" s="43"/>
    </row>
    <row r="139" spans="1:4">
      <c r="A139" s="54">
        <v>-8</v>
      </c>
      <c r="C139" s="43"/>
      <c r="D139" s="43"/>
    </row>
    <row r="140" spans="1:4">
      <c r="A140" s="54">
        <v>0</v>
      </c>
      <c r="C140" s="43"/>
      <c r="D140" s="43"/>
    </row>
    <row r="141" spans="1:4">
      <c r="A141" s="54">
        <v>0</v>
      </c>
      <c r="C141" s="43"/>
      <c r="D141" s="43"/>
    </row>
    <row r="142" spans="1:4">
      <c r="A142" s="54">
        <v>28</v>
      </c>
      <c r="C142" s="43"/>
      <c r="D142" s="43"/>
    </row>
    <row r="143" spans="1:4">
      <c r="A143" s="54">
        <v>11</v>
      </c>
      <c r="C143" s="43"/>
      <c r="D143" s="43"/>
    </row>
    <row r="144" spans="1:4">
      <c r="A144" s="54">
        <v>-1</v>
      </c>
      <c r="C144" s="43"/>
      <c r="D144" s="43"/>
    </row>
    <row r="145" spans="1:4">
      <c r="A145" s="54">
        <v>42</v>
      </c>
      <c r="C145" s="43"/>
      <c r="D145" s="43"/>
    </row>
    <row r="146" spans="1:4">
      <c r="A146" s="54">
        <v>0</v>
      </c>
      <c r="C146" s="43"/>
      <c r="D146" s="43"/>
    </row>
    <row r="147" spans="1:4">
      <c r="A147" s="54">
        <v>0</v>
      </c>
      <c r="C147" s="43"/>
      <c r="D147" s="43"/>
    </row>
    <row r="148" spans="1:4">
      <c r="A148" s="54">
        <v>23</v>
      </c>
      <c r="C148" s="43"/>
      <c r="D148" s="43"/>
    </row>
    <row r="149" spans="1:4">
      <c r="A149" s="54">
        <v>1</v>
      </c>
      <c r="C149" s="43"/>
      <c r="D149" s="43"/>
    </row>
    <row r="150" spans="1:4">
      <c r="A150" s="54">
        <v>1</v>
      </c>
      <c r="C150" s="43"/>
      <c r="D150" s="43"/>
    </row>
    <row r="151" spans="1:4">
      <c r="A151" s="54">
        <v>1</v>
      </c>
      <c r="C151" s="43"/>
      <c r="D151" s="43"/>
    </row>
    <row r="152" spans="1:4">
      <c r="A152" s="54">
        <v>4</v>
      </c>
      <c r="C152" s="43"/>
      <c r="D152" s="43"/>
    </row>
    <row r="153" spans="1:4">
      <c r="A153" s="54">
        <v>20</v>
      </c>
      <c r="C153" s="43"/>
      <c r="D153" s="43"/>
    </row>
    <row r="154" spans="1:4">
      <c r="A154" s="54">
        <v>33</v>
      </c>
      <c r="C154" s="43"/>
      <c r="D154" s="43"/>
    </row>
    <row r="155" spans="1:4">
      <c r="A155" s="54">
        <v>0</v>
      </c>
      <c r="C155" s="43"/>
      <c r="D155" s="43"/>
    </row>
    <row r="156" spans="1:4">
      <c r="A156" s="54">
        <v>1</v>
      </c>
      <c r="C156" s="43"/>
      <c r="D156" s="43"/>
    </row>
    <row r="157" spans="1:4">
      <c r="A157" s="54">
        <v>42</v>
      </c>
      <c r="C157" s="43"/>
      <c r="D157" s="43"/>
    </row>
    <row r="158" spans="1:4">
      <c r="A158" s="54">
        <v>-1</v>
      </c>
      <c r="C158" s="43"/>
      <c r="D158" s="43"/>
    </row>
    <row r="159" spans="1:4">
      <c r="A159" s="54">
        <v>-1</v>
      </c>
      <c r="C159" s="43"/>
      <c r="D159" s="43"/>
    </row>
    <row r="160" spans="1:4">
      <c r="A160" s="54">
        <v>49</v>
      </c>
      <c r="C160" s="43"/>
      <c r="D160" s="43"/>
    </row>
    <row r="161" spans="1:4">
      <c r="A161" s="54">
        <v>-1</v>
      </c>
      <c r="C161" s="43"/>
      <c r="D161" s="43"/>
    </row>
    <row r="162" spans="1:4">
      <c r="A162" s="54">
        <v>0</v>
      </c>
      <c r="C162" s="43"/>
      <c r="D162" s="43"/>
    </row>
    <row r="163" spans="1:4">
      <c r="A163" s="54">
        <v>18</v>
      </c>
      <c r="C163" s="43"/>
      <c r="D163" s="43"/>
    </row>
    <row r="164" spans="1:4">
      <c r="A164" s="54">
        <v>7</v>
      </c>
      <c r="C164" s="43"/>
      <c r="D164" s="43"/>
    </row>
    <row r="165" spans="1:4">
      <c r="A165" s="54">
        <v>-8</v>
      </c>
      <c r="C165" s="43"/>
      <c r="D165" s="43"/>
    </row>
    <row r="166" spans="1:4">
      <c r="A166" s="54">
        <v>-1</v>
      </c>
      <c r="C166" s="43"/>
      <c r="D166" s="43"/>
    </row>
    <row r="167" spans="1:4">
      <c r="A167" s="54">
        <v>3</v>
      </c>
      <c r="C167" s="43"/>
      <c r="D167" s="43"/>
    </row>
    <row r="168" spans="1:4">
      <c r="A168" s="54">
        <v>3</v>
      </c>
      <c r="C168" s="43"/>
      <c r="D168" s="43"/>
    </row>
    <row r="169" spans="1:4">
      <c r="A169" s="54">
        <v>0</v>
      </c>
      <c r="C169" s="43"/>
      <c r="D169" s="43"/>
    </row>
    <row r="170" spans="1:4">
      <c r="A170" s="54">
        <v>-9</v>
      </c>
      <c r="C170" s="43"/>
      <c r="D170" s="43"/>
    </row>
    <row r="171" spans="1:4">
      <c r="A171" s="54">
        <v>0</v>
      </c>
      <c r="C171" s="43"/>
      <c r="D171" s="43"/>
    </row>
    <row r="172" spans="1:4">
      <c r="A172" s="54">
        <v>-9</v>
      </c>
      <c r="C172" s="43"/>
      <c r="D172" s="43"/>
    </row>
    <row r="173" spans="1:4">
      <c r="A173" s="54">
        <v>-9</v>
      </c>
      <c r="C173" s="43"/>
      <c r="D173" s="43"/>
    </row>
    <row r="174" spans="1:4">
      <c r="A174" s="54">
        <v>1</v>
      </c>
      <c r="C174" s="43"/>
      <c r="D174" s="43"/>
    </row>
    <row r="175" spans="1:4">
      <c r="A175" s="54">
        <v>-4</v>
      </c>
      <c r="C175" s="43"/>
      <c r="D175" s="43"/>
    </row>
    <row r="176" spans="1:4">
      <c r="A176" s="54">
        <v>-1</v>
      </c>
      <c r="C176" s="43"/>
      <c r="D176" s="43"/>
    </row>
    <row r="177" spans="1:4">
      <c r="A177" s="54">
        <v>3</v>
      </c>
      <c r="C177" s="43"/>
      <c r="D177" s="43"/>
    </row>
    <row r="178" spans="1:4">
      <c r="A178" s="54">
        <v>94</v>
      </c>
      <c r="C178" s="43"/>
      <c r="D178" s="43"/>
    </row>
    <row r="179" spans="1:4">
      <c r="A179" s="54" t="s">
        <v>38</v>
      </c>
      <c r="C179" s="43"/>
      <c r="D179" s="43"/>
    </row>
    <row r="180" spans="1:4">
      <c r="A180" s="54">
        <v>-1</v>
      </c>
      <c r="C180" s="43"/>
      <c r="D180" s="43"/>
    </row>
    <row r="181" spans="1:4">
      <c r="A181" s="54">
        <v>-720</v>
      </c>
      <c r="C181" s="43"/>
      <c r="D181" s="43"/>
    </row>
    <row r="182" spans="1:4">
      <c r="A182" s="54">
        <v>3</v>
      </c>
      <c r="C182" s="43"/>
      <c r="D182" s="43"/>
    </row>
    <row r="183" spans="1:4">
      <c r="A183" s="54">
        <v>6</v>
      </c>
      <c r="C183" s="43"/>
      <c r="D183" s="43"/>
    </row>
    <row r="184" spans="1:4">
      <c r="A184" s="54">
        <v>6</v>
      </c>
      <c r="C184" s="43"/>
      <c r="D184" s="43"/>
    </row>
    <row r="185" spans="1:4">
      <c r="A185" s="54">
        <v>6</v>
      </c>
      <c r="C185" s="43"/>
      <c r="D185" s="43"/>
    </row>
    <row r="186" spans="1:4">
      <c r="A186" s="54">
        <v>0</v>
      </c>
      <c r="C186" s="43"/>
      <c r="D186" s="43"/>
    </row>
    <row r="187" spans="1:4">
      <c r="A187" s="54">
        <v>5</v>
      </c>
      <c r="C187" s="43"/>
      <c r="D187" s="43"/>
    </row>
    <row r="188" spans="1:4">
      <c r="A188" s="54">
        <v>5</v>
      </c>
      <c r="C188" s="43"/>
      <c r="D188" s="43"/>
    </row>
    <row r="189" spans="1:4">
      <c r="C189" s="43"/>
      <c r="D189" s="43"/>
    </row>
    <row r="190" spans="1:4">
      <c r="C190" s="43"/>
      <c r="D190" s="43"/>
    </row>
  </sheetData>
  <sheetProtection selectLockedCells="1"/>
  <dataConsolidate/>
  <customSheetViews>
    <customSheetView guid="{2383B994-5DA1-4BB7-BA01-728624653006}" hiddenColumns="1" state="hidden">
      <pane ySplit="23" topLeftCell="A25" activePane="bottomLeft" state="frozen"/>
      <selection pane="bottomLeft" activeCell="D29" sqref="D29"/>
      <pageMargins left="0.7" right="0.7" top="0.75" bottom="0.75" header="0.3" footer="0.3"/>
      <pageSetup orientation="portrait" r:id="rId1"/>
    </customSheetView>
    <customSheetView guid="{2CF83A42-D815-4571-8877-DB621A116308}" hiddenColumns="1" state="hidden">
      <pane ySplit="23" topLeftCell="A25" activePane="bottomLeft" state="frozen"/>
      <selection pane="bottomLeft" activeCell="D29" sqref="D29"/>
      <pageMargins left="0.7" right="0.7" top="0.75" bottom="0.75" header="0.3" footer="0.3"/>
      <pageSetup orientation="portrait" r:id="rId2"/>
    </customSheetView>
    <customSheetView guid="{FFA6C093-E866-4B92-9807-8D478A2763D4}" hiddenColumns="1" state="hidden">
      <pane ySplit="23" topLeftCell="A25" activePane="bottomLeft" state="frozen"/>
      <selection pane="bottomLeft" activeCell="D29" sqref="D29"/>
      <pageMargins left="0.7" right="0.7" top="0.75" bottom="0.75" header="0.3" footer="0.3"/>
      <pageSetup orientation="portrait" r:id="rId3"/>
    </customSheetView>
  </customSheetViews>
  <conditionalFormatting sqref="Z26">
    <cfRule type="iconSet" priority="477">
      <iconSet reverse="1">
        <cfvo type="percent" val="0"/>
        <cfvo type="num" val="0"/>
        <cfvo type="num" val="5"/>
      </iconSet>
    </cfRule>
    <cfRule type="cellIs" dxfId="361" priority="478" operator="lessThanOrEqual">
      <formula>0</formula>
    </cfRule>
    <cfRule type="cellIs" dxfId="360" priority="479" operator="between">
      <formula>1</formula>
      <formula>4</formula>
    </cfRule>
    <cfRule type="cellIs" dxfId="359" priority="480" operator="between">
      <formula>5</formula>
      <formula>365</formula>
    </cfRule>
  </conditionalFormatting>
  <conditionalFormatting sqref="Z27">
    <cfRule type="iconSet" priority="473">
      <iconSet reverse="1">
        <cfvo type="percent" val="0"/>
        <cfvo type="num" val="0"/>
        <cfvo type="num" val="5"/>
      </iconSet>
    </cfRule>
    <cfRule type="cellIs" dxfId="358" priority="474" operator="lessThanOrEqual">
      <formula>0</formula>
    </cfRule>
    <cfRule type="cellIs" dxfId="357" priority="475" operator="between">
      <formula>1</formula>
      <formula>4</formula>
    </cfRule>
    <cfRule type="cellIs" dxfId="356" priority="476" operator="between">
      <formula>5</formula>
      <formula>365</formula>
    </cfRule>
  </conditionalFormatting>
  <conditionalFormatting sqref="Z28">
    <cfRule type="iconSet" priority="469">
      <iconSet reverse="1">
        <cfvo type="percent" val="0"/>
        <cfvo type="num" val="0"/>
        <cfvo type="num" val="5"/>
      </iconSet>
    </cfRule>
    <cfRule type="cellIs" dxfId="355" priority="470" operator="lessThanOrEqual">
      <formula>0</formula>
    </cfRule>
    <cfRule type="cellIs" dxfId="354" priority="471" operator="between">
      <formula>1</formula>
      <formula>4</formula>
    </cfRule>
    <cfRule type="cellIs" dxfId="353" priority="472" operator="between">
      <formula>5</formula>
      <formula>365</formula>
    </cfRule>
  </conditionalFormatting>
  <conditionalFormatting sqref="Z29">
    <cfRule type="iconSet" priority="465">
      <iconSet reverse="1">
        <cfvo type="percent" val="0"/>
        <cfvo type="num" val="0"/>
        <cfvo type="num" val="5"/>
      </iconSet>
    </cfRule>
    <cfRule type="cellIs" dxfId="352" priority="466" operator="lessThanOrEqual">
      <formula>0</formula>
    </cfRule>
    <cfRule type="cellIs" dxfId="351" priority="467" operator="between">
      <formula>1</formula>
      <formula>4</formula>
    </cfRule>
    <cfRule type="cellIs" dxfId="350" priority="468" operator="between">
      <formula>5</formula>
      <formula>365</formula>
    </cfRule>
  </conditionalFormatting>
  <conditionalFormatting sqref="Z30">
    <cfRule type="iconSet" priority="461">
      <iconSet reverse="1">
        <cfvo type="percent" val="0"/>
        <cfvo type="num" val="0"/>
        <cfvo type="num" val="5"/>
      </iconSet>
    </cfRule>
    <cfRule type="cellIs" dxfId="349" priority="462" operator="lessThanOrEqual">
      <formula>0</formula>
    </cfRule>
    <cfRule type="cellIs" dxfId="348" priority="463" operator="between">
      <formula>1</formula>
      <formula>4</formula>
    </cfRule>
    <cfRule type="cellIs" dxfId="347" priority="464" operator="between">
      <formula>5</formula>
      <formula>365</formula>
    </cfRule>
  </conditionalFormatting>
  <conditionalFormatting sqref="Z31">
    <cfRule type="iconSet" priority="457">
      <iconSet reverse="1">
        <cfvo type="percent" val="0"/>
        <cfvo type="num" val="0"/>
        <cfvo type="num" val="5"/>
      </iconSet>
    </cfRule>
    <cfRule type="cellIs" dxfId="346" priority="458" operator="lessThanOrEqual">
      <formula>0</formula>
    </cfRule>
    <cfRule type="cellIs" dxfId="345" priority="459" operator="between">
      <formula>1</formula>
      <formula>4</formula>
    </cfRule>
    <cfRule type="cellIs" dxfId="344" priority="460" operator="between">
      <formula>5</formula>
      <formula>365</formula>
    </cfRule>
  </conditionalFormatting>
  <conditionalFormatting sqref="Z32">
    <cfRule type="iconSet" priority="453">
      <iconSet reverse="1">
        <cfvo type="percent" val="0"/>
        <cfvo type="num" val="0"/>
        <cfvo type="num" val="5"/>
      </iconSet>
    </cfRule>
    <cfRule type="cellIs" dxfId="343" priority="454" operator="lessThanOrEqual">
      <formula>0</formula>
    </cfRule>
    <cfRule type="cellIs" dxfId="342" priority="455" operator="between">
      <formula>1</formula>
      <formula>4</formula>
    </cfRule>
    <cfRule type="cellIs" dxfId="341" priority="456" operator="between">
      <formula>5</formula>
      <formula>365</formula>
    </cfRule>
  </conditionalFormatting>
  <conditionalFormatting sqref="Z33">
    <cfRule type="iconSet" priority="449">
      <iconSet reverse="1">
        <cfvo type="percent" val="0"/>
        <cfvo type="num" val="0"/>
        <cfvo type="num" val="5"/>
      </iconSet>
    </cfRule>
    <cfRule type="cellIs" dxfId="340" priority="450" operator="lessThanOrEqual">
      <formula>0</formula>
    </cfRule>
    <cfRule type="cellIs" dxfId="339" priority="451" operator="between">
      <formula>1</formula>
      <formula>4</formula>
    </cfRule>
    <cfRule type="cellIs" dxfId="338" priority="452" operator="between">
      <formula>5</formula>
      <formula>365</formula>
    </cfRule>
  </conditionalFormatting>
  <conditionalFormatting sqref="Z34">
    <cfRule type="iconSet" priority="445">
      <iconSet reverse="1">
        <cfvo type="percent" val="0"/>
        <cfvo type="num" val="0"/>
        <cfvo type="num" val="5"/>
      </iconSet>
    </cfRule>
    <cfRule type="cellIs" dxfId="337" priority="446" operator="lessThanOrEqual">
      <formula>0</formula>
    </cfRule>
    <cfRule type="cellIs" dxfId="336" priority="447" operator="between">
      <formula>1</formula>
      <formula>4</formula>
    </cfRule>
    <cfRule type="cellIs" dxfId="335" priority="448" operator="between">
      <formula>5</formula>
      <formula>365</formula>
    </cfRule>
  </conditionalFormatting>
  <conditionalFormatting sqref="Z35">
    <cfRule type="iconSet" priority="441">
      <iconSet reverse="1">
        <cfvo type="percent" val="0"/>
        <cfvo type="num" val="0"/>
        <cfvo type="num" val="5"/>
      </iconSet>
    </cfRule>
    <cfRule type="cellIs" dxfId="334" priority="442" operator="lessThanOrEqual">
      <formula>0</formula>
    </cfRule>
    <cfRule type="cellIs" dxfId="333" priority="443" operator="between">
      <formula>1</formula>
      <formula>4</formula>
    </cfRule>
    <cfRule type="cellIs" dxfId="332" priority="444" operator="between">
      <formula>5</formula>
      <formula>365</formula>
    </cfRule>
  </conditionalFormatting>
  <conditionalFormatting sqref="Z36">
    <cfRule type="iconSet" priority="437">
      <iconSet reverse="1">
        <cfvo type="percent" val="0"/>
        <cfvo type="num" val="0"/>
        <cfvo type="num" val="5"/>
      </iconSet>
    </cfRule>
    <cfRule type="cellIs" dxfId="331" priority="438" operator="lessThanOrEqual">
      <formula>0</formula>
    </cfRule>
    <cfRule type="cellIs" dxfId="330" priority="439" operator="between">
      <formula>1</formula>
      <formula>4</formula>
    </cfRule>
    <cfRule type="cellIs" dxfId="329" priority="440" operator="between">
      <formula>5</formula>
      <formula>365</formula>
    </cfRule>
  </conditionalFormatting>
  <conditionalFormatting sqref="Z37">
    <cfRule type="iconSet" priority="433">
      <iconSet reverse="1">
        <cfvo type="percent" val="0"/>
        <cfvo type="num" val="0"/>
        <cfvo type="num" val="5"/>
      </iconSet>
    </cfRule>
    <cfRule type="cellIs" dxfId="328" priority="434" operator="lessThanOrEqual">
      <formula>0</formula>
    </cfRule>
    <cfRule type="cellIs" dxfId="327" priority="435" operator="between">
      <formula>1</formula>
      <formula>4</formula>
    </cfRule>
    <cfRule type="cellIs" dxfId="326" priority="436" operator="between">
      <formula>5</formula>
      <formula>365</formula>
    </cfRule>
  </conditionalFormatting>
  <conditionalFormatting sqref="Z38">
    <cfRule type="iconSet" priority="429">
      <iconSet reverse="1">
        <cfvo type="percent" val="0"/>
        <cfvo type="num" val="0"/>
        <cfvo type="num" val="5"/>
      </iconSet>
    </cfRule>
    <cfRule type="cellIs" dxfId="325" priority="430" operator="lessThanOrEqual">
      <formula>0</formula>
    </cfRule>
    <cfRule type="cellIs" dxfId="324" priority="431" operator="between">
      <formula>1</formula>
      <formula>4</formula>
    </cfRule>
    <cfRule type="cellIs" dxfId="323" priority="432" operator="between">
      <formula>5</formula>
      <formula>365</formula>
    </cfRule>
  </conditionalFormatting>
  <conditionalFormatting sqref="Z39">
    <cfRule type="iconSet" priority="425">
      <iconSet reverse="1">
        <cfvo type="percent" val="0"/>
        <cfvo type="num" val="0"/>
        <cfvo type="num" val="5"/>
      </iconSet>
    </cfRule>
    <cfRule type="cellIs" dxfId="322" priority="426" operator="lessThanOrEqual">
      <formula>0</formula>
    </cfRule>
    <cfRule type="cellIs" dxfId="321" priority="427" operator="between">
      <formula>1</formula>
      <formula>4</formula>
    </cfRule>
    <cfRule type="cellIs" dxfId="320" priority="428" operator="between">
      <formula>5</formula>
      <formula>365</formula>
    </cfRule>
  </conditionalFormatting>
  <conditionalFormatting sqref="Z40">
    <cfRule type="iconSet" priority="421">
      <iconSet reverse="1">
        <cfvo type="percent" val="0"/>
        <cfvo type="num" val="0"/>
        <cfvo type="num" val="5"/>
      </iconSet>
    </cfRule>
    <cfRule type="cellIs" dxfId="319" priority="422" operator="lessThanOrEqual">
      <formula>0</formula>
    </cfRule>
    <cfRule type="cellIs" dxfId="318" priority="423" operator="between">
      <formula>1</formula>
      <formula>4</formula>
    </cfRule>
    <cfRule type="cellIs" dxfId="317" priority="424" operator="between">
      <formula>5</formula>
      <formula>365</formula>
    </cfRule>
  </conditionalFormatting>
  <conditionalFormatting sqref="Z41">
    <cfRule type="iconSet" priority="417">
      <iconSet reverse="1">
        <cfvo type="percent" val="0"/>
        <cfvo type="num" val="0"/>
        <cfvo type="num" val="5"/>
      </iconSet>
    </cfRule>
    <cfRule type="cellIs" dxfId="316" priority="418" operator="lessThanOrEqual">
      <formula>0</formula>
    </cfRule>
    <cfRule type="cellIs" dxfId="315" priority="419" operator="between">
      <formula>1</formula>
      <formula>4</formula>
    </cfRule>
    <cfRule type="cellIs" dxfId="314" priority="420" operator="between">
      <formula>5</formula>
      <formula>365</formula>
    </cfRule>
  </conditionalFormatting>
  <conditionalFormatting sqref="Z42">
    <cfRule type="iconSet" priority="413">
      <iconSet reverse="1">
        <cfvo type="percent" val="0"/>
        <cfvo type="num" val="0"/>
        <cfvo type="num" val="5"/>
      </iconSet>
    </cfRule>
    <cfRule type="cellIs" dxfId="313" priority="414" operator="lessThanOrEqual">
      <formula>0</formula>
    </cfRule>
    <cfRule type="cellIs" dxfId="312" priority="415" operator="between">
      <formula>1</formula>
      <formula>4</formula>
    </cfRule>
    <cfRule type="cellIs" dxfId="311" priority="416" operator="between">
      <formula>5</formula>
      <formula>365</formula>
    </cfRule>
  </conditionalFormatting>
  <conditionalFormatting sqref="Z43">
    <cfRule type="iconSet" priority="409">
      <iconSet reverse="1">
        <cfvo type="percent" val="0"/>
        <cfvo type="num" val="0"/>
        <cfvo type="num" val="5"/>
      </iconSet>
    </cfRule>
    <cfRule type="cellIs" dxfId="310" priority="410" operator="lessThanOrEqual">
      <formula>0</formula>
    </cfRule>
    <cfRule type="cellIs" dxfId="309" priority="411" operator="between">
      <formula>1</formula>
      <formula>4</formula>
    </cfRule>
    <cfRule type="cellIs" dxfId="308" priority="412" operator="between">
      <formula>5</formula>
      <formula>365</formula>
    </cfRule>
  </conditionalFormatting>
  <conditionalFormatting sqref="Z44">
    <cfRule type="iconSet" priority="405">
      <iconSet reverse="1">
        <cfvo type="percent" val="0"/>
        <cfvo type="num" val="0"/>
        <cfvo type="num" val="5"/>
      </iconSet>
    </cfRule>
    <cfRule type="cellIs" dxfId="307" priority="406" operator="lessThanOrEqual">
      <formula>0</formula>
    </cfRule>
    <cfRule type="cellIs" dxfId="306" priority="407" operator="between">
      <formula>1</formula>
      <formula>4</formula>
    </cfRule>
    <cfRule type="cellIs" dxfId="305" priority="408" operator="between">
      <formula>5</formula>
      <formula>365</formula>
    </cfRule>
  </conditionalFormatting>
  <conditionalFormatting sqref="Z45">
    <cfRule type="iconSet" priority="401">
      <iconSet reverse="1">
        <cfvo type="percent" val="0"/>
        <cfvo type="num" val="0"/>
        <cfvo type="num" val="5"/>
      </iconSet>
    </cfRule>
    <cfRule type="cellIs" dxfId="304" priority="402" operator="lessThanOrEqual">
      <formula>0</formula>
    </cfRule>
    <cfRule type="cellIs" dxfId="303" priority="403" operator="between">
      <formula>1</formula>
      <formula>4</formula>
    </cfRule>
    <cfRule type="cellIs" dxfId="302" priority="404" operator="between">
      <formula>5</formula>
      <formula>365</formula>
    </cfRule>
  </conditionalFormatting>
  <conditionalFormatting sqref="Z46">
    <cfRule type="iconSet" priority="397">
      <iconSet reverse="1">
        <cfvo type="percent" val="0"/>
        <cfvo type="num" val="0"/>
        <cfvo type="num" val="5"/>
      </iconSet>
    </cfRule>
    <cfRule type="cellIs" dxfId="301" priority="398" operator="lessThanOrEqual">
      <formula>0</formula>
    </cfRule>
    <cfRule type="cellIs" dxfId="300" priority="399" operator="between">
      <formula>1</formula>
      <formula>4</formula>
    </cfRule>
    <cfRule type="cellIs" dxfId="299" priority="400" operator="between">
      <formula>5</formula>
      <formula>365</formula>
    </cfRule>
  </conditionalFormatting>
  <conditionalFormatting sqref="Z47">
    <cfRule type="iconSet" priority="393">
      <iconSet reverse="1">
        <cfvo type="percent" val="0"/>
        <cfvo type="num" val="0"/>
        <cfvo type="num" val="5"/>
      </iconSet>
    </cfRule>
    <cfRule type="cellIs" dxfId="298" priority="394" operator="lessThanOrEqual">
      <formula>0</formula>
    </cfRule>
    <cfRule type="cellIs" dxfId="297" priority="395" operator="between">
      <formula>1</formula>
      <formula>4</formula>
    </cfRule>
    <cfRule type="cellIs" dxfId="296" priority="396" operator="between">
      <formula>5</formula>
      <formula>365</formula>
    </cfRule>
  </conditionalFormatting>
  <conditionalFormatting sqref="Z48">
    <cfRule type="iconSet" priority="389">
      <iconSet reverse="1">
        <cfvo type="percent" val="0"/>
        <cfvo type="num" val="0"/>
        <cfvo type="num" val="5"/>
      </iconSet>
    </cfRule>
    <cfRule type="cellIs" dxfId="295" priority="390" operator="lessThanOrEqual">
      <formula>0</formula>
    </cfRule>
    <cfRule type="cellIs" dxfId="294" priority="391" operator="between">
      <formula>1</formula>
      <formula>4</formula>
    </cfRule>
    <cfRule type="cellIs" dxfId="293" priority="392" operator="between">
      <formula>5</formula>
      <formula>365</formula>
    </cfRule>
  </conditionalFormatting>
  <conditionalFormatting sqref="Z49">
    <cfRule type="iconSet" priority="385">
      <iconSet reverse="1">
        <cfvo type="percent" val="0"/>
        <cfvo type="num" val="0"/>
        <cfvo type="num" val="5"/>
      </iconSet>
    </cfRule>
    <cfRule type="cellIs" dxfId="292" priority="386" operator="lessThanOrEqual">
      <formula>0</formula>
    </cfRule>
    <cfRule type="cellIs" dxfId="291" priority="387" operator="between">
      <formula>1</formula>
      <formula>4</formula>
    </cfRule>
    <cfRule type="cellIs" dxfId="290" priority="388" operator="between">
      <formula>5</formula>
      <formula>365</formula>
    </cfRule>
  </conditionalFormatting>
  <conditionalFormatting sqref="Z50">
    <cfRule type="iconSet" priority="381">
      <iconSet reverse="1">
        <cfvo type="percent" val="0"/>
        <cfvo type="num" val="0"/>
        <cfvo type="num" val="5"/>
      </iconSet>
    </cfRule>
    <cfRule type="cellIs" dxfId="289" priority="382" operator="lessThanOrEqual">
      <formula>0</formula>
    </cfRule>
    <cfRule type="cellIs" dxfId="288" priority="383" operator="between">
      <formula>1</formula>
      <formula>4</formula>
    </cfRule>
    <cfRule type="cellIs" dxfId="287" priority="384" operator="between">
      <formula>5</formula>
      <formula>365</formula>
    </cfRule>
  </conditionalFormatting>
  <conditionalFormatting sqref="Z51">
    <cfRule type="iconSet" priority="377">
      <iconSet reverse="1">
        <cfvo type="percent" val="0"/>
        <cfvo type="num" val="0"/>
        <cfvo type="num" val="5"/>
      </iconSet>
    </cfRule>
    <cfRule type="cellIs" dxfId="286" priority="378" operator="lessThanOrEqual">
      <formula>0</formula>
    </cfRule>
    <cfRule type="cellIs" dxfId="285" priority="379" operator="between">
      <formula>1</formula>
      <formula>4</formula>
    </cfRule>
    <cfRule type="cellIs" dxfId="284" priority="380" operator="between">
      <formula>5</formula>
      <formula>365</formula>
    </cfRule>
  </conditionalFormatting>
  <conditionalFormatting sqref="Z52">
    <cfRule type="iconSet" priority="373">
      <iconSet reverse="1">
        <cfvo type="percent" val="0"/>
        <cfvo type="num" val="0"/>
        <cfvo type="num" val="5"/>
      </iconSet>
    </cfRule>
    <cfRule type="cellIs" dxfId="283" priority="374" operator="lessThanOrEqual">
      <formula>0</formula>
    </cfRule>
    <cfRule type="cellIs" dxfId="282" priority="375" operator="between">
      <formula>1</formula>
      <formula>4</formula>
    </cfRule>
    <cfRule type="cellIs" dxfId="281" priority="376" operator="between">
      <formula>5</formula>
      <formula>365</formula>
    </cfRule>
  </conditionalFormatting>
  <conditionalFormatting sqref="Z53">
    <cfRule type="iconSet" priority="369">
      <iconSet reverse="1">
        <cfvo type="percent" val="0"/>
        <cfvo type="num" val="0"/>
        <cfvo type="num" val="5"/>
      </iconSet>
    </cfRule>
    <cfRule type="cellIs" dxfId="280" priority="370" operator="lessThanOrEqual">
      <formula>0</formula>
    </cfRule>
    <cfRule type="cellIs" dxfId="279" priority="371" operator="between">
      <formula>1</formula>
      <formula>4</formula>
    </cfRule>
    <cfRule type="cellIs" dxfId="278" priority="372" operator="between">
      <formula>5</formula>
      <formula>365</formula>
    </cfRule>
  </conditionalFormatting>
  <conditionalFormatting sqref="Z54">
    <cfRule type="iconSet" priority="365">
      <iconSet reverse="1">
        <cfvo type="percent" val="0"/>
        <cfvo type="num" val="0"/>
        <cfvo type="num" val="5"/>
      </iconSet>
    </cfRule>
    <cfRule type="cellIs" dxfId="277" priority="366" operator="lessThanOrEqual">
      <formula>0</formula>
    </cfRule>
    <cfRule type="cellIs" dxfId="276" priority="367" operator="between">
      <formula>1</formula>
      <formula>4</formula>
    </cfRule>
    <cfRule type="cellIs" dxfId="275" priority="368" operator="between">
      <formula>5</formula>
      <formula>365</formula>
    </cfRule>
  </conditionalFormatting>
  <conditionalFormatting sqref="Z55">
    <cfRule type="iconSet" priority="361">
      <iconSet reverse="1">
        <cfvo type="percent" val="0"/>
        <cfvo type="num" val="0"/>
        <cfvo type="num" val="5"/>
      </iconSet>
    </cfRule>
    <cfRule type="cellIs" dxfId="274" priority="362" operator="lessThanOrEqual">
      <formula>0</formula>
    </cfRule>
    <cfRule type="cellIs" dxfId="273" priority="363" operator="between">
      <formula>1</formula>
      <formula>4</formula>
    </cfRule>
    <cfRule type="cellIs" dxfId="272" priority="364" operator="between">
      <formula>5</formula>
      <formula>365</formula>
    </cfRule>
  </conditionalFormatting>
  <conditionalFormatting sqref="Z26">
    <cfRule type="iconSet" priority="357">
      <iconSet reverse="1">
        <cfvo type="percent" val="0"/>
        <cfvo type="num" val="0"/>
        <cfvo type="num" val="5"/>
      </iconSet>
    </cfRule>
    <cfRule type="cellIs" dxfId="271" priority="358" operator="lessThanOrEqual">
      <formula>0</formula>
    </cfRule>
    <cfRule type="cellIs" dxfId="270" priority="359" operator="between">
      <formula>1</formula>
      <formula>4</formula>
    </cfRule>
    <cfRule type="cellIs" dxfId="269" priority="360" operator="between">
      <formula>5</formula>
      <formula>365</formula>
    </cfRule>
  </conditionalFormatting>
  <conditionalFormatting sqref="Z27">
    <cfRule type="iconSet" priority="353">
      <iconSet reverse="1">
        <cfvo type="percent" val="0"/>
        <cfvo type="num" val="0"/>
        <cfvo type="num" val="5"/>
      </iconSet>
    </cfRule>
    <cfRule type="cellIs" dxfId="268" priority="354" operator="lessThanOrEqual">
      <formula>0</formula>
    </cfRule>
    <cfRule type="cellIs" dxfId="267" priority="355" operator="between">
      <formula>1</formula>
      <formula>4</formula>
    </cfRule>
    <cfRule type="cellIs" dxfId="266" priority="356" operator="between">
      <formula>5</formula>
      <formula>365</formula>
    </cfRule>
  </conditionalFormatting>
  <conditionalFormatting sqref="Z28">
    <cfRule type="iconSet" priority="349">
      <iconSet reverse="1">
        <cfvo type="percent" val="0"/>
        <cfvo type="num" val="0"/>
        <cfvo type="num" val="5"/>
      </iconSet>
    </cfRule>
    <cfRule type="cellIs" dxfId="265" priority="350" operator="lessThanOrEqual">
      <formula>0</formula>
    </cfRule>
    <cfRule type="cellIs" dxfId="264" priority="351" operator="between">
      <formula>1</formula>
      <formula>4</formula>
    </cfRule>
    <cfRule type="cellIs" dxfId="263" priority="352" operator="between">
      <formula>5</formula>
      <formula>365</formula>
    </cfRule>
  </conditionalFormatting>
  <conditionalFormatting sqref="Z29">
    <cfRule type="iconSet" priority="345">
      <iconSet reverse="1">
        <cfvo type="percent" val="0"/>
        <cfvo type="num" val="0"/>
        <cfvo type="num" val="5"/>
      </iconSet>
    </cfRule>
    <cfRule type="cellIs" dxfId="262" priority="346" operator="lessThanOrEqual">
      <formula>0</formula>
    </cfRule>
    <cfRule type="cellIs" dxfId="261" priority="347" operator="between">
      <formula>1</formula>
      <formula>4</formula>
    </cfRule>
    <cfRule type="cellIs" dxfId="260" priority="348" operator="between">
      <formula>5</formula>
      <formula>365</formula>
    </cfRule>
  </conditionalFormatting>
  <conditionalFormatting sqref="Z30">
    <cfRule type="iconSet" priority="341">
      <iconSet reverse="1">
        <cfvo type="percent" val="0"/>
        <cfvo type="num" val="0"/>
        <cfvo type="num" val="5"/>
      </iconSet>
    </cfRule>
    <cfRule type="cellIs" dxfId="259" priority="342" operator="lessThanOrEqual">
      <formula>0</formula>
    </cfRule>
    <cfRule type="cellIs" dxfId="258" priority="343" operator="between">
      <formula>1</formula>
      <formula>4</formula>
    </cfRule>
    <cfRule type="cellIs" dxfId="257" priority="344" operator="between">
      <formula>5</formula>
      <formula>365</formula>
    </cfRule>
  </conditionalFormatting>
  <conditionalFormatting sqref="Z31">
    <cfRule type="iconSet" priority="337">
      <iconSet reverse="1">
        <cfvo type="percent" val="0"/>
        <cfvo type="num" val="0"/>
        <cfvo type="num" val="5"/>
      </iconSet>
    </cfRule>
    <cfRule type="cellIs" dxfId="256" priority="338" operator="lessThanOrEqual">
      <formula>0</formula>
    </cfRule>
    <cfRule type="cellIs" dxfId="255" priority="339" operator="between">
      <formula>1</formula>
      <formula>4</formula>
    </cfRule>
    <cfRule type="cellIs" dxfId="254" priority="340" operator="between">
      <formula>5</formula>
      <formula>365</formula>
    </cfRule>
  </conditionalFormatting>
  <conditionalFormatting sqref="Z32">
    <cfRule type="iconSet" priority="333">
      <iconSet reverse="1">
        <cfvo type="percent" val="0"/>
        <cfvo type="num" val="0"/>
        <cfvo type="num" val="5"/>
      </iconSet>
    </cfRule>
    <cfRule type="cellIs" dxfId="253" priority="334" operator="lessThanOrEqual">
      <formula>0</formula>
    </cfRule>
    <cfRule type="cellIs" dxfId="252" priority="335" operator="between">
      <formula>1</formula>
      <formula>4</formula>
    </cfRule>
    <cfRule type="cellIs" dxfId="251" priority="336" operator="between">
      <formula>5</formula>
      <formula>365</formula>
    </cfRule>
  </conditionalFormatting>
  <conditionalFormatting sqref="Z33">
    <cfRule type="iconSet" priority="329">
      <iconSet reverse="1">
        <cfvo type="percent" val="0"/>
        <cfvo type="num" val="0"/>
        <cfvo type="num" val="5"/>
      </iconSet>
    </cfRule>
    <cfRule type="cellIs" dxfId="250" priority="330" operator="lessThanOrEqual">
      <formula>0</formula>
    </cfRule>
    <cfRule type="cellIs" dxfId="249" priority="331" operator="between">
      <formula>1</formula>
      <formula>4</formula>
    </cfRule>
    <cfRule type="cellIs" dxfId="248" priority="332" operator="between">
      <formula>5</formula>
      <formula>365</formula>
    </cfRule>
  </conditionalFormatting>
  <conditionalFormatting sqref="Z34">
    <cfRule type="iconSet" priority="325">
      <iconSet reverse="1">
        <cfvo type="percent" val="0"/>
        <cfvo type="num" val="0"/>
        <cfvo type="num" val="5"/>
      </iconSet>
    </cfRule>
    <cfRule type="cellIs" dxfId="247" priority="326" operator="lessThanOrEqual">
      <formula>0</formula>
    </cfRule>
    <cfRule type="cellIs" dxfId="246" priority="327" operator="between">
      <formula>1</formula>
      <formula>4</formula>
    </cfRule>
    <cfRule type="cellIs" dxfId="245" priority="328" operator="between">
      <formula>5</formula>
      <formula>365</formula>
    </cfRule>
  </conditionalFormatting>
  <conditionalFormatting sqref="Z35">
    <cfRule type="iconSet" priority="321">
      <iconSet reverse="1">
        <cfvo type="percent" val="0"/>
        <cfvo type="num" val="0"/>
        <cfvo type="num" val="5"/>
      </iconSet>
    </cfRule>
    <cfRule type="cellIs" dxfId="244" priority="322" operator="lessThanOrEqual">
      <formula>0</formula>
    </cfRule>
    <cfRule type="cellIs" dxfId="243" priority="323" operator="between">
      <formula>1</formula>
      <formula>4</formula>
    </cfRule>
    <cfRule type="cellIs" dxfId="242" priority="324" operator="between">
      <formula>5</formula>
      <formula>365</formula>
    </cfRule>
  </conditionalFormatting>
  <conditionalFormatting sqref="Z36">
    <cfRule type="iconSet" priority="317">
      <iconSet reverse="1">
        <cfvo type="percent" val="0"/>
        <cfvo type="num" val="0"/>
        <cfvo type="num" val="5"/>
      </iconSet>
    </cfRule>
    <cfRule type="cellIs" dxfId="241" priority="318" operator="lessThanOrEqual">
      <formula>0</formula>
    </cfRule>
    <cfRule type="cellIs" dxfId="240" priority="319" operator="between">
      <formula>1</formula>
      <formula>4</formula>
    </cfRule>
    <cfRule type="cellIs" dxfId="239" priority="320" operator="between">
      <formula>5</formula>
      <formula>365</formula>
    </cfRule>
  </conditionalFormatting>
  <conditionalFormatting sqref="Z37">
    <cfRule type="iconSet" priority="313">
      <iconSet reverse="1">
        <cfvo type="percent" val="0"/>
        <cfvo type="num" val="0"/>
        <cfvo type="num" val="5"/>
      </iconSet>
    </cfRule>
    <cfRule type="cellIs" dxfId="238" priority="314" operator="lessThanOrEqual">
      <formula>0</formula>
    </cfRule>
    <cfRule type="cellIs" dxfId="237" priority="315" operator="between">
      <formula>1</formula>
      <formula>4</formula>
    </cfRule>
    <cfRule type="cellIs" dxfId="236" priority="316" operator="between">
      <formula>5</formula>
      <formula>365</formula>
    </cfRule>
  </conditionalFormatting>
  <conditionalFormatting sqref="Z38">
    <cfRule type="iconSet" priority="309">
      <iconSet reverse="1">
        <cfvo type="percent" val="0"/>
        <cfvo type="num" val="0"/>
        <cfvo type="num" val="5"/>
      </iconSet>
    </cfRule>
    <cfRule type="cellIs" dxfId="235" priority="310" operator="lessThanOrEqual">
      <formula>0</formula>
    </cfRule>
    <cfRule type="cellIs" dxfId="234" priority="311" operator="between">
      <formula>1</formula>
      <formula>4</formula>
    </cfRule>
    <cfRule type="cellIs" dxfId="233" priority="312" operator="between">
      <formula>5</formula>
      <formula>365</formula>
    </cfRule>
  </conditionalFormatting>
  <conditionalFormatting sqref="Z39">
    <cfRule type="iconSet" priority="305">
      <iconSet reverse="1">
        <cfvo type="percent" val="0"/>
        <cfvo type="num" val="0"/>
        <cfvo type="num" val="5"/>
      </iconSet>
    </cfRule>
    <cfRule type="cellIs" dxfId="232" priority="306" operator="lessThanOrEqual">
      <formula>0</formula>
    </cfRule>
    <cfRule type="cellIs" dxfId="231" priority="307" operator="between">
      <formula>1</formula>
      <formula>4</formula>
    </cfRule>
    <cfRule type="cellIs" dxfId="230" priority="308" operator="between">
      <formula>5</formula>
      <formula>365</formula>
    </cfRule>
  </conditionalFormatting>
  <conditionalFormatting sqref="Z40">
    <cfRule type="iconSet" priority="301">
      <iconSet reverse="1">
        <cfvo type="percent" val="0"/>
        <cfvo type="num" val="0"/>
        <cfvo type="num" val="5"/>
      </iconSet>
    </cfRule>
    <cfRule type="cellIs" dxfId="229" priority="302" operator="lessThanOrEqual">
      <formula>0</formula>
    </cfRule>
    <cfRule type="cellIs" dxfId="228" priority="303" operator="between">
      <formula>1</formula>
      <formula>4</formula>
    </cfRule>
    <cfRule type="cellIs" dxfId="227" priority="304" operator="between">
      <formula>5</formula>
      <formula>365</formula>
    </cfRule>
  </conditionalFormatting>
  <conditionalFormatting sqref="Z41">
    <cfRule type="iconSet" priority="297">
      <iconSet reverse="1">
        <cfvo type="percent" val="0"/>
        <cfvo type="num" val="0"/>
        <cfvo type="num" val="5"/>
      </iconSet>
    </cfRule>
    <cfRule type="cellIs" dxfId="226" priority="298" operator="lessThanOrEqual">
      <formula>0</formula>
    </cfRule>
    <cfRule type="cellIs" dxfId="225" priority="299" operator="between">
      <formula>1</formula>
      <formula>4</formula>
    </cfRule>
    <cfRule type="cellIs" dxfId="224" priority="300" operator="between">
      <formula>5</formula>
      <formula>365</formula>
    </cfRule>
  </conditionalFormatting>
  <conditionalFormatting sqref="Z42">
    <cfRule type="iconSet" priority="293">
      <iconSet reverse="1">
        <cfvo type="percent" val="0"/>
        <cfvo type="num" val="0"/>
        <cfvo type="num" val="5"/>
      </iconSet>
    </cfRule>
    <cfRule type="cellIs" dxfId="223" priority="294" operator="lessThanOrEqual">
      <formula>0</formula>
    </cfRule>
    <cfRule type="cellIs" dxfId="222" priority="295" operator="between">
      <formula>1</formula>
      <formula>4</formula>
    </cfRule>
    <cfRule type="cellIs" dxfId="221" priority="296" operator="between">
      <formula>5</formula>
      <formula>365</formula>
    </cfRule>
  </conditionalFormatting>
  <conditionalFormatting sqref="Z43">
    <cfRule type="iconSet" priority="289">
      <iconSet reverse="1">
        <cfvo type="percent" val="0"/>
        <cfvo type="num" val="0"/>
        <cfvo type="num" val="5"/>
      </iconSet>
    </cfRule>
    <cfRule type="cellIs" dxfId="220" priority="290" operator="lessThanOrEqual">
      <formula>0</formula>
    </cfRule>
    <cfRule type="cellIs" dxfId="219" priority="291" operator="between">
      <formula>1</formula>
      <formula>4</formula>
    </cfRule>
    <cfRule type="cellIs" dxfId="218" priority="292" operator="between">
      <formula>5</formula>
      <formula>365</formula>
    </cfRule>
  </conditionalFormatting>
  <conditionalFormatting sqref="Z44">
    <cfRule type="iconSet" priority="285">
      <iconSet reverse="1">
        <cfvo type="percent" val="0"/>
        <cfvo type="num" val="0"/>
        <cfvo type="num" val="5"/>
      </iconSet>
    </cfRule>
    <cfRule type="cellIs" dxfId="217" priority="286" operator="lessThanOrEqual">
      <formula>0</formula>
    </cfRule>
    <cfRule type="cellIs" dxfId="216" priority="287" operator="between">
      <formula>1</formula>
      <formula>4</formula>
    </cfRule>
    <cfRule type="cellIs" dxfId="215" priority="288" operator="between">
      <formula>5</formula>
      <formula>365</formula>
    </cfRule>
  </conditionalFormatting>
  <conditionalFormatting sqref="Z45">
    <cfRule type="iconSet" priority="281">
      <iconSet reverse="1">
        <cfvo type="percent" val="0"/>
        <cfvo type="num" val="0"/>
        <cfvo type="num" val="5"/>
      </iconSet>
    </cfRule>
    <cfRule type="cellIs" dxfId="214" priority="282" operator="lessThanOrEqual">
      <formula>0</formula>
    </cfRule>
    <cfRule type="cellIs" dxfId="213" priority="283" operator="between">
      <formula>1</formula>
      <formula>4</formula>
    </cfRule>
    <cfRule type="cellIs" dxfId="212" priority="284" operator="between">
      <formula>5</formula>
      <formula>365</formula>
    </cfRule>
  </conditionalFormatting>
  <conditionalFormatting sqref="Z46">
    <cfRule type="iconSet" priority="277">
      <iconSet reverse="1">
        <cfvo type="percent" val="0"/>
        <cfvo type="num" val="0"/>
        <cfvo type="num" val="5"/>
      </iconSet>
    </cfRule>
    <cfRule type="cellIs" dxfId="211" priority="278" operator="lessThanOrEqual">
      <formula>0</formula>
    </cfRule>
    <cfRule type="cellIs" dxfId="210" priority="279" operator="between">
      <formula>1</formula>
      <formula>4</formula>
    </cfRule>
    <cfRule type="cellIs" dxfId="209" priority="280" operator="between">
      <formula>5</formula>
      <formula>365</formula>
    </cfRule>
  </conditionalFormatting>
  <conditionalFormatting sqref="Z47">
    <cfRule type="iconSet" priority="273">
      <iconSet reverse="1">
        <cfvo type="percent" val="0"/>
        <cfvo type="num" val="0"/>
        <cfvo type="num" val="5"/>
      </iconSet>
    </cfRule>
    <cfRule type="cellIs" dxfId="208" priority="274" operator="lessThanOrEqual">
      <formula>0</formula>
    </cfRule>
    <cfRule type="cellIs" dxfId="207" priority="275" operator="between">
      <formula>1</formula>
      <formula>4</formula>
    </cfRule>
    <cfRule type="cellIs" dxfId="206" priority="276" operator="between">
      <formula>5</formula>
      <formula>365</formula>
    </cfRule>
  </conditionalFormatting>
  <conditionalFormatting sqref="Z48">
    <cfRule type="iconSet" priority="269">
      <iconSet reverse="1">
        <cfvo type="percent" val="0"/>
        <cfvo type="num" val="0"/>
        <cfvo type="num" val="5"/>
      </iconSet>
    </cfRule>
    <cfRule type="cellIs" dxfId="205" priority="270" operator="lessThanOrEqual">
      <formula>0</formula>
    </cfRule>
    <cfRule type="cellIs" dxfId="204" priority="271" operator="between">
      <formula>1</formula>
      <formula>4</formula>
    </cfRule>
    <cfRule type="cellIs" dxfId="203" priority="272" operator="between">
      <formula>5</formula>
      <formula>365</formula>
    </cfRule>
  </conditionalFormatting>
  <conditionalFormatting sqref="Z49">
    <cfRule type="iconSet" priority="265">
      <iconSet reverse="1">
        <cfvo type="percent" val="0"/>
        <cfvo type="num" val="0"/>
        <cfvo type="num" val="5"/>
      </iconSet>
    </cfRule>
    <cfRule type="cellIs" dxfId="202" priority="266" operator="lessThanOrEqual">
      <formula>0</formula>
    </cfRule>
    <cfRule type="cellIs" dxfId="201" priority="267" operator="between">
      <formula>1</formula>
      <formula>4</formula>
    </cfRule>
    <cfRule type="cellIs" dxfId="200" priority="268" operator="between">
      <formula>5</formula>
      <formula>365</formula>
    </cfRule>
  </conditionalFormatting>
  <conditionalFormatting sqref="Z50">
    <cfRule type="iconSet" priority="261">
      <iconSet reverse="1">
        <cfvo type="percent" val="0"/>
        <cfvo type="num" val="0"/>
        <cfvo type="num" val="5"/>
      </iconSet>
    </cfRule>
    <cfRule type="cellIs" dxfId="199" priority="262" operator="lessThanOrEqual">
      <formula>0</formula>
    </cfRule>
    <cfRule type="cellIs" dxfId="198" priority="263" operator="between">
      <formula>1</formula>
      <formula>4</formula>
    </cfRule>
    <cfRule type="cellIs" dxfId="197" priority="264" operator="between">
      <formula>5</formula>
      <formula>365</formula>
    </cfRule>
  </conditionalFormatting>
  <conditionalFormatting sqref="Z51">
    <cfRule type="iconSet" priority="257">
      <iconSet reverse="1">
        <cfvo type="percent" val="0"/>
        <cfvo type="num" val="0"/>
        <cfvo type="num" val="5"/>
      </iconSet>
    </cfRule>
    <cfRule type="cellIs" dxfId="196" priority="258" operator="lessThanOrEqual">
      <formula>0</formula>
    </cfRule>
    <cfRule type="cellIs" dxfId="195" priority="259" operator="between">
      <formula>1</formula>
      <formula>4</formula>
    </cfRule>
    <cfRule type="cellIs" dxfId="194" priority="260" operator="between">
      <formula>5</formula>
      <formula>365</formula>
    </cfRule>
  </conditionalFormatting>
  <conditionalFormatting sqref="Z52">
    <cfRule type="iconSet" priority="253">
      <iconSet reverse="1">
        <cfvo type="percent" val="0"/>
        <cfvo type="num" val="0"/>
        <cfvo type="num" val="5"/>
      </iconSet>
    </cfRule>
    <cfRule type="cellIs" dxfId="193" priority="254" operator="lessThanOrEqual">
      <formula>0</formula>
    </cfRule>
    <cfRule type="cellIs" dxfId="192" priority="255" operator="between">
      <formula>1</formula>
      <formula>4</formula>
    </cfRule>
    <cfRule type="cellIs" dxfId="191" priority="256" operator="between">
      <formula>5</formula>
      <formula>365</formula>
    </cfRule>
  </conditionalFormatting>
  <conditionalFormatting sqref="Z53">
    <cfRule type="iconSet" priority="249">
      <iconSet reverse="1">
        <cfvo type="percent" val="0"/>
        <cfvo type="num" val="0"/>
        <cfvo type="num" val="5"/>
      </iconSet>
    </cfRule>
    <cfRule type="cellIs" dxfId="190" priority="250" operator="lessThanOrEqual">
      <formula>0</formula>
    </cfRule>
    <cfRule type="cellIs" dxfId="189" priority="251" operator="between">
      <formula>1</formula>
      <formula>4</formula>
    </cfRule>
    <cfRule type="cellIs" dxfId="188" priority="252" operator="between">
      <formula>5</formula>
      <formula>365</formula>
    </cfRule>
  </conditionalFormatting>
  <conditionalFormatting sqref="Z54">
    <cfRule type="iconSet" priority="245">
      <iconSet reverse="1">
        <cfvo type="percent" val="0"/>
        <cfvo type="num" val="0"/>
        <cfvo type="num" val="5"/>
      </iconSet>
    </cfRule>
    <cfRule type="cellIs" dxfId="187" priority="246" operator="lessThanOrEqual">
      <formula>0</formula>
    </cfRule>
    <cfRule type="cellIs" dxfId="186" priority="247" operator="between">
      <formula>1</formula>
      <formula>4</formula>
    </cfRule>
    <cfRule type="cellIs" dxfId="185" priority="248" operator="between">
      <formula>5</formula>
      <formula>365</formula>
    </cfRule>
  </conditionalFormatting>
  <conditionalFormatting sqref="Z55">
    <cfRule type="iconSet" priority="241">
      <iconSet reverse="1">
        <cfvo type="percent" val="0"/>
        <cfvo type="num" val="0"/>
        <cfvo type="num" val="5"/>
      </iconSet>
    </cfRule>
    <cfRule type="cellIs" dxfId="184" priority="242" operator="lessThanOrEqual">
      <formula>0</formula>
    </cfRule>
    <cfRule type="cellIs" dxfId="183" priority="243" operator="between">
      <formula>1</formula>
      <formula>4</formula>
    </cfRule>
    <cfRule type="cellIs" dxfId="182" priority="244" operator="between">
      <formula>5</formula>
      <formula>365</formula>
    </cfRule>
  </conditionalFormatting>
  <conditionalFormatting sqref="Z26">
    <cfRule type="iconSet" priority="237">
      <iconSet reverse="1">
        <cfvo type="percent" val="0"/>
        <cfvo type="num" val="0"/>
        <cfvo type="num" val="5"/>
      </iconSet>
    </cfRule>
    <cfRule type="cellIs" dxfId="181" priority="238" operator="lessThanOrEqual">
      <formula>0</formula>
    </cfRule>
    <cfRule type="cellIs" dxfId="180" priority="239" operator="between">
      <formula>1</formula>
      <formula>4</formula>
    </cfRule>
    <cfRule type="cellIs" dxfId="179" priority="240" operator="between">
      <formula>5</formula>
      <formula>365</formula>
    </cfRule>
  </conditionalFormatting>
  <conditionalFormatting sqref="Z27">
    <cfRule type="iconSet" priority="233">
      <iconSet reverse="1">
        <cfvo type="percent" val="0"/>
        <cfvo type="num" val="0"/>
        <cfvo type="num" val="5"/>
      </iconSet>
    </cfRule>
    <cfRule type="cellIs" dxfId="178" priority="234" operator="lessThanOrEqual">
      <formula>0</formula>
    </cfRule>
    <cfRule type="cellIs" dxfId="177" priority="235" operator="between">
      <formula>1</formula>
      <formula>4</formula>
    </cfRule>
    <cfRule type="cellIs" dxfId="176" priority="236" operator="between">
      <formula>5</formula>
      <formula>365</formula>
    </cfRule>
  </conditionalFormatting>
  <conditionalFormatting sqref="Z28">
    <cfRule type="iconSet" priority="229">
      <iconSet reverse="1">
        <cfvo type="percent" val="0"/>
        <cfvo type="num" val="0"/>
        <cfvo type="num" val="5"/>
      </iconSet>
    </cfRule>
    <cfRule type="cellIs" dxfId="175" priority="230" operator="lessThanOrEqual">
      <formula>0</formula>
    </cfRule>
    <cfRule type="cellIs" dxfId="174" priority="231" operator="between">
      <formula>1</formula>
      <formula>4</formula>
    </cfRule>
    <cfRule type="cellIs" dxfId="173" priority="232" operator="between">
      <formula>5</formula>
      <formula>365</formula>
    </cfRule>
  </conditionalFormatting>
  <conditionalFormatting sqref="Z29">
    <cfRule type="iconSet" priority="225">
      <iconSet reverse="1">
        <cfvo type="percent" val="0"/>
        <cfvo type="num" val="0"/>
        <cfvo type="num" val="5"/>
      </iconSet>
    </cfRule>
    <cfRule type="cellIs" dxfId="172" priority="226" operator="lessThanOrEqual">
      <formula>0</formula>
    </cfRule>
    <cfRule type="cellIs" dxfId="171" priority="227" operator="between">
      <formula>1</formula>
      <formula>4</formula>
    </cfRule>
    <cfRule type="cellIs" dxfId="170" priority="228" operator="between">
      <formula>5</formula>
      <formula>365</formula>
    </cfRule>
  </conditionalFormatting>
  <conditionalFormatting sqref="Z30">
    <cfRule type="iconSet" priority="221">
      <iconSet reverse="1">
        <cfvo type="percent" val="0"/>
        <cfvo type="num" val="0"/>
        <cfvo type="num" val="5"/>
      </iconSet>
    </cfRule>
    <cfRule type="cellIs" dxfId="169" priority="222" operator="lessThanOrEqual">
      <formula>0</formula>
    </cfRule>
    <cfRule type="cellIs" dxfId="168" priority="223" operator="between">
      <formula>1</formula>
      <formula>4</formula>
    </cfRule>
    <cfRule type="cellIs" dxfId="167" priority="224" operator="between">
      <formula>5</formula>
      <formula>365</formula>
    </cfRule>
  </conditionalFormatting>
  <conditionalFormatting sqref="Z31">
    <cfRule type="iconSet" priority="217">
      <iconSet reverse="1">
        <cfvo type="percent" val="0"/>
        <cfvo type="num" val="0"/>
        <cfvo type="num" val="5"/>
      </iconSet>
    </cfRule>
    <cfRule type="cellIs" dxfId="166" priority="218" operator="lessThanOrEqual">
      <formula>0</formula>
    </cfRule>
    <cfRule type="cellIs" dxfId="165" priority="219" operator="between">
      <formula>1</formula>
      <formula>4</formula>
    </cfRule>
    <cfRule type="cellIs" dxfId="164" priority="220" operator="between">
      <formula>5</formula>
      <formula>365</formula>
    </cfRule>
  </conditionalFormatting>
  <conditionalFormatting sqref="Z32">
    <cfRule type="iconSet" priority="213">
      <iconSet reverse="1">
        <cfvo type="percent" val="0"/>
        <cfvo type="num" val="0"/>
        <cfvo type="num" val="5"/>
      </iconSet>
    </cfRule>
    <cfRule type="cellIs" dxfId="163" priority="214" operator="lessThanOrEqual">
      <formula>0</formula>
    </cfRule>
    <cfRule type="cellIs" dxfId="162" priority="215" operator="between">
      <formula>1</formula>
      <formula>4</formula>
    </cfRule>
    <cfRule type="cellIs" dxfId="161" priority="216" operator="between">
      <formula>5</formula>
      <formula>365</formula>
    </cfRule>
  </conditionalFormatting>
  <conditionalFormatting sqref="Z33">
    <cfRule type="iconSet" priority="209">
      <iconSet reverse="1">
        <cfvo type="percent" val="0"/>
        <cfvo type="num" val="0"/>
        <cfvo type="num" val="5"/>
      </iconSet>
    </cfRule>
    <cfRule type="cellIs" dxfId="160" priority="210" operator="lessThanOrEqual">
      <formula>0</formula>
    </cfRule>
    <cfRule type="cellIs" dxfId="159" priority="211" operator="between">
      <formula>1</formula>
      <formula>4</formula>
    </cfRule>
    <cfRule type="cellIs" dxfId="158" priority="212" operator="between">
      <formula>5</formula>
      <formula>365</formula>
    </cfRule>
  </conditionalFormatting>
  <conditionalFormatting sqref="Z34">
    <cfRule type="iconSet" priority="205">
      <iconSet reverse="1">
        <cfvo type="percent" val="0"/>
        <cfvo type="num" val="0"/>
        <cfvo type="num" val="5"/>
      </iconSet>
    </cfRule>
    <cfRule type="cellIs" dxfId="157" priority="206" operator="lessThanOrEqual">
      <formula>0</formula>
    </cfRule>
    <cfRule type="cellIs" dxfId="156" priority="207" operator="between">
      <formula>1</formula>
      <formula>4</formula>
    </cfRule>
    <cfRule type="cellIs" dxfId="155" priority="208" operator="between">
      <formula>5</formula>
      <formula>365</formula>
    </cfRule>
  </conditionalFormatting>
  <conditionalFormatting sqref="Z35">
    <cfRule type="iconSet" priority="201">
      <iconSet reverse="1">
        <cfvo type="percent" val="0"/>
        <cfvo type="num" val="0"/>
        <cfvo type="num" val="5"/>
      </iconSet>
    </cfRule>
    <cfRule type="cellIs" dxfId="154" priority="202" operator="lessThanOrEqual">
      <formula>0</formula>
    </cfRule>
    <cfRule type="cellIs" dxfId="153" priority="203" operator="between">
      <formula>1</formula>
      <formula>4</formula>
    </cfRule>
    <cfRule type="cellIs" dxfId="152" priority="204" operator="between">
      <formula>5</formula>
      <formula>365</formula>
    </cfRule>
  </conditionalFormatting>
  <conditionalFormatting sqref="Z36">
    <cfRule type="iconSet" priority="197">
      <iconSet reverse="1">
        <cfvo type="percent" val="0"/>
        <cfvo type="num" val="0"/>
        <cfvo type="num" val="5"/>
      </iconSet>
    </cfRule>
    <cfRule type="cellIs" dxfId="151" priority="198" operator="lessThanOrEqual">
      <formula>0</formula>
    </cfRule>
    <cfRule type="cellIs" dxfId="150" priority="199" operator="between">
      <formula>1</formula>
      <formula>4</formula>
    </cfRule>
    <cfRule type="cellIs" dxfId="149" priority="200" operator="between">
      <formula>5</formula>
      <formula>365</formula>
    </cfRule>
  </conditionalFormatting>
  <conditionalFormatting sqref="Z37">
    <cfRule type="iconSet" priority="193">
      <iconSet reverse="1">
        <cfvo type="percent" val="0"/>
        <cfvo type="num" val="0"/>
        <cfvo type="num" val="5"/>
      </iconSet>
    </cfRule>
    <cfRule type="cellIs" dxfId="148" priority="194" operator="lessThanOrEqual">
      <formula>0</formula>
    </cfRule>
    <cfRule type="cellIs" dxfId="147" priority="195" operator="between">
      <formula>1</formula>
      <formula>4</formula>
    </cfRule>
    <cfRule type="cellIs" dxfId="146" priority="196" operator="between">
      <formula>5</formula>
      <formula>365</formula>
    </cfRule>
  </conditionalFormatting>
  <conditionalFormatting sqref="Z38">
    <cfRule type="iconSet" priority="189">
      <iconSet reverse="1">
        <cfvo type="percent" val="0"/>
        <cfvo type="num" val="0"/>
        <cfvo type="num" val="5"/>
      </iconSet>
    </cfRule>
    <cfRule type="cellIs" dxfId="145" priority="190" operator="lessThanOrEqual">
      <formula>0</formula>
    </cfRule>
    <cfRule type="cellIs" dxfId="144" priority="191" operator="between">
      <formula>1</formula>
      <formula>4</formula>
    </cfRule>
    <cfRule type="cellIs" dxfId="143" priority="192" operator="between">
      <formula>5</formula>
      <formula>365</formula>
    </cfRule>
  </conditionalFormatting>
  <conditionalFormatting sqref="Z39">
    <cfRule type="iconSet" priority="185">
      <iconSet reverse="1">
        <cfvo type="percent" val="0"/>
        <cfvo type="num" val="0"/>
        <cfvo type="num" val="5"/>
      </iconSet>
    </cfRule>
    <cfRule type="cellIs" dxfId="142" priority="186" operator="lessThanOrEqual">
      <formula>0</formula>
    </cfRule>
    <cfRule type="cellIs" dxfId="141" priority="187" operator="between">
      <formula>1</formula>
      <formula>4</formula>
    </cfRule>
    <cfRule type="cellIs" dxfId="140" priority="188" operator="between">
      <formula>5</formula>
      <formula>365</formula>
    </cfRule>
  </conditionalFormatting>
  <conditionalFormatting sqref="Z40">
    <cfRule type="iconSet" priority="181">
      <iconSet reverse="1">
        <cfvo type="percent" val="0"/>
        <cfvo type="num" val="0"/>
        <cfvo type="num" val="5"/>
      </iconSet>
    </cfRule>
    <cfRule type="cellIs" dxfId="139" priority="182" operator="lessThanOrEqual">
      <formula>0</formula>
    </cfRule>
    <cfRule type="cellIs" dxfId="138" priority="183" operator="between">
      <formula>1</formula>
      <formula>4</formula>
    </cfRule>
    <cfRule type="cellIs" dxfId="137" priority="184" operator="between">
      <formula>5</formula>
      <formula>365</formula>
    </cfRule>
  </conditionalFormatting>
  <conditionalFormatting sqref="Z41">
    <cfRule type="iconSet" priority="177">
      <iconSet reverse="1">
        <cfvo type="percent" val="0"/>
        <cfvo type="num" val="0"/>
        <cfvo type="num" val="5"/>
      </iconSet>
    </cfRule>
    <cfRule type="cellIs" dxfId="136" priority="178" operator="lessThanOrEqual">
      <formula>0</formula>
    </cfRule>
    <cfRule type="cellIs" dxfId="135" priority="179" operator="between">
      <formula>1</formula>
      <formula>4</formula>
    </cfRule>
    <cfRule type="cellIs" dxfId="134" priority="180" operator="between">
      <formula>5</formula>
      <formula>365</formula>
    </cfRule>
  </conditionalFormatting>
  <conditionalFormatting sqref="Z42">
    <cfRule type="iconSet" priority="173">
      <iconSet reverse="1">
        <cfvo type="percent" val="0"/>
        <cfvo type="num" val="0"/>
        <cfvo type="num" val="5"/>
      </iconSet>
    </cfRule>
    <cfRule type="cellIs" dxfId="133" priority="174" operator="lessThanOrEqual">
      <formula>0</formula>
    </cfRule>
    <cfRule type="cellIs" dxfId="132" priority="175" operator="between">
      <formula>1</formula>
      <formula>4</formula>
    </cfRule>
    <cfRule type="cellIs" dxfId="131" priority="176" operator="between">
      <formula>5</formula>
      <formula>365</formula>
    </cfRule>
  </conditionalFormatting>
  <conditionalFormatting sqref="Z43">
    <cfRule type="iconSet" priority="169">
      <iconSet reverse="1">
        <cfvo type="percent" val="0"/>
        <cfvo type="num" val="0"/>
        <cfvo type="num" val="5"/>
      </iconSet>
    </cfRule>
    <cfRule type="cellIs" dxfId="130" priority="170" operator="lessThanOrEqual">
      <formula>0</formula>
    </cfRule>
    <cfRule type="cellIs" dxfId="129" priority="171" operator="between">
      <formula>1</formula>
      <formula>4</formula>
    </cfRule>
    <cfRule type="cellIs" dxfId="128" priority="172" operator="between">
      <formula>5</formula>
      <formula>365</formula>
    </cfRule>
  </conditionalFormatting>
  <conditionalFormatting sqref="Z44">
    <cfRule type="iconSet" priority="165">
      <iconSet reverse="1">
        <cfvo type="percent" val="0"/>
        <cfvo type="num" val="0"/>
        <cfvo type="num" val="5"/>
      </iconSet>
    </cfRule>
    <cfRule type="cellIs" dxfId="127" priority="166" operator="lessThanOrEqual">
      <formula>0</formula>
    </cfRule>
    <cfRule type="cellIs" dxfId="126" priority="167" operator="between">
      <formula>1</formula>
      <formula>4</formula>
    </cfRule>
    <cfRule type="cellIs" dxfId="125" priority="168" operator="between">
      <formula>5</formula>
      <formula>365</formula>
    </cfRule>
  </conditionalFormatting>
  <conditionalFormatting sqref="Z45">
    <cfRule type="iconSet" priority="161">
      <iconSet reverse="1">
        <cfvo type="percent" val="0"/>
        <cfvo type="num" val="0"/>
        <cfvo type="num" val="5"/>
      </iconSet>
    </cfRule>
    <cfRule type="cellIs" dxfId="124" priority="162" operator="lessThanOrEqual">
      <formula>0</formula>
    </cfRule>
    <cfRule type="cellIs" dxfId="123" priority="163" operator="between">
      <formula>1</formula>
      <formula>4</formula>
    </cfRule>
    <cfRule type="cellIs" dxfId="122" priority="164" operator="between">
      <formula>5</formula>
      <formula>365</formula>
    </cfRule>
  </conditionalFormatting>
  <conditionalFormatting sqref="Z46">
    <cfRule type="iconSet" priority="157">
      <iconSet reverse="1">
        <cfvo type="percent" val="0"/>
        <cfvo type="num" val="0"/>
        <cfvo type="num" val="5"/>
      </iconSet>
    </cfRule>
    <cfRule type="cellIs" dxfId="121" priority="158" operator="lessThanOrEqual">
      <formula>0</formula>
    </cfRule>
    <cfRule type="cellIs" dxfId="120" priority="159" operator="between">
      <formula>1</formula>
      <formula>4</formula>
    </cfRule>
    <cfRule type="cellIs" dxfId="119" priority="160" operator="between">
      <formula>5</formula>
      <formula>365</formula>
    </cfRule>
  </conditionalFormatting>
  <conditionalFormatting sqref="Z47">
    <cfRule type="iconSet" priority="153">
      <iconSet reverse="1">
        <cfvo type="percent" val="0"/>
        <cfvo type="num" val="0"/>
        <cfvo type="num" val="5"/>
      </iconSet>
    </cfRule>
    <cfRule type="cellIs" dxfId="118" priority="154" operator="lessThanOrEqual">
      <formula>0</formula>
    </cfRule>
    <cfRule type="cellIs" dxfId="117" priority="155" operator="between">
      <formula>1</formula>
      <formula>4</formula>
    </cfRule>
    <cfRule type="cellIs" dxfId="116" priority="156" operator="between">
      <formula>5</formula>
      <formula>365</formula>
    </cfRule>
  </conditionalFormatting>
  <conditionalFormatting sqref="Z48">
    <cfRule type="iconSet" priority="149">
      <iconSet reverse="1">
        <cfvo type="percent" val="0"/>
        <cfvo type="num" val="0"/>
        <cfvo type="num" val="5"/>
      </iconSet>
    </cfRule>
    <cfRule type="cellIs" dxfId="115" priority="150" operator="lessThanOrEqual">
      <formula>0</formula>
    </cfRule>
    <cfRule type="cellIs" dxfId="114" priority="151" operator="between">
      <formula>1</formula>
      <formula>4</formula>
    </cfRule>
    <cfRule type="cellIs" dxfId="113" priority="152" operator="between">
      <formula>5</formula>
      <formula>365</formula>
    </cfRule>
  </conditionalFormatting>
  <conditionalFormatting sqref="Z49">
    <cfRule type="iconSet" priority="145">
      <iconSet reverse="1">
        <cfvo type="percent" val="0"/>
        <cfvo type="num" val="0"/>
        <cfvo type="num" val="5"/>
      </iconSet>
    </cfRule>
    <cfRule type="cellIs" dxfId="112" priority="146" operator="lessThanOrEqual">
      <formula>0</formula>
    </cfRule>
    <cfRule type="cellIs" dxfId="111" priority="147" operator="between">
      <formula>1</formula>
      <formula>4</formula>
    </cfRule>
    <cfRule type="cellIs" dxfId="110" priority="148" operator="between">
      <formula>5</formula>
      <formula>365</formula>
    </cfRule>
  </conditionalFormatting>
  <conditionalFormatting sqref="Z50">
    <cfRule type="iconSet" priority="141">
      <iconSet reverse="1">
        <cfvo type="percent" val="0"/>
        <cfvo type="num" val="0"/>
        <cfvo type="num" val="5"/>
      </iconSet>
    </cfRule>
    <cfRule type="cellIs" dxfId="109" priority="142" operator="lessThanOrEqual">
      <formula>0</formula>
    </cfRule>
    <cfRule type="cellIs" dxfId="108" priority="143" operator="between">
      <formula>1</formula>
      <formula>4</formula>
    </cfRule>
    <cfRule type="cellIs" dxfId="107" priority="144" operator="between">
      <formula>5</formula>
      <formula>365</formula>
    </cfRule>
  </conditionalFormatting>
  <conditionalFormatting sqref="Z51">
    <cfRule type="iconSet" priority="137">
      <iconSet reverse="1">
        <cfvo type="percent" val="0"/>
        <cfvo type="num" val="0"/>
        <cfvo type="num" val="5"/>
      </iconSet>
    </cfRule>
    <cfRule type="cellIs" dxfId="106" priority="138" operator="lessThanOrEqual">
      <formula>0</formula>
    </cfRule>
    <cfRule type="cellIs" dxfId="105" priority="139" operator="between">
      <formula>1</formula>
      <formula>4</formula>
    </cfRule>
    <cfRule type="cellIs" dxfId="104" priority="140" operator="between">
      <formula>5</formula>
      <formula>365</formula>
    </cfRule>
  </conditionalFormatting>
  <conditionalFormatting sqref="Z52">
    <cfRule type="iconSet" priority="133">
      <iconSet reverse="1">
        <cfvo type="percent" val="0"/>
        <cfvo type="num" val="0"/>
        <cfvo type="num" val="5"/>
      </iconSet>
    </cfRule>
    <cfRule type="cellIs" dxfId="103" priority="134" operator="lessThanOrEqual">
      <formula>0</formula>
    </cfRule>
    <cfRule type="cellIs" dxfId="102" priority="135" operator="between">
      <formula>1</formula>
      <formula>4</formula>
    </cfRule>
    <cfRule type="cellIs" dxfId="101" priority="136" operator="between">
      <formula>5</formula>
      <formula>365</formula>
    </cfRule>
  </conditionalFormatting>
  <conditionalFormatting sqref="Z53">
    <cfRule type="iconSet" priority="129">
      <iconSet reverse="1">
        <cfvo type="percent" val="0"/>
        <cfvo type="num" val="0"/>
        <cfvo type="num" val="5"/>
      </iconSet>
    </cfRule>
    <cfRule type="cellIs" dxfId="100" priority="130" operator="lessThanOrEqual">
      <formula>0</formula>
    </cfRule>
    <cfRule type="cellIs" dxfId="99" priority="131" operator="between">
      <formula>1</formula>
      <formula>4</formula>
    </cfRule>
    <cfRule type="cellIs" dxfId="98" priority="132" operator="between">
      <formula>5</formula>
      <formula>365</formula>
    </cfRule>
  </conditionalFormatting>
  <conditionalFormatting sqref="Z54">
    <cfRule type="iconSet" priority="125">
      <iconSet reverse="1">
        <cfvo type="percent" val="0"/>
        <cfvo type="num" val="0"/>
        <cfvo type="num" val="5"/>
      </iconSet>
    </cfRule>
    <cfRule type="cellIs" dxfId="97" priority="126" operator="lessThanOrEqual">
      <formula>0</formula>
    </cfRule>
    <cfRule type="cellIs" dxfId="96" priority="127" operator="between">
      <formula>1</formula>
      <formula>4</formula>
    </cfRule>
    <cfRule type="cellIs" dxfId="95" priority="128" operator="between">
      <formula>5</formula>
      <formula>365</formula>
    </cfRule>
  </conditionalFormatting>
  <conditionalFormatting sqref="Z55">
    <cfRule type="iconSet" priority="121">
      <iconSet reverse="1">
        <cfvo type="percent" val="0"/>
        <cfvo type="num" val="0"/>
        <cfvo type="num" val="5"/>
      </iconSet>
    </cfRule>
    <cfRule type="cellIs" dxfId="94" priority="122" operator="lessThanOrEqual">
      <formula>0</formula>
    </cfRule>
    <cfRule type="cellIs" dxfId="93" priority="123" operator="between">
      <formula>1</formula>
      <formula>4</formula>
    </cfRule>
    <cfRule type="cellIs" dxfId="92" priority="124" operator="between">
      <formula>5</formula>
      <formula>365</formula>
    </cfRule>
  </conditionalFormatting>
  <conditionalFormatting sqref="Z26">
    <cfRule type="iconSet" priority="117">
      <iconSet reverse="1">
        <cfvo type="percent" val="0"/>
        <cfvo type="num" val="0"/>
        <cfvo type="num" val="5"/>
      </iconSet>
    </cfRule>
    <cfRule type="cellIs" dxfId="91" priority="118" operator="lessThanOrEqual">
      <formula>0</formula>
    </cfRule>
    <cfRule type="cellIs" dxfId="90" priority="119" operator="between">
      <formula>1</formula>
      <formula>4</formula>
    </cfRule>
    <cfRule type="cellIs" dxfId="89" priority="120" operator="between">
      <formula>5</formula>
      <formula>365</formula>
    </cfRule>
  </conditionalFormatting>
  <conditionalFormatting sqref="Z27">
    <cfRule type="iconSet" priority="113">
      <iconSet reverse="1">
        <cfvo type="percent" val="0"/>
        <cfvo type="num" val="0"/>
        <cfvo type="num" val="5"/>
      </iconSet>
    </cfRule>
    <cfRule type="cellIs" dxfId="88" priority="114" operator="lessThanOrEqual">
      <formula>0</formula>
    </cfRule>
    <cfRule type="cellIs" dxfId="87" priority="115" operator="between">
      <formula>1</formula>
      <formula>4</formula>
    </cfRule>
    <cfRule type="cellIs" dxfId="86" priority="116" operator="between">
      <formula>5</formula>
      <formula>365</formula>
    </cfRule>
  </conditionalFormatting>
  <conditionalFormatting sqref="Z28">
    <cfRule type="iconSet" priority="109">
      <iconSet reverse="1">
        <cfvo type="percent" val="0"/>
        <cfvo type="num" val="0"/>
        <cfvo type="num" val="5"/>
      </iconSet>
    </cfRule>
    <cfRule type="cellIs" dxfId="85" priority="110" operator="lessThanOrEqual">
      <formula>0</formula>
    </cfRule>
    <cfRule type="cellIs" dxfId="84" priority="111" operator="between">
      <formula>1</formula>
      <formula>4</formula>
    </cfRule>
    <cfRule type="cellIs" dxfId="83" priority="112" operator="between">
      <formula>5</formula>
      <formula>365</formula>
    </cfRule>
  </conditionalFormatting>
  <conditionalFormatting sqref="Z29">
    <cfRule type="iconSet" priority="105">
      <iconSet reverse="1">
        <cfvo type="percent" val="0"/>
        <cfvo type="num" val="0"/>
        <cfvo type="num" val="5"/>
      </iconSet>
    </cfRule>
    <cfRule type="cellIs" dxfId="82" priority="106" operator="lessThanOrEqual">
      <formula>0</formula>
    </cfRule>
    <cfRule type="cellIs" dxfId="81" priority="107" operator="between">
      <formula>1</formula>
      <formula>4</formula>
    </cfRule>
    <cfRule type="cellIs" dxfId="80" priority="108" operator="between">
      <formula>5</formula>
      <formula>365</formula>
    </cfRule>
  </conditionalFormatting>
  <conditionalFormatting sqref="Z30">
    <cfRule type="iconSet" priority="101">
      <iconSet reverse="1">
        <cfvo type="percent" val="0"/>
        <cfvo type="num" val="0"/>
        <cfvo type="num" val="5"/>
      </iconSet>
    </cfRule>
    <cfRule type="cellIs" dxfId="79" priority="102" operator="lessThanOrEqual">
      <formula>0</formula>
    </cfRule>
    <cfRule type="cellIs" dxfId="78" priority="103" operator="between">
      <formula>1</formula>
      <formula>4</formula>
    </cfRule>
    <cfRule type="cellIs" dxfId="77" priority="104" operator="between">
      <formula>5</formula>
      <formula>365</formula>
    </cfRule>
  </conditionalFormatting>
  <conditionalFormatting sqref="Z31">
    <cfRule type="iconSet" priority="97">
      <iconSet reverse="1">
        <cfvo type="percent" val="0"/>
        <cfvo type="num" val="0"/>
        <cfvo type="num" val="5"/>
      </iconSet>
    </cfRule>
    <cfRule type="cellIs" dxfId="76" priority="98" operator="lessThanOrEqual">
      <formula>0</formula>
    </cfRule>
    <cfRule type="cellIs" dxfId="75" priority="99" operator="between">
      <formula>1</formula>
      <formula>4</formula>
    </cfRule>
    <cfRule type="cellIs" dxfId="74" priority="100" operator="between">
      <formula>5</formula>
      <formula>365</formula>
    </cfRule>
  </conditionalFormatting>
  <conditionalFormatting sqref="Z32">
    <cfRule type="iconSet" priority="93">
      <iconSet reverse="1">
        <cfvo type="percent" val="0"/>
        <cfvo type="num" val="0"/>
        <cfvo type="num" val="5"/>
      </iconSet>
    </cfRule>
    <cfRule type="cellIs" dxfId="73" priority="94" operator="lessThanOrEqual">
      <formula>0</formula>
    </cfRule>
    <cfRule type="cellIs" dxfId="72" priority="95" operator="between">
      <formula>1</formula>
      <formula>4</formula>
    </cfRule>
    <cfRule type="cellIs" dxfId="71" priority="96" operator="between">
      <formula>5</formula>
      <formula>365</formula>
    </cfRule>
  </conditionalFormatting>
  <conditionalFormatting sqref="Z33">
    <cfRule type="iconSet" priority="89">
      <iconSet reverse="1">
        <cfvo type="percent" val="0"/>
        <cfvo type="num" val="0"/>
        <cfvo type="num" val="5"/>
      </iconSet>
    </cfRule>
    <cfRule type="cellIs" dxfId="70" priority="90" operator="lessThanOrEqual">
      <formula>0</formula>
    </cfRule>
    <cfRule type="cellIs" dxfId="69" priority="91" operator="between">
      <formula>1</formula>
      <formula>4</formula>
    </cfRule>
    <cfRule type="cellIs" dxfId="68" priority="92" operator="between">
      <formula>5</formula>
      <formula>365</formula>
    </cfRule>
  </conditionalFormatting>
  <conditionalFormatting sqref="Z34">
    <cfRule type="iconSet" priority="85">
      <iconSet reverse="1">
        <cfvo type="percent" val="0"/>
        <cfvo type="num" val="0"/>
        <cfvo type="num" val="5"/>
      </iconSet>
    </cfRule>
    <cfRule type="cellIs" dxfId="67" priority="86" operator="lessThanOrEqual">
      <formula>0</formula>
    </cfRule>
    <cfRule type="cellIs" dxfId="66" priority="87" operator="between">
      <formula>1</formula>
      <formula>4</formula>
    </cfRule>
    <cfRule type="cellIs" dxfId="65" priority="88" operator="between">
      <formula>5</formula>
      <formula>365</formula>
    </cfRule>
  </conditionalFormatting>
  <conditionalFormatting sqref="Z35">
    <cfRule type="iconSet" priority="81">
      <iconSet reverse="1">
        <cfvo type="percent" val="0"/>
        <cfvo type="num" val="0"/>
        <cfvo type="num" val="5"/>
      </iconSet>
    </cfRule>
    <cfRule type="cellIs" dxfId="64" priority="82" operator="lessThanOrEqual">
      <formula>0</formula>
    </cfRule>
    <cfRule type="cellIs" dxfId="63" priority="83" operator="between">
      <formula>1</formula>
      <formula>4</formula>
    </cfRule>
    <cfRule type="cellIs" dxfId="62" priority="84" operator="between">
      <formula>5</formula>
      <formula>365</formula>
    </cfRule>
  </conditionalFormatting>
  <conditionalFormatting sqref="Z36">
    <cfRule type="iconSet" priority="77">
      <iconSet reverse="1">
        <cfvo type="percent" val="0"/>
        <cfvo type="num" val="0"/>
        <cfvo type="num" val="5"/>
      </iconSet>
    </cfRule>
    <cfRule type="cellIs" dxfId="61" priority="78" operator="lessThanOrEqual">
      <formula>0</formula>
    </cfRule>
    <cfRule type="cellIs" dxfId="60" priority="79" operator="between">
      <formula>1</formula>
      <formula>4</formula>
    </cfRule>
    <cfRule type="cellIs" dxfId="59" priority="80" operator="between">
      <formula>5</formula>
      <formula>365</formula>
    </cfRule>
  </conditionalFormatting>
  <conditionalFormatting sqref="Z37">
    <cfRule type="iconSet" priority="73">
      <iconSet reverse="1">
        <cfvo type="percent" val="0"/>
        <cfvo type="num" val="0"/>
        <cfvo type="num" val="5"/>
      </iconSet>
    </cfRule>
    <cfRule type="cellIs" dxfId="58" priority="74" operator="lessThanOrEqual">
      <formula>0</formula>
    </cfRule>
    <cfRule type="cellIs" dxfId="57" priority="75" operator="between">
      <formula>1</formula>
      <formula>4</formula>
    </cfRule>
    <cfRule type="cellIs" dxfId="56" priority="76" operator="between">
      <formula>5</formula>
      <formula>365</formula>
    </cfRule>
  </conditionalFormatting>
  <conditionalFormatting sqref="Z38">
    <cfRule type="iconSet" priority="69">
      <iconSet reverse="1">
        <cfvo type="percent" val="0"/>
        <cfvo type="num" val="0"/>
        <cfvo type="num" val="5"/>
      </iconSet>
    </cfRule>
    <cfRule type="cellIs" dxfId="55" priority="70" operator="lessThanOrEqual">
      <formula>0</formula>
    </cfRule>
    <cfRule type="cellIs" dxfId="54" priority="71" operator="between">
      <formula>1</formula>
      <formula>4</formula>
    </cfRule>
    <cfRule type="cellIs" dxfId="53" priority="72" operator="between">
      <formula>5</formula>
      <formula>365</formula>
    </cfRule>
  </conditionalFormatting>
  <conditionalFormatting sqref="Z39">
    <cfRule type="iconSet" priority="65">
      <iconSet reverse="1">
        <cfvo type="percent" val="0"/>
        <cfvo type="num" val="0"/>
        <cfvo type="num" val="5"/>
      </iconSet>
    </cfRule>
    <cfRule type="cellIs" dxfId="52" priority="66" operator="lessThanOrEqual">
      <formula>0</formula>
    </cfRule>
    <cfRule type="cellIs" dxfId="51" priority="67" operator="between">
      <formula>1</formula>
      <formula>4</formula>
    </cfRule>
    <cfRule type="cellIs" dxfId="50" priority="68" operator="between">
      <formula>5</formula>
      <formula>365</formula>
    </cfRule>
  </conditionalFormatting>
  <conditionalFormatting sqref="Z40">
    <cfRule type="iconSet" priority="61">
      <iconSet reverse="1">
        <cfvo type="percent" val="0"/>
        <cfvo type="num" val="0"/>
        <cfvo type="num" val="5"/>
      </iconSet>
    </cfRule>
    <cfRule type="cellIs" dxfId="49" priority="62" operator="lessThanOrEqual">
      <formula>0</formula>
    </cfRule>
    <cfRule type="cellIs" dxfId="48" priority="63" operator="between">
      <formula>1</formula>
      <formula>4</formula>
    </cfRule>
    <cfRule type="cellIs" dxfId="47" priority="64" operator="between">
      <formula>5</formula>
      <formula>365</formula>
    </cfRule>
  </conditionalFormatting>
  <conditionalFormatting sqref="Z41">
    <cfRule type="iconSet" priority="57">
      <iconSet reverse="1">
        <cfvo type="percent" val="0"/>
        <cfvo type="num" val="0"/>
        <cfvo type="num" val="5"/>
      </iconSet>
    </cfRule>
    <cfRule type="cellIs" dxfId="46" priority="58" operator="lessThanOrEqual">
      <formula>0</formula>
    </cfRule>
    <cfRule type="cellIs" dxfId="45" priority="59" operator="between">
      <formula>1</formula>
      <formula>4</formula>
    </cfRule>
    <cfRule type="cellIs" dxfId="44" priority="60" operator="between">
      <formula>5</formula>
      <formula>365</formula>
    </cfRule>
  </conditionalFormatting>
  <conditionalFormatting sqref="Z42">
    <cfRule type="iconSet" priority="53">
      <iconSet reverse="1">
        <cfvo type="percent" val="0"/>
        <cfvo type="num" val="0"/>
        <cfvo type="num" val="5"/>
      </iconSet>
    </cfRule>
    <cfRule type="cellIs" dxfId="43" priority="54" operator="lessThanOrEqual">
      <formula>0</formula>
    </cfRule>
    <cfRule type="cellIs" dxfId="42" priority="55" operator="between">
      <formula>1</formula>
      <formula>4</formula>
    </cfRule>
    <cfRule type="cellIs" dxfId="41" priority="56" operator="between">
      <formula>5</formula>
      <formula>365</formula>
    </cfRule>
  </conditionalFormatting>
  <conditionalFormatting sqref="Z43">
    <cfRule type="iconSet" priority="49">
      <iconSet reverse="1">
        <cfvo type="percent" val="0"/>
        <cfvo type="num" val="0"/>
        <cfvo type="num" val="5"/>
      </iconSet>
    </cfRule>
    <cfRule type="cellIs" dxfId="40" priority="50" operator="lessThanOrEqual">
      <formula>0</formula>
    </cfRule>
    <cfRule type="cellIs" dxfId="39" priority="51" operator="between">
      <formula>1</formula>
      <formula>4</formula>
    </cfRule>
    <cfRule type="cellIs" dxfId="38" priority="52" operator="between">
      <formula>5</formula>
      <formula>365</formula>
    </cfRule>
  </conditionalFormatting>
  <conditionalFormatting sqref="Z44">
    <cfRule type="iconSet" priority="45">
      <iconSet reverse="1">
        <cfvo type="percent" val="0"/>
        <cfvo type="num" val="0"/>
        <cfvo type="num" val="5"/>
      </iconSet>
    </cfRule>
    <cfRule type="cellIs" dxfId="37" priority="46" operator="lessThanOrEqual">
      <formula>0</formula>
    </cfRule>
    <cfRule type="cellIs" dxfId="36" priority="47" operator="between">
      <formula>1</formula>
      <formula>4</formula>
    </cfRule>
    <cfRule type="cellIs" dxfId="35" priority="48" operator="between">
      <formula>5</formula>
      <formula>365</formula>
    </cfRule>
  </conditionalFormatting>
  <conditionalFormatting sqref="Z45">
    <cfRule type="iconSet" priority="41">
      <iconSet reverse="1">
        <cfvo type="percent" val="0"/>
        <cfvo type="num" val="0"/>
        <cfvo type="num" val="5"/>
      </iconSet>
    </cfRule>
    <cfRule type="cellIs" dxfId="34" priority="42" operator="lessThanOrEqual">
      <formula>0</formula>
    </cfRule>
    <cfRule type="cellIs" dxfId="33" priority="43" operator="between">
      <formula>1</formula>
      <formula>4</formula>
    </cfRule>
    <cfRule type="cellIs" dxfId="32" priority="44" operator="between">
      <formula>5</formula>
      <formula>365</formula>
    </cfRule>
  </conditionalFormatting>
  <conditionalFormatting sqref="Z46">
    <cfRule type="iconSet" priority="37">
      <iconSet reverse="1">
        <cfvo type="percent" val="0"/>
        <cfvo type="num" val="0"/>
        <cfvo type="num" val="5"/>
      </iconSet>
    </cfRule>
    <cfRule type="cellIs" dxfId="31" priority="38" operator="lessThanOrEqual">
      <formula>0</formula>
    </cfRule>
    <cfRule type="cellIs" dxfId="30" priority="39" operator="between">
      <formula>1</formula>
      <formula>4</formula>
    </cfRule>
    <cfRule type="cellIs" dxfId="29" priority="40" operator="between">
      <formula>5</formula>
      <formula>365</formula>
    </cfRule>
  </conditionalFormatting>
  <conditionalFormatting sqref="Z47">
    <cfRule type="iconSet" priority="33">
      <iconSet reverse="1">
        <cfvo type="percent" val="0"/>
        <cfvo type="num" val="0"/>
        <cfvo type="num" val="5"/>
      </iconSet>
    </cfRule>
    <cfRule type="cellIs" dxfId="28" priority="34" operator="lessThanOrEqual">
      <formula>0</formula>
    </cfRule>
    <cfRule type="cellIs" dxfId="27" priority="35" operator="between">
      <formula>1</formula>
      <formula>4</formula>
    </cfRule>
    <cfRule type="cellIs" dxfId="26" priority="36" operator="between">
      <formula>5</formula>
      <formula>365</formula>
    </cfRule>
  </conditionalFormatting>
  <conditionalFormatting sqref="Z48">
    <cfRule type="iconSet" priority="29">
      <iconSet reverse="1">
        <cfvo type="percent" val="0"/>
        <cfvo type="num" val="0"/>
        <cfvo type="num" val="5"/>
      </iconSet>
    </cfRule>
    <cfRule type="cellIs" dxfId="25" priority="30" operator="lessThanOrEqual">
      <formula>0</formula>
    </cfRule>
    <cfRule type="cellIs" dxfId="24" priority="31" operator="between">
      <formula>1</formula>
      <formula>4</formula>
    </cfRule>
    <cfRule type="cellIs" dxfId="23" priority="32" operator="between">
      <formula>5</formula>
      <formula>365</formula>
    </cfRule>
  </conditionalFormatting>
  <conditionalFormatting sqref="Z49">
    <cfRule type="iconSet" priority="25">
      <iconSet reverse="1">
        <cfvo type="percent" val="0"/>
        <cfvo type="num" val="0"/>
        <cfvo type="num" val="5"/>
      </iconSet>
    </cfRule>
    <cfRule type="cellIs" dxfId="22" priority="26" operator="lessThanOrEqual">
      <formula>0</formula>
    </cfRule>
    <cfRule type="cellIs" dxfId="21" priority="27" operator="between">
      <formula>1</formula>
      <formula>4</formula>
    </cfRule>
    <cfRule type="cellIs" dxfId="20" priority="28" operator="between">
      <formula>5</formula>
      <formula>365</formula>
    </cfRule>
  </conditionalFormatting>
  <conditionalFormatting sqref="Z50">
    <cfRule type="iconSet" priority="21">
      <iconSet reverse="1">
        <cfvo type="percent" val="0"/>
        <cfvo type="num" val="0"/>
        <cfvo type="num" val="5"/>
      </iconSet>
    </cfRule>
    <cfRule type="cellIs" dxfId="19" priority="22" operator="lessThanOrEqual">
      <formula>0</formula>
    </cfRule>
    <cfRule type="cellIs" dxfId="18" priority="23" operator="between">
      <formula>1</formula>
      <formula>4</formula>
    </cfRule>
    <cfRule type="cellIs" dxfId="17" priority="24" operator="between">
      <formula>5</formula>
      <formula>365</formula>
    </cfRule>
  </conditionalFormatting>
  <conditionalFormatting sqref="Z51">
    <cfRule type="iconSet" priority="17">
      <iconSet reverse="1">
        <cfvo type="percent" val="0"/>
        <cfvo type="num" val="0"/>
        <cfvo type="num" val="5"/>
      </iconSet>
    </cfRule>
    <cfRule type="cellIs" dxfId="16" priority="18" operator="lessThanOrEqual">
      <formula>0</formula>
    </cfRule>
    <cfRule type="cellIs" dxfId="15" priority="19" operator="between">
      <formula>1</formula>
      <formula>4</formula>
    </cfRule>
    <cfRule type="cellIs" dxfId="14" priority="20" operator="between">
      <formula>5</formula>
      <formula>365</formula>
    </cfRule>
  </conditionalFormatting>
  <conditionalFormatting sqref="Z52">
    <cfRule type="iconSet" priority="13">
      <iconSet reverse="1">
        <cfvo type="percent" val="0"/>
        <cfvo type="num" val="0"/>
        <cfvo type="num" val="5"/>
      </iconSet>
    </cfRule>
    <cfRule type="cellIs" dxfId="13" priority="14" operator="lessThanOrEqual">
      <formula>0</formula>
    </cfRule>
    <cfRule type="cellIs" dxfId="12" priority="15" operator="between">
      <formula>1</formula>
      <formula>4</formula>
    </cfRule>
    <cfRule type="cellIs" dxfId="11" priority="16" operator="between">
      <formula>5</formula>
      <formula>365</formula>
    </cfRule>
  </conditionalFormatting>
  <conditionalFormatting sqref="Z53">
    <cfRule type="iconSet" priority="9">
      <iconSet reverse="1">
        <cfvo type="percent" val="0"/>
        <cfvo type="num" val="0"/>
        <cfvo type="num" val="5"/>
      </iconSet>
    </cfRule>
    <cfRule type="cellIs" dxfId="10" priority="10" operator="lessThanOrEqual">
      <formula>0</formula>
    </cfRule>
    <cfRule type="cellIs" dxfId="9" priority="11" operator="between">
      <formula>1</formula>
      <formula>4</formula>
    </cfRule>
    <cfRule type="cellIs" dxfId="8" priority="12" operator="between">
      <formula>5</formula>
      <formula>365</formula>
    </cfRule>
  </conditionalFormatting>
  <conditionalFormatting sqref="Z54">
    <cfRule type="iconSet" priority="5">
      <iconSet reverse="1">
        <cfvo type="percent" val="0"/>
        <cfvo type="num" val="0"/>
        <cfvo type="num" val="5"/>
      </iconSet>
    </cfRule>
    <cfRule type="cellIs" dxfId="7" priority="6" operator="lessThanOrEqual">
      <formula>0</formula>
    </cfRule>
    <cfRule type="cellIs" dxfId="6" priority="7" operator="between">
      <formula>1</formula>
      <formula>4</formula>
    </cfRule>
    <cfRule type="cellIs" dxfId="5" priority="8" operator="between">
      <formula>5</formula>
      <formula>365</formula>
    </cfRule>
  </conditionalFormatting>
  <conditionalFormatting sqref="Z55">
    <cfRule type="iconSet" priority="1">
      <iconSet reverse="1">
        <cfvo type="percent" val="0"/>
        <cfvo type="num" val="0"/>
        <cfvo type="num" val="5"/>
      </iconSet>
    </cfRule>
    <cfRule type="cellIs" dxfId="4" priority="2" operator="lessThanOrEqual">
      <formula>0</formula>
    </cfRule>
    <cfRule type="cellIs" dxfId="3" priority="3" operator="between">
      <formula>1</formula>
      <formula>4</formula>
    </cfRule>
    <cfRule type="cellIs" dxfId="2" priority="4" operator="between">
      <formula>5</formula>
      <formula>365</formula>
    </cfRule>
  </conditionalFormatting>
  <pageMargins left="0.7" right="0.7" top="0.75" bottom="0.75" header="0.3" footer="0.3"/>
  <pageSetup orientation="portrait" r:id="rId4"/>
  <drawing r:id="rId5"/>
  <legacyDrawing r:id="rId6"/>
</worksheet>
</file>

<file path=xl/worksheets/sheet5.xml><?xml version="1.0" encoding="utf-8"?>
<worksheet xmlns="http://schemas.openxmlformats.org/spreadsheetml/2006/main" xmlns:r="http://schemas.openxmlformats.org/officeDocument/2006/relationships">
  <sheetPr codeName="Sheet16"/>
  <dimension ref="A1:N85"/>
  <sheetViews>
    <sheetView topLeftCell="A58" workbookViewId="0">
      <selection activeCell="D1" sqref="D1"/>
    </sheetView>
  </sheetViews>
  <sheetFormatPr defaultColWidth="9.453125" defaultRowHeight="15"/>
  <cols>
    <col min="1" max="1" width="18.453125" style="86" customWidth="1"/>
    <col min="2" max="2" width="9.453125" style="21" customWidth="1"/>
    <col min="3" max="3" width="21.54296875" style="21" customWidth="1"/>
    <col min="4" max="6" width="9.453125" style="21" customWidth="1"/>
    <col min="7" max="7" width="26.453125" style="21" customWidth="1"/>
    <col min="8" max="8" width="9.453125" style="21" customWidth="1"/>
    <col min="9" max="9" width="3.54296875" style="21" customWidth="1"/>
    <col min="10" max="10" width="27" style="21" customWidth="1"/>
    <col min="11" max="11" width="44.453125" style="21" customWidth="1"/>
    <col min="12" max="12" width="23" style="21" customWidth="1"/>
    <col min="13" max="13" width="9.453125" style="21" customWidth="1"/>
    <col min="14" max="14" width="81.54296875" style="21" customWidth="1"/>
    <col min="15" max="16384" width="9.453125" style="21"/>
  </cols>
  <sheetData>
    <row r="1" spans="1:14" ht="15.5">
      <c r="A1" s="86" t="s">
        <v>42</v>
      </c>
      <c r="B1" s="21">
        <v>1</v>
      </c>
      <c r="C1" s="21" t="s">
        <v>77</v>
      </c>
      <c r="D1" s="188" t="s">
        <v>31</v>
      </c>
      <c r="E1" s="21">
        <f>MATCH(D1,A1:A80)</f>
        <v>14</v>
      </c>
      <c r="F1" s="21" t="str">
        <f>VLOOKUP(E1,B1:C80,2)</f>
        <v>Husky</v>
      </c>
      <c r="G1" s="21" t="s">
        <v>78</v>
      </c>
      <c r="H1" s="21" t="str">
        <f>F1</f>
        <v>Husky</v>
      </c>
      <c r="I1" s="21" t="s">
        <v>79</v>
      </c>
      <c r="J1" s="247">
        <v>3077540</v>
      </c>
      <c r="K1" s="21" t="str">
        <f>CONCATENATE(G1,H1,I1,J1)</f>
        <v>m:\manufacturing process\Husky\3077540</v>
      </c>
      <c r="L1" s="34" t="s">
        <v>80</v>
      </c>
      <c r="M1" s="87" t="s">
        <v>113</v>
      </c>
      <c r="N1" s="21" t="s">
        <v>114</v>
      </c>
    </row>
    <row r="2" spans="1:14">
      <c r="A2" s="86" t="s">
        <v>224</v>
      </c>
      <c r="B2" s="21">
        <v>2</v>
      </c>
      <c r="C2" s="21" t="s">
        <v>224</v>
      </c>
      <c r="K2" s="21" t="str">
        <f>CONCATENATE(G1,H1)</f>
        <v>m:\manufacturing process\Husky</v>
      </c>
      <c r="L2" s="34" t="s">
        <v>82</v>
      </c>
      <c r="N2" s="21" t="s">
        <v>115</v>
      </c>
    </row>
    <row r="3" spans="1:14">
      <c r="A3" s="86" t="s">
        <v>189</v>
      </c>
      <c r="B3" s="21">
        <v>3</v>
      </c>
      <c r="C3" s="21" t="s">
        <v>166</v>
      </c>
      <c r="N3" s="21" t="s">
        <v>116</v>
      </c>
    </row>
    <row r="4" spans="1:14">
      <c r="A4" s="86" t="s">
        <v>166</v>
      </c>
      <c r="B4" s="21">
        <v>4</v>
      </c>
      <c r="C4" s="154" t="s">
        <v>166</v>
      </c>
      <c r="N4" s="21" t="s">
        <v>117</v>
      </c>
    </row>
    <row r="5" spans="1:14">
      <c r="A5" s="86" t="s">
        <v>119</v>
      </c>
      <c r="B5" s="21">
        <v>5</v>
      </c>
      <c r="C5" s="21" t="s">
        <v>119</v>
      </c>
      <c r="N5" s="21" t="s">
        <v>118</v>
      </c>
    </row>
    <row r="6" spans="1:14">
      <c r="A6" s="86" t="s">
        <v>190</v>
      </c>
      <c r="B6" s="21">
        <v>6</v>
      </c>
      <c r="C6" s="21" t="s">
        <v>191</v>
      </c>
    </row>
    <row r="7" spans="1:14">
      <c r="A7" s="86" t="s">
        <v>234</v>
      </c>
      <c r="B7" s="21">
        <v>7</v>
      </c>
      <c r="C7" s="21" t="s">
        <v>234</v>
      </c>
    </row>
    <row r="8" spans="1:14">
      <c r="A8" s="86" t="s">
        <v>214</v>
      </c>
      <c r="B8" s="21">
        <v>8</v>
      </c>
      <c r="C8" s="21" t="s">
        <v>81</v>
      </c>
    </row>
    <row r="9" spans="1:14">
      <c r="A9" s="86" t="s">
        <v>192</v>
      </c>
      <c r="B9" s="21">
        <v>9</v>
      </c>
      <c r="C9" s="21" t="s">
        <v>180</v>
      </c>
    </row>
    <row r="10" spans="1:14">
      <c r="A10" s="86" t="s">
        <v>185</v>
      </c>
      <c r="B10" s="21">
        <v>10</v>
      </c>
      <c r="C10" s="21" t="s">
        <v>185</v>
      </c>
    </row>
    <row r="11" spans="1:14">
      <c r="A11" s="86" t="s">
        <v>109</v>
      </c>
      <c r="B11" s="21">
        <v>11</v>
      </c>
      <c r="C11" s="21" t="s">
        <v>109</v>
      </c>
    </row>
    <row r="12" spans="1:14">
      <c r="A12" s="20" t="s">
        <v>49</v>
      </c>
      <c r="B12" s="21">
        <v>12</v>
      </c>
      <c r="C12" s="21" t="s">
        <v>83</v>
      </c>
    </row>
    <row r="13" spans="1:14">
      <c r="A13" s="20" t="s">
        <v>32</v>
      </c>
      <c r="B13" s="21">
        <v>13</v>
      </c>
      <c r="C13" s="21" t="s">
        <v>84</v>
      </c>
    </row>
    <row r="14" spans="1:14">
      <c r="A14" s="20" t="s">
        <v>31</v>
      </c>
      <c r="B14" s="21">
        <v>14</v>
      </c>
      <c r="C14" s="21" t="s">
        <v>15</v>
      </c>
    </row>
    <row r="15" spans="1:14">
      <c r="A15" s="86" t="s">
        <v>171</v>
      </c>
      <c r="B15" s="21">
        <v>15</v>
      </c>
      <c r="C15" s="21" t="s">
        <v>171</v>
      </c>
    </row>
    <row r="16" spans="1:14">
      <c r="A16" s="86" t="s">
        <v>193</v>
      </c>
      <c r="B16" s="21">
        <v>16</v>
      </c>
      <c r="C16" s="154" t="s">
        <v>194</v>
      </c>
    </row>
    <row r="17" spans="1:3">
      <c r="A17" s="86" t="s">
        <v>186</v>
      </c>
      <c r="B17" s="21">
        <v>17</v>
      </c>
      <c r="C17" s="154" t="s">
        <v>186</v>
      </c>
    </row>
    <row r="18" spans="1:3">
      <c r="A18" s="86" t="s">
        <v>195</v>
      </c>
      <c r="B18" s="21">
        <v>18</v>
      </c>
      <c r="C18" s="154" t="s">
        <v>195</v>
      </c>
    </row>
    <row r="19" spans="1:3">
      <c r="A19" s="20" t="s">
        <v>41</v>
      </c>
      <c r="B19" s="21">
        <v>19</v>
      </c>
      <c r="C19" s="21" t="s">
        <v>50</v>
      </c>
    </row>
    <row r="20" spans="1:3">
      <c r="A20" s="20" t="s">
        <v>169</v>
      </c>
      <c r="B20" s="21">
        <v>20</v>
      </c>
      <c r="C20" s="21" t="s">
        <v>169</v>
      </c>
    </row>
    <row r="21" spans="1:3">
      <c r="A21" s="20" t="s">
        <v>236</v>
      </c>
      <c r="B21" s="21">
        <v>21</v>
      </c>
      <c r="C21" s="21" t="s">
        <v>236</v>
      </c>
    </row>
    <row r="22" spans="1:3">
      <c r="A22" s="20" t="s">
        <v>26</v>
      </c>
      <c r="B22" s="21">
        <v>22</v>
      </c>
      <c r="C22" s="21" t="s">
        <v>85</v>
      </c>
    </row>
    <row r="23" spans="1:3">
      <c r="A23" s="20" t="s">
        <v>218</v>
      </c>
      <c r="B23" s="21">
        <v>23</v>
      </c>
      <c r="C23" s="21" t="s">
        <v>218</v>
      </c>
    </row>
    <row r="24" spans="1:3">
      <c r="A24" s="20" t="s">
        <v>0</v>
      </c>
      <c r="B24" s="21">
        <v>24</v>
      </c>
      <c r="C24" s="21" t="s">
        <v>86</v>
      </c>
    </row>
    <row r="25" spans="1:3">
      <c r="A25" s="86" t="s">
        <v>121</v>
      </c>
      <c r="B25" s="21">
        <v>25</v>
      </c>
      <c r="C25" s="21" t="s">
        <v>121</v>
      </c>
    </row>
    <row r="26" spans="1:3">
      <c r="A26" s="20" t="s">
        <v>127</v>
      </c>
      <c r="B26" s="21">
        <v>26</v>
      </c>
      <c r="C26" s="21" t="s">
        <v>127</v>
      </c>
    </row>
    <row r="27" spans="1:3">
      <c r="A27" s="20" t="s">
        <v>71</v>
      </c>
      <c r="B27" s="21">
        <v>27</v>
      </c>
      <c r="C27" s="21" t="s">
        <v>59</v>
      </c>
    </row>
    <row r="28" spans="1:3">
      <c r="A28" s="20" t="s">
        <v>24</v>
      </c>
      <c r="B28" s="21">
        <v>28</v>
      </c>
      <c r="C28" s="21" t="s">
        <v>43</v>
      </c>
    </row>
    <row r="29" spans="1:3">
      <c r="A29" s="20" t="s">
        <v>74</v>
      </c>
      <c r="B29" s="21">
        <v>29</v>
      </c>
      <c r="C29" s="21" t="s">
        <v>74</v>
      </c>
    </row>
    <row r="30" spans="1:3">
      <c r="A30" s="20" t="s">
        <v>25</v>
      </c>
      <c r="B30" s="21">
        <v>30</v>
      </c>
      <c r="C30" s="21" t="s">
        <v>87</v>
      </c>
    </row>
    <row r="31" spans="1:3">
      <c r="A31" s="20" t="s">
        <v>215</v>
      </c>
      <c r="B31" s="21">
        <v>31</v>
      </c>
      <c r="C31" s="21" t="s">
        <v>215</v>
      </c>
    </row>
    <row r="32" spans="1:3">
      <c r="A32" s="86" t="s">
        <v>170</v>
      </c>
      <c r="B32" s="21">
        <v>32</v>
      </c>
      <c r="C32" s="21" t="s">
        <v>170</v>
      </c>
    </row>
    <row r="33" spans="1:3">
      <c r="A33" s="20" t="s">
        <v>46</v>
      </c>
      <c r="B33" s="21">
        <v>33</v>
      </c>
      <c r="C33" s="21" t="s">
        <v>88</v>
      </c>
    </row>
    <row r="34" spans="1:3">
      <c r="A34" s="20" t="s">
        <v>235</v>
      </c>
      <c r="B34" s="21">
        <v>34</v>
      </c>
      <c r="C34" s="21" t="s">
        <v>235</v>
      </c>
    </row>
    <row r="35" spans="1:3">
      <c r="A35" s="20" t="s">
        <v>15</v>
      </c>
      <c r="B35" s="21">
        <v>35</v>
      </c>
      <c r="C35" s="21" t="s">
        <v>15</v>
      </c>
    </row>
    <row r="36" spans="1:3">
      <c r="A36" s="86" t="s">
        <v>107</v>
      </c>
      <c r="B36" s="21">
        <v>36</v>
      </c>
      <c r="C36" s="21" t="s">
        <v>15</v>
      </c>
    </row>
    <row r="37" spans="1:3">
      <c r="A37" s="86" t="s">
        <v>216</v>
      </c>
      <c r="B37" s="21">
        <v>37</v>
      </c>
      <c r="C37" s="21" t="s">
        <v>216</v>
      </c>
    </row>
    <row r="38" spans="1:3">
      <c r="A38" s="20" t="s">
        <v>47</v>
      </c>
      <c r="B38" s="21">
        <v>38</v>
      </c>
      <c r="C38" s="21" t="s">
        <v>39</v>
      </c>
    </row>
    <row r="39" spans="1:3">
      <c r="A39" s="20" t="s">
        <v>23</v>
      </c>
      <c r="B39" s="21">
        <v>39</v>
      </c>
      <c r="C39" s="21" t="s">
        <v>89</v>
      </c>
    </row>
    <row r="40" spans="1:3">
      <c r="A40" s="20" t="s">
        <v>28</v>
      </c>
      <c r="B40" s="21">
        <v>40</v>
      </c>
      <c r="C40" s="21" t="s">
        <v>28</v>
      </c>
    </row>
    <row r="41" spans="1:3">
      <c r="A41" s="20" t="s">
        <v>5</v>
      </c>
      <c r="B41" s="21">
        <v>41</v>
      </c>
      <c r="C41" s="21" t="s">
        <v>5</v>
      </c>
    </row>
    <row r="42" spans="1:3">
      <c r="A42" s="20" t="s">
        <v>240</v>
      </c>
      <c r="B42" s="21">
        <v>42</v>
      </c>
      <c r="C42" s="21" t="s">
        <v>240</v>
      </c>
    </row>
    <row r="43" spans="1:3">
      <c r="A43" s="20" t="s">
        <v>4</v>
      </c>
      <c r="B43" s="21">
        <v>43</v>
      </c>
      <c r="C43" s="21" t="s">
        <v>90</v>
      </c>
    </row>
    <row r="44" spans="1:3">
      <c r="A44" s="20" t="s">
        <v>37</v>
      </c>
      <c r="B44" s="21">
        <v>44</v>
      </c>
      <c r="C44" s="21" t="s">
        <v>83</v>
      </c>
    </row>
    <row r="45" spans="1:3">
      <c r="A45" s="20" t="s">
        <v>251</v>
      </c>
      <c r="B45" s="21">
        <v>45</v>
      </c>
      <c r="C45" s="21" t="s">
        <v>251</v>
      </c>
    </row>
    <row r="46" spans="1:3">
      <c r="A46" s="86" t="s">
        <v>197</v>
      </c>
      <c r="B46" s="21">
        <v>46</v>
      </c>
      <c r="C46" s="21" t="s">
        <v>197</v>
      </c>
    </row>
    <row r="47" spans="1:3">
      <c r="A47" s="20" t="s">
        <v>36</v>
      </c>
      <c r="B47" s="21">
        <v>47</v>
      </c>
      <c r="C47" s="21" t="s">
        <v>15</v>
      </c>
    </row>
    <row r="48" spans="1:3">
      <c r="A48" s="20" t="s">
        <v>62</v>
      </c>
      <c r="B48" s="21">
        <v>48</v>
      </c>
      <c r="C48" s="21" t="s">
        <v>61</v>
      </c>
    </row>
    <row r="49" spans="1:3">
      <c r="A49" s="20" t="s">
        <v>7</v>
      </c>
      <c r="B49" s="21">
        <v>49</v>
      </c>
      <c r="C49" s="21" t="s">
        <v>35</v>
      </c>
    </row>
    <row r="50" spans="1:3">
      <c r="A50" s="20" t="s">
        <v>60</v>
      </c>
      <c r="B50" s="21">
        <v>50</v>
      </c>
      <c r="C50" s="21" t="s">
        <v>35</v>
      </c>
    </row>
    <row r="51" spans="1:3">
      <c r="A51" s="20" t="s">
        <v>184</v>
      </c>
      <c r="B51" s="21">
        <v>51</v>
      </c>
      <c r="C51" s="21" t="s">
        <v>184</v>
      </c>
    </row>
    <row r="52" spans="1:3">
      <c r="A52" s="20" t="s">
        <v>183</v>
      </c>
      <c r="B52" s="21">
        <v>52</v>
      </c>
      <c r="C52" s="21" t="s">
        <v>183</v>
      </c>
    </row>
    <row r="53" spans="1:3">
      <c r="A53" s="86" t="s">
        <v>198</v>
      </c>
      <c r="B53" s="21">
        <v>53</v>
      </c>
      <c r="C53" s="21" t="s">
        <v>198</v>
      </c>
    </row>
    <row r="54" spans="1:3">
      <c r="A54" s="86" t="s">
        <v>106</v>
      </c>
      <c r="B54" s="21">
        <v>54</v>
      </c>
      <c r="C54" s="21" t="s">
        <v>106</v>
      </c>
    </row>
    <row r="55" spans="1:3">
      <c r="A55" s="20" t="s">
        <v>48</v>
      </c>
      <c r="B55" s="21">
        <v>55</v>
      </c>
      <c r="C55" s="21" t="s">
        <v>48</v>
      </c>
    </row>
    <row r="56" spans="1:3">
      <c r="A56" s="20" t="s">
        <v>44</v>
      </c>
      <c r="B56" s="21">
        <v>56</v>
      </c>
      <c r="C56" s="21" t="s">
        <v>44</v>
      </c>
    </row>
    <row r="57" spans="1:3">
      <c r="A57" s="20" t="s">
        <v>3</v>
      </c>
      <c r="B57" s="21">
        <v>57</v>
      </c>
      <c r="C57" s="21" t="s">
        <v>3</v>
      </c>
    </row>
    <row r="58" spans="1:3">
      <c r="A58" s="20" t="s">
        <v>199</v>
      </c>
      <c r="B58" s="21">
        <v>58</v>
      </c>
      <c r="C58" s="21" t="s">
        <v>200</v>
      </c>
    </row>
    <row r="59" spans="1:3">
      <c r="A59" s="86" t="s">
        <v>52</v>
      </c>
      <c r="B59" s="21">
        <v>59</v>
      </c>
      <c r="C59" s="21" t="s">
        <v>52</v>
      </c>
    </row>
    <row r="60" spans="1:3">
      <c r="A60" s="20" t="s">
        <v>125</v>
      </c>
      <c r="B60" s="21">
        <v>60</v>
      </c>
      <c r="C60" s="21" t="s">
        <v>125</v>
      </c>
    </row>
    <row r="61" spans="1:3">
      <c r="A61" s="86" t="s">
        <v>168</v>
      </c>
      <c r="B61" s="21">
        <v>61</v>
      </c>
      <c r="C61" s="21" t="s">
        <v>168</v>
      </c>
    </row>
    <row r="62" spans="1:3">
      <c r="A62" s="86" t="s">
        <v>201</v>
      </c>
      <c r="B62" s="21">
        <v>62</v>
      </c>
      <c r="C62" s="21" t="s">
        <v>164</v>
      </c>
    </row>
    <row r="63" spans="1:3">
      <c r="A63" s="20" t="s">
        <v>16</v>
      </c>
      <c r="B63" s="21">
        <v>63</v>
      </c>
      <c r="C63" s="21" t="s">
        <v>15</v>
      </c>
    </row>
    <row r="64" spans="1:3">
      <c r="A64" s="20" t="s">
        <v>202</v>
      </c>
      <c r="B64" s="21">
        <v>64</v>
      </c>
      <c r="C64" s="21" t="s">
        <v>202</v>
      </c>
    </row>
    <row r="65" spans="1:3">
      <c r="A65" s="86" t="s">
        <v>104</v>
      </c>
      <c r="B65" s="21">
        <v>65</v>
      </c>
      <c r="C65" s="21" t="s">
        <v>112</v>
      </c>
    </row>
    <row r="66" spans="1:3">
      <c r="A66" s="86" t="s">
        <v>744</v>
      </c>
      <c r="B66" s="21">
        <v>66</v>
      </c>
      <c r="C66" s="21" t="s">
        <v>744</v>
      </c>
    </row>
    <row r="67" spans="1:3">
      <c r="A67" s="86" t="s">
        <v>413</v>
      </c>
      <c r="B67" s="21">
        <v>67</v>
      </c>
      <c r="C67" s="21" t="s">
        <v>413</v>
      </c>
    </row>
    <row r="68" spans="1:3">
      <c r="A68" s="86" t="s">
        <v>203</v>
      </c>
      <c r="B68" s="21">
        <v>68</v>
      </c>
      <c r="C68" s="21" t="s">
        <v>181</v>
      </c>
    </row>
    <row r="69" spans="1:3">
      <c r="A69" s="86" t="s">
        <v>204</v>
      </c>
      <c r="B69" s="21">
        <v>69</v>
      </c>
      <c r="C69" s="21" t="s">
        <v>205</v>
      </c>
    </row>
    <row r="70" spans="1:3">
      <c r="A70" s="20" t="s">
        <v>1</v>
      </c>
      <c r="B70" s="21">
        <v>70</v>
      </c>
      <c r="C70" s="21" t="s">
        <v>1</v>
      </c>
    </row>
    <row r="71" spans="1:3">
      <c r="A71" s="86" t="s">
        <v>103</v>
      </c>
      <c r="B71" s="21">
        <v>71</v>
      </c>
      <c r="C71" s="21" t="s">
        <v>103</v>
      </c>
    </row>
    <row r="72" spans="1:3">
      <c r="A72" s="86" t="s">
        <v>123</v>
      </c>
      <c r="B72" s="21">
        <v>72</v>
      </c>
      <c r="C72" s="21" t="s">
        <v>123</v>
      </c>
    </row>
    <row r="73" spans="1:3">
      <c r="A73" s="86" t="s">
        <v>206</v>
      </c>
      <c r="B73" s="21">
        <v>73</v>
      </c>
      <c r="C73" s="21" t="s">
        <v>206</v>
      </c>
    </row>
    <row r="74" spans="1:3">
      <c r="A74" s="86" t="s">
        <v>122</v>
      </c>
      <c r="B74" s="21">
        <v>74</v>
      </c>
      <c r="C74" s="21" t="s">
        <v>122</v>
      </c>
    </row>
    <row r="75" spans="1:3">
      <c r="A75" s="20" t="s">
        <v>27</v>
      </c>
      <c r="B75" s="21">
        <v>75</v>
      </c>
      <c r="C75" s="21" t="s">
        <v>27</v>
      </c>
    </row>
    <row r="76" spans="1:3">
      <c r="A76" s="86" t="s">
        <v>209</v>
      </c>
      <c r="B76" s="21">
        <v>76</v>
      </c>
      <c r="C76" s="21" t="s">
        <v>210</v>
      </c>
    </row>
    <row r="77" spans="1:3">
      <c r="A77" s="86" t="s">
        <v>217</v>
      </c>
      <c r="B77" s="21">
        <v>77</v>
      </c>
      <c r="C77" s="21" t="s">
        <v>217</v>
      </c>
    </row>
    <row r="78" spans="1:3">
      <c r="A78" s="86" t="s">
        <v>29</v>
      </c>
      <c r="B78" s="21">
        <v>78</v>
      </c>
      <c r="C78" s="21" t="s">
        <v>83</v>
      </c>
    </row>
    <row r="79" spans="1:3">
      <c r="A79" s="20" t="s">
        <v>33</v>
      </c>
      <c r="B79" s="21">
        <v>79</v>
      </c>
      <c r="C79" s="21" t="s">
        <v>83</v>
      </c>
    </row>
    <row r="80" spans="1:3">
      <c r="A80" s="86" t="s">
        <v>208</v>
      </c>
      <c r="B80" s="21">
        <v>80</v>
      </c>
      <c r="C80" s="21" t="s">
        <v>208</v>
      </c>
    </row>
    <row r="85" spans="5:5">
      <c r="E85" s="21" t="s">
        <v>413</v>
      </c>
    </row>
  </sheetData>
  <sortState ref="A2:L74">
    <sortCondition ref="A1"/>
  </sortState>
  <customSheetViews>
    <customSheetView guid="{2383B994-5DA1-4BB7-BA01-728624653006}" state="hidden" topLeftCell="A46">
      <selection activeCell="D1" sqref="D1"/>
      <pageMargins left="0.7" right="0.7" top="0.75" bottom="0.75" header="0.3" footer="0.3"/>
      <pageSetup paperSize="17" orientation="portrait" horizontalDpi="4294967295" verticalDpi="4294967295" r:id="rId1"/>
    </customSheetView>
    <customSheetView guid="{2CF83A42-D815-4571-8877-DB621A116308}" state="hidden" topLeftCell="A46">
      <selection activeCell="D1" sqref="D1"/>
      <pageMargins left="0.7" right="0.7" top="0.75" bottom="0.75" header="0.3" footer="0.3"/>
      <pageSetup paperSize="17" orientation="portrait" horizontalDpi="4294967295" verticalDpi="4294967295" r:id="rId2"/>
    </customSheetView>
    <customSheetView guid="{FFA6C093-E866-4B92-9807-8D478A2763D4}" state="hidden" topLeftCell="A46">
      <selection activeCell="E61" sqref="E61"/>
      <pageMargins left="0.7" right="0.7" top="0.75" bottom="0.75" header="0.3" footer="0.3"/>
      <pageSetup paperSize="17" orientation="portrait" horizontalDpi="4294967295" verticalDpi="4294967295" r:id="rId3"/>
    </customSheetView>
  </customSheetViews>
  <pageMargins left="0.7" right="0.7" top="0.75" bottom="0.75" header="0.3" footer="0.3"/>
  <pageSetup paperSize="17" orientation="portrait" horizontalDpi="4294967295" verticalDpi="4294967295" r:id="rId4"/>
</worksheet>
</file>

<file path=xl/worksheets/sheet6.xml><?xml version="1.0" encoding="utf-8"?>
<worksheet xmlns="http://schemas.openxmlformats.org/spreadsheetml/2006/main" xmlns:r="http://schemas.openxmlformats.org/officeDocument/2006/relationships">
  <sheetPr codeName="Sheet5">
    <pageSetUpPr fitToPage="1"/>
  </sheetPr>
  <dimension ref="A1:R52"/>
  <sheetViews>
    <sheetView view="pageBreakPreview" zoomScale="60" zoomScaleNormal="70" zoomScalePageLayoutView="55" workbookViewId="0">
      <selection activeCell="F22" sqref="F22:N22"/>
    </sheetView>
  </sheetViews>
  <sheetFormatPr defaultColWidth="9.453125" defaultRowHeight="13"/>
  <cols>
    <col min="1" max="1" width="6.453125" style="43" customWidth="1"/>
    <col min="2" max="2" width="7" style="43" customWidth="1"/>
    <col min="3" max="3" width="0.453125" style="43" hidden="1" customWidth="1"/>
    <col min="4" max="5" width="6.54296875" style="43" customWidth="1"/>
    <col min="6" max="6" width="7.54296875" style="43" customWidth="1"/>
    <col min="7" max="7" width="2.54296875" style="43" customWidth="1"/>
    <col min="8" max="8" width="1.453125" style="43" customWidth="1"/>
    <col min="9" max="9" width="6.54296875" style="43" customWidth="1"/>
    <col min="10" max="10" width="6" style="43" customWidth="1"/>
    <col min="11" max="11" width="8.54296875" style="43" customWidth="1"/>
    <col min="12" max="12" width="7.54296875" style="43" customWidth="1"/>
    <col min="13" max="13" width="4.54296875" style="43" hidden="1" customWidth="1"/>
    <col min="14" max="14" width="31.1796875" style="43" customWidth="1"/>
    <col min="15" max="15" width="3.81640625" style="43" hidden="1" customWidth="1"/>
    <col min="16" max="16" width="11.54296875" style="43" customWidth="1"/>
    <col min="17" max="17" width="9.54296875" style="43" customWidth="1"/>
    <col min="18" max="18" width="7.453125" style="43" customWidth="1"/>
    <col min="19" max="256" width="9.453125" style="43"/>
    <col min="257" max="257" width="6.453125" style="43" customWidth="1"/>
    <col min="258" max="258" width="7" style="43" customWidth="1"/>
    <col min="259" max="259" width="0" style="43" hidden="1" customWidth="1"/>
    <col min="260" max="261" width="6.54296875" style="43" customWidth="1"/>
    <col min="262" max="262" width="7.54296875" style="43" customWidth="1"/>
    <col min="263" max="263" width="2.54296875" style="43" customWidth="1"/>
    <col min="264" max="264" width="1.453125" style="43" customWidth="1"/>
    <col min="265" max="265" width="6.54296875" style="43" customWidth="1"/>
    <col min="266" max="266" width="6" style="43" customWidth="1"/>
    <col min="267" max="267" width="8.54296875" style="43" customWidth="1"/>
    <col min="268" max="268" width="7.54296875" style="43" customWidth="1"/>
    <col min="269" max="269" width="0" style="43" hidden="1" customWidth="1"/>
    <col min="270" max="270" width="25.453125" style="43" customWidth="1"/>
    <col min="271" max="271" width="0" style="43" hidden="1" customWidth="1"/>
    <col min="272" max="272" width="11.54296875" style="43" customWidth="1"/>
    <col min="273" max="273" width="9.54296875" style="43" customWidth="1"/>
    <col min="274" max="274" width="7.453125" style="43" customWidth="1"/>
    <col min="275" max="512" width="9.453125" style="43"/>
    <col min="513" max="513" width="6.453125" style="43" customWidth="1"/>
    <col min="514" max="514" width="7" style="43" customWidth="1"/>
    <col min="515" max="515" width="0" style="43" hidden="1" customWidth="1"/>
    <col min="516" max="517" width="6.54296875" style="43" customWidth="1"/>
    <col min="518" max="518" width="7.54296875" style="43" customWidth="1"/>
    <col min="519" max="519" width="2.54296875" style="43" customWidth="1"/>
    <col min="520" max="520" width="1.453125" style="43" customWidth="1"/>
    <col min="521" max="521" width="6.54296875" style="43" customWidth="1"/>
    <col min="522" max="522" width="6" style="43" customWidth="1"/>
    <col min="523" max="523" width="8.54296875" style="43" customWidth="1"/>
    <col min="524" max="524" width="7.54296875" style="43" customWidth="1"/>
    <col min="525" max="525" width="0" style="43" hidden="1" customWidth="1"/>
    <col min="526" max="526" width="25.453125" style="43" customWidth="1"/>
    <col min="527" max="527" width="0" style="43" hidden="1" customWidth="1"/>
    <col min="528" max="528" width="11.54296875" style="43" customWidth="1"/>
    <col min="529" max="529" width="9.54296875" style="43" customWidth="1"/>
    <col min="530" max="530" width="7.453125" style="43" customWidth="1"/>
    <col min="531" max="768" width="9.453125" style="43"/>
    <col min="769" max="769" width="6.453125" style="43" customWidth="1"/>
    <col min="770" max="770" width="7" style="43" customWidth="1"/>
    <col min="771" max="771" width="0" style="43" hidden="1" customWidth="1"/>
    <col min="772" max="773" width="6.54296875" style="43" customWidth="1"/>
    <col min="774" max="774" width="7.54296875" style="43" customWidth="1"/>
    <col min="775" max="775" width="2.54296875" style="43" customWidth="1"/>
    <col min="776" max="776" width="1.453125" style="43" customWidth="1"/>
    <col min="777" max="777" width="6.54296875" style="43" customWidth="1"/>
    <col min="778" max="778" width="6" style="43" customWidth="1"/>
    <col min="779" max="779" width="8.54296875" style="43" customWidth="1"/>
    <col min="780" max="780" width="7.54296875" style="43" customWidth="1"/>
    <col min="781" max="781" width="0" style="43" hidden="1" customWidth="1"/>
    <col min="782" max="782" width="25.453125" style="43" customWidth="1"/>
    <col min="783" max="783" width="0" style="43" hidden="1" customWidth="1"/>
    <col min="784" max="784" width="11.54296875" style="43" customWidth="1"/>
    <col min="785" max="785" width="9.54296875" style="43" customWidth="1"/>
    <col min="786" max="786" width="7.453125" style="43" customWidth="1"/>
    <col min="787" max="1024" width="9.453125" style="43"/>
    <col min="1025" max="1025" width="6.453125" style="43" customWidth="1"/>
    <col min="1026" max="1026" width="7" style="43" customWidth="1"/>
    <col min="1027" max="1027" width="0" style="43" hidden="1" customWidth="1"/>
    <col min="1028" max="1029" width="6.54296875" style="43" customWidth="1"/>
    <col min="1030" max="1030" width="7.54296875" style="43" customWidth="1"/>
    <col min="1031" max="1031" width="2.54296875" style="43" customWidth="1"/>
    <col min="1032" max="1032" width="1.453125" style="43" customWidth="1"/>
    <col min="1033" max="1033" width="6.54296875" style="43" customWidth="1"/>
    <col min="1034" max="1034" width="6" style="43" customWidth="1"/>
    <col min="1035" max="1035" width="8.54296875" style="43" customWidth="1"/>
    <col min="1036" max="1036" width="7.54296875" style="43" customWidth="1"/>
    <col min="1037" max="1037" width="0" style="43" hidden="1" customWidth="1"/>
    <col min="1038" max="1038" width="25.453125" style="43" customWidth="1"/>
    <col min="1039" max="1039" width="0" style="43" hidden="1" customWidth="1"/>
    <col min="1040" max="1040" width="11.54296875" style="43" customWidth="1"/>
    <col min="1041" max="1041" width="9.54296875" style="43" customWidth="1"/>
    <col min="1042" max="1042" width="7.453125" style="43" customWidth="1"/>
    <col min="1043" max="1280" width="9.453125" style="43"/>
    <col min="1281" max="1281" width="6.453125" style="43" customWidth="1"/>
    <col min="1282" max="1282" width="7" style="43" customWidth="1"/>
    <col min="1283" max="1283" width="0" style="43" hidden="1" customWidth="1"/>
    <col min="1284" max="1285" width="6.54296875" style="43" customWidth="1"/>
    <col min="1286" max="1286" width="7.54296875" style="43" customWidth="1"/>
    <col min="1287" max="1287" width="2.54296875" style="43" customWidth="1"/>
    <col min="1288" max="1288" width="1.453125" style="43" customWidth="1"/>
    <col min="1289" max="1289" width="6.54296875" style="43" customWidth="1"/>
    <col min="1290" max="1290" width="6" style="43" customWidth="1"/>
    <col min="1291" max="1291" width="8.54296875" style="43" customWidth="1"/>
    <col min="1292" max="1292" width="7.54296875" style="43" customWidth="1"/>
    <col min="1293" max="1293" width="0" style="43" hidden="1" customWidth="1"/>
    <col min="1294" max="1294" width="25.453125" style="43" customWidth="1"/>
    <col min="1295" max="1295" width="0" style="43" hidden="1" customWidth="1"/>
    <col min="1296" max="1296" width="11.54296875" style="43" customWidth="1"/>
    <col min="1297" max="1297" width="9.54296875" style="43" customWidth="1"/>
    <col min="1298" max="1298" width="7.453125" style="43" customWidth="1"/>
    <col min="1299" max="1536" width="9.453125" style="43"/>
    <col min="1537" max="1537" width="6.453125" style="43" customWidth="1"/>
    <col min="1538" max="1538" width="7" style="43" customWidth="1"/>
    <col min="1539" max="1539" width="0" style="43" hidden="1" customWidth="1"/>
    <col min="1540" max="1541" width="6.54296875" style="43" customWidth="1"/>
    <col min="1542" max="1542" width="7.54296875" style="43" customWidth="1"/>
    <col min="1543" max="1543" width="2.54296875" style="43" customWidth="1"/>
    <col min="1544" max="1544" width="1.453125" style="43" customWidth="1"/>
    <col min="1545" max="1545" width="6.54296875" style="43" customWidth="1"/>
    <col min="1546" max="1546" width="6" style="43" customWidth="1"/>
    <col min="1547" max="1547" width="8.54296875" style="43" customWidth="1"/>
    <col min="1548" max="1548" width="7.54296875" style="43" customWidth="1"/>
    <col min="1549" max="1549" width="0" style="43" hidden="1" customWidth="1"/>
    <col min="1550" max="1550" width="25.453125" style="43" customWidth="1"/>
    <col min="1551" max="1551" width="0" style="43" hidden="1" customWidth="1"/>
    <col min="1552" max="1552" width="11.54296875" style="43" customWidth="1"/>
    <col min="1553" max="1553" width="9.54296875" style="43" customWidth="1"/>
    <col min="1554" max="1554" width="7.453125" style="43" customWidth="1"/>
    <col min="1555" max="1792" width="9.453125" style="43"/>
    <col min="1793" max="1793" width="6.453125" style="43" customWidth="1"/>
    <col min="1794" max="1794" width="7" style="43" customWidth="1"/>
    <col min="1795" max="1795" width="0" style="43" hidden="1" customWidth="1"/>
    <col min="1796" max="1797" width="6.54296875" style="43" customWidth="1"/>
    <col min="1798" max="1798" width="7.54296875" style="43" customWidth="1"/>
    <col min="1799" max="1799" width="2.54296875" style="43" customWidth="1"/>
    <col min="1800" max="1800" width="1.453125" style="43" customWidth="1"/>
    <col min="1801" max="1801" width="6.54296875" style="43" customWidth="1"/>
    <col min="1802" max="1802" width="6" style="43" customWidth="1"/>
    <col min="1803" max="1803" width="8.54296875" style="43" customWidth="1"/>
    <col min="1804" max="1804" width="7.54296875" style="43" customWidth="1"/>
    <col min="1805" max="1805" width="0" style="43" hidden="1" customWidth="1"/>
    <col min="1806" max="1806" width="25.453125" style="43" customWidth="1"/>
    <col min="1807" max="1807" width="0" style="43" hidden="1" customWidth="1"/>
    <col min="1808" max="1808" width="11.54296875" style="43" customWidth="1"/>
    <col min="1809" max="1809" width="9.54296875" style="43" customWidth="1"/>
    <col min="1810" max="1810" width="7.453125" style="43" customWidth="1"/>
    <col min="1811" max="2048" width="9.453125" style="43"/>
    <col min="2049" max="2049" width="6.453125" style="43" customWidth="1"/>
    <col min="2050" max="2050" width="7" style="43" customWidth="1"/>
    <col min="2051" max="2051" width="0" style="43" hidden="1" customWidth="1"/>
    <col min="2052" max="2053" width="6.54296875" style="43" customWidth="1"/>
    <col min="2054" max="2054" width="7.54296875" style="43" customWidth="1"/>
    <col min="2055" max="2055" width="2.54296875" style="43" customWidth="1"/>
    <col min="2056" max="2056" width="1.453125" style="43" customWidth="1"/>
    <col min="2057" max="2057" width="6.54296875" style="43" customWidth="1"/>
    <col min="2058" max="2058" width="6" style="43" customWidth="1"/>
    <col min="2059" max="2059" width="8.54296875" style="43" customWidth="1"/>
    <col min="2060" max="2060" width="7.54296875" style="43" customWidth="1"/>
    <col min="2061" max="2061" width="0" style="43" hidden="1" customWidth="1"/>
    <col min="2062" max="2062" width="25.453125" style="43" customWidth="1"/>
    <col min="2063" max="2063" width="0" style="43" hidden="1" customWidth="1"/>
    <col min="2064" max="2064" width="11.54296875" style="43" customWidth="1"/>
    <col min="2065" max="2065" width="9.54296875" style="43" customWidth="1"/>
    <col min="2066" max="2066" width="7.453125" style="43" customWidth="1"/>
    <col min="2067" max="2304" width="9.453125" style="43"/>
    <col min="2305" max="2305" width="6.453125" style="43" customWidth="1"/>
    <col min="2306" max="2306" width="7" style="43" customWidth="1"/>
    <col min="2307" max="2307" width="0" style="43" hidden="1" customWidth="1"/>
    <col min="2308" max="2309" width="6.54296875" style="43" customWidth="1"/>
    <col min="2310" max="2310" width="7.54296875" style="43" customWidth="1"/>
    <col min="2311" max="2311" width="2.54296875" style="43" customWidth="1"/>
    <col min="2312" max="2312" width="1.453125" style="43" customWidth="1"/>
    <col min="2313" max="2313" width="6.54296875" style="43" customWidth="1"/>
    <col min="2314" max="2314" width="6" style="43" customWidth="1"/>
    <col min="2315" max="2315" width="8.54296875" style="43" customWidth="1"/>
    <col min="2316" max="2316" width="7.54296875" style="43" customWidth="1"/>
    <col min="2317" max="2317" width="0" style="43" hidden="1" customWidth="1"/>
    <col min="2318" max="2318" width="25.453125" style="43" customWidth="1"/>
    <col min="2319" max="2319" width="0" style="43" hidden="1" customWidth="1"/>
    <col min="2320" max="2320" width="11.54296875" style="43" customWidth="1"/>
    <col min="2321" max="2321" width="9.54296875" style="43" customWidth="1"/>
    <col min="2322" max="2322" width="7.453125" style="43" customWidth="1"/>
    <col min="2323" max="2560" width="9.453125" style="43"/>
    <col min="2561" max="2561" width="6.453125" style="43" customWidth="1"/>
    <col min="2562" max="2562" width="7" style="43" customWidth="1"/>
    <col min="2563" max="2563" width="0" style="43" hidden="1" customWidth="1"/>
    <col min="2564" max="2565" width="6.54296875" style="43" customWidth="1"/>
    <col min="2566" max="2566" width="7.54296875" style="43" customWidth="1"/>
    <col min="2567" max="2567" width="2.54296875" style="43" customWidth="1"/>
    <col min="2568" max="2568" width="1.453125" style="43" customWidth="1"/>
    <col min="2569" max="2569" width="6.54296875" style="43" customWidth="1"/>
    <col min="2570" max="2570" width="6" style="43" customWidth="1"/>
    <col min="2571" max="2571" width="8.54296875" style="43" customWidth="1"/>
    <col min="2572" max="2572" width="7.54296875" style="43" customWidth="1"/>
    <col min="2573" max="2573" width="0" style="43" hidden="1" customWidth="1"/>
    <col min="2574" max="2574" width="25.453125" style="43" customWidth="1"/>
    <col min="2575" max="2575" width="0" style="43" hidden="1" customWidth="1"/>
    <col min="2576" max="2576" width="11.54296875" style="43" customWidth="1"/>
    <col min="2577" max="2577" width="9.54296875" style="43" customWidth="1"/>
    <col min="2578" max="2578" width="7.453125" style="43" customWidth="1"/>
    <col min="2579" max="2816" width="9.453125" style="43"/>
    <col min="2817" max="2817" width="6.453125" style="43" customWidth="1"/>
    <col min="2818" max="2818" width="7" style="43" customWidth="1"/>
    <col min="2819" max="2819" width="0" style="43" hidden="1" customWidth="1"/>
    <col min="2820" max="2821" width="6.54296875" style="43" customWidth="1"/>
    <col min="2822" max="2822" width="7.54296875" style="43" customWidth="1"/>
    <col min="2823" max="2823" width="2.54296875" style="43" customWidth="1"/>
    <col min="2824" max="2824" width="1.453125" style="43" customWidth="1"/>
    <col min="2825" max="2825" width="6.54296875" style="43" customWidth="1"/>
    <col min="2826" max="2826" width="6" style="43" customWidth="1"/>
    <col min="2827" max="2827" width="8.54296875" style="43" customWidth="1"/>
    <col min="2828" max="2828" width="7.54296875" style="43" customWidth="1"/>
    <col min="2829" max="2829" width="0" style="43" hidden="1" customWidth="1"/>
    <col min="2830" max="2830" width="25.453125" style="43" customWidth="1"/>
    <col min="2831" max="2831" width="0" style="43" hidden="1" customWidth="1"/>
    <col min="2832" max="2832" width="11.54296875" style="43" customWidth="1"/>
    <col min="2833" max="2833" width="9.54296875" style="43" customWidth="1"/>
    <col min="2834" max="2834" width="7.453125" style="43" customWidth="1"/>
    <col min="2835" max="3072" width="9.453125" style="43"/>
    <col min="3073" max="3073" width="6.453125" style="43" customWidth="1"/>
    <col min="3074" max="3074" width="7" style="43" customWidth="1"/>
    <col min="3075" max="3075" width="0" style="43" hidden="1" customWidth="1"/>
    <col min="3076" max="3077" width="6.54296875" style="43" customWidth="1"/>
    <col min="3078" max="3078" width="7.54296875" style="43" customWidth="1"/>
    <col min="3079" max="3079" width="2.54296875" style="43" customWidth="1"/>
    <col min="3080" max="3080" width="1.453125" style="43" customWidth="1"/>
    <col min="3081" max="3081" width="6.54296875" style="43" customWidth="1"/>
    <col min="3082" max="3082" width="6" style="43" customWidth="1"/>
    <col min="3083" max="3083" width="8.54296875" style="43" customWidth="1"/>
    <col min="3084" max="3084" width="7.54296875" style="43" customWidth="1"/>
    <col min="3085" max="3085" width="0" style="43" hidden="1" customWidth="1"/>
    <col min="3086" max="3086" width="25.453125" style="43" customWidth="1"/>
    <col min="3087" max="3087" width="0" style="43" hidden="1" customWidth="1"/>
    <col min="3088" max="3088" width="11.54296875" style="43" customWidth="1"/>
    <col min="3089" max="3089" width="9.54296875" style="43" customWidth="1"/>
    <col min="3090" max="3090" width="7.453125" style="43" customWidth="1"/>
    <col min="3091" max="3328" width="9.453125" style="43"/>
    <col min="3329" max="3329" width="6.453125" style="43" customWidth="1"/>
    <col min="3330" max="3330" width="7" style="43" customWidth="1"/>
    <col min="3331" max="3331" width="0" style="43" hidden="1" customWidth="1"/>
    <col min="3332" max="3333" width="6.54296875" style="43" customWidth="1"/>
    <col min="3334" max="3334" width="7.54296875" style="43" customWidth="1"/>
    <col min="3335" max="3335" width="2.54296875" style="43" customWidth="1"/>
    <col min="3336" max="3336" width="1.453125" style="43" customWidth="1"/>
    <col min="3337" max="3337" width="6.54296875" style="43" customWidth="1"/>
    <col min="3338" max="3338" width="6" style="43" customWidth="1"/>
    <col min="3339" max="3339" width="8.54296875" style="43" customWidth="1"/>
    <col min="3340" max="3340" width="7.54296875" style="43" customWidth="1"/>
    <col min="3341" max="3341" width="0" style="43" hidden="1" customWidth="1"/>
    <col min="3342" max="3342" width="25.453125" style="43" customWidth="1"/>
    <col min="3343" max="3343" width="0" style="43" hidden="1" customWidth="1"/>
    <col min="3344" max="3344" width="11.54296875" style="43" customWidth="1"/>
    <col min="3345" max="3345" width="9.54296875" style="43" customWidth="1"/>
    <col min="3346" max="3346" width="7.453125" style="43" customWidth="1"/>
    <col min="3347" max="3584" width="9.453125" style="43"/>
    <col min="3585" max="3585" width="6.453125" style="43" customWidth="1"/>
    <col min="3586" max="3586" width="7" style="43" customWidth="1"/>
    <col min="3587" max="3587" width="0" style="43" hidden="1" customWidth="1"/>
    <col min="3588" max="3589" width="6.54296875" style="43" customWidth="1"/>
    <col min="3590" max="3590" width="7.54296875" style="43" customWidth="1"/>
    <col min="3591" max="3591" width="2.54296875" style="43" customWidth="1"/>
    <col min="3592" max="3592" width="1.453125" style="43" customWidth="1"/>
    <col min="3593" max="3593" width="6.54296875" style="43" customWidth="1"/>
    <col min="3594" max="3594" width="6" style="43" customWidth="1"/>
    <col min="3595" max="3595" width="8.54296875" style="43" customWidth="1"/>
    <col min="3596" max="3596" width="7.54296875" style="43" customWidth="1"/>
    <col min="3597" max="3597" width="0" style="43" hidden="1" customWidth="1"/>
    <col min="3598" max="3598" width="25.453125" style="43" customWidth="1"/>
    <col min="3599" max="3599" width="0" style="43" hidden="1" customWidth="1"/>
    <col min="3600" max="3600" width="11.54296875" style="43" customWidth="1"/>
    <col min="3601" max="3601" width="9.54296875" style="43" customWidth="1"/>
    <col min="3602" max="3602" width="7.453125" style="43" customWidth="1"/>
    <col min="3603" max="3840" width="9.453125" style="43"/>
    <col min="3841" max="3841" width="6.453125" style="43" customWidth="1"/>
    <col min="3842" max="3842" width="7" style="43" customWidth="1"/>
    <col min="3843" max="3843" width="0" style="43" hidden="1" customWidth="1"/>
    <col min="3844" max="3845" width="6.54296875" style="43" customWidth="1"/>
    <col min="3846" max="3846" width="7.54296875" style="43" customWidth="1"/>
    <col min="3847" max="3847" width="2.54296875" style="43" customWidth="1"/>
    <col min="3848" max="3848" width="1.453125" style="43" customWidth="1"/>
    <col min="3849" max="3849" width="6.54296875" style="43" customWidth="1"/>
    <col min="3850" max="3850" width="6" style="43" customWidth="1"/>
    <col min="3851" max="3851" width="8.54296875" style="43" customWidth="1"/>
    <col min="3852" max="3852" width="7.54296875" style="43" customWidth="1"/>
    <col min="3853" max="3853" width="0" style="43" hidden="1" customWidth="1"/>
    <col min="3854" max="3854" width="25.453125" style="43" customWidth="1"/>
    <col min="3855" max="3855" width="0" style="43" hidden="1" customWidth="1"/>
    <col min="3856" max="3856" width="11.54296875" style="43" customWidth="1"/>
    <col min="3857" max="3857" width="9.54296875" style="43" customWidth="1"/>
    <col min="3858" max="3858" width="7.453125" style="43" customWidth="1"/>
    <col min="3859" max="4096" width="9.453125" style="43"/>
    <col min="4097" max="4097" width="6.453125" style="43" customWidth="1"/>
    <col min="4098" max="4098" width="7" style="43" customWidth="1"/>
    <col min="4099" max="4099" width="0" style="43" hidden="1" customWidth="1"/>
    <col min="4100" max="4101" width="6.54296875" style="43" customWidth="1"/>
    <col min="4102" max="4102" width="7.54296875" style="43" customWidth="1"/>
    <col min="4103" max="4103" width="2.54296875" style="43" customWidth="1"/>
    <col min="4104" max="4104" width="1.453125" style="43" customWidth="1"/>
    <col min="4105" max="4105" width="6.54296875" style="43" customWidth="1"/>
    <col min="4106" max="4106" width="6" style="43" customWidth="1"/>
    <col min="4107" max="4107" width="8.54296875" style="43" customWidth="1"/>
    <col min="4108" max="4108" width="7.54296875" style="43" customWidth="1"/>
    <col min="4109" max="4109" width="0" style="43" hidden="1" customWidth="1"/>
    <col min="4110" max="4110" width="25.453125" style="43" customWidth="1"/>
    <col min="4111" max="4111" width="0" style="43" hidden="1" customWidth="1"/>
    <col min="4112" max="4112" width="11.54296875" style="43" customWidth="1"/>
    <col min="4113" max="4113" width="9.54296875" style="43" customWidth="1"/>
    <col min="4114" max="4114" width="7.453125" style="43" customWidth="1"/>
    <col min="4115" max="4352" width="9.453125" style="43"/>
    <col min="4353" max="4353" width="6.453125" style="43" customWidth="1"/>
    <col min="4354" max="4354" width="7" style="43" customWidth="1"/>
    <col min="4355" max="4355" width="0" style="43" hidden="1" customWidth="1"/>
    <col min="4356" max="4357" width="6.54296875" style="43" customWidth="1"/>
    <col min="4358" max="4358" width="7.54296875" style="43" customWidth="1"/>
    <col min="4359" max="4359" width="2.54296875" style="43" customWidth="1"/>
    <col min="4360" max="4360" width="1.453125" style="43" customWidth="1"/>
    <col min="4361" max="4361" width="6.54296875" style="43" customWidth="1"/>
    <col min="4362" max="4362" width="6" style="43" customWidth="1"/>
    <col min="4363" max="4363" width="8.54296875" style="43" customWidth="1"/>
    <col min="4364" max="4364" width="7.54296875" style="43" customWidth="1"/>
    <col min="4365" max="4365" width="0" style="43" hidden="1" customWidth="1"/>
    <col min="4366" max="4366" width="25.453125" style="43" customWidth="1"/>
    <col min="4367" max="4367" width="0" style="43" hidden="1" customWidth="1"/>
    <col min="4368" max="4368" width="11.54296875" style="43" customWidth="1"/>
    <col min="4369" max="4369" width="9.54296875" style="43" customWidth="1"/>
    <col min="4370" max="4370" width="7.453125" style="43" customWidth="1"/>
    <col min="4371" max="4608" width="9.453125" style="43"/>
    <col min="4609" max="4609" width="6.453125" style="43" customWidth="1"/>
    <col min="4610" max="4610" width="7" style="43" customWidth="1"/>
    <col min="4611" max="4611" width="0" style="43" hidden="1" customWidth="1"/>
    <col min="4612" max="4613" width="6.54296875" style="43" customWidth="1"/>
    <col min="4614" max="4614" width="7.54296875" style="43" customWidth="1"/>
    <col min="4615" max="4615" width="2.54296875" style="43" customWidth="1"/>
    <col min="4616" max="4616" width="1.453125" style="43" customWidth="1"/>
    <col min="4617" max="4617" width="6.54296875" style="43" customWidth="1"/>
    <col min="4618" max="4618" width="6" style="43" customWidth="1"/>
    <col min="4619" max="4619" width="8.54296875" style="43" customWidth="1"/>
    <col min="4620" max="4620" width="7.54296875" style="43" customWidth="1"/>
    <col min="4621" max="4621" width="0" style="43" hidden="1" customWidth="1"/>
    <col min="4622" max="4622" width="25.453125" style="43" customWidth="1"/>
    <col min="4623" max="4623" width="0" style="43" hidden="1" customWidth="1"/>
    <col min="4624" max="4624" width="11.54296875" style="43" customWidth="1"/>
    <col min="4625" max="4625" width="9.54296875" style="43" customWidth="1"/>
    <col min="4626" max="4626" width="7.453125" style="43" customWidth="1"/>
    <col min="4627" max="4864" width="9.453125" style="43"/>
    <col min="4865" max="4865" width="6.453125" style="43" customWidth="1"/>
    <col min="4866" max="4866" width="7" style="43" customWidth="1"/>
    <col min="4867" max="4867" width="0" style="43" hidden="1" customWidth="1"/>
    <col min="4868" max="4869" width="6.54296875" style="43" customWidth="1"/>
    <col min="4870" max="4870" width="7.54296875" style="43" customWidth="1"/>
    <col min="4871" max="4871" width="2.54296875" style="43" customWidth="1"/>
    <col min="4872" max="4872" width="1.453125" style="43" customWidth="1"/>
    <col min="4873" max="4873" width="6.54296875" style="43" customWidth="1"/>
    <col min="4874" max="4874" width="6" style="43" customWidth="1"/>
    <col min="4875" max="4875" width="8.54296875" style="43" customWidth="1"/>
    <col min="4876" max="4876" width="7.54296875" style="43" customWidth="1"/>
    <col min="4877" max="4877" width="0" style="43" hidden="1" customWidth="1"/>
    <col min="4878" max="4878" width="25.453125" style="43" customWidth="1"/>
    <col min="4879" max="4879" width="0" style="43" hidden="1" customWidth="1"/>
    <col min="4880" max="4880" width="11.54296875" style="43" customWidth="1"/>
    <col min="4881" max="4881" width="9.54296875" style="43" customWidth="1"/>
    <col min="4882" max="4882" width="7.453125" style="43" customWidth="1"/>
    <col min="4883" max="5120" width="9.453125" style="43"/>
    <col min="5121" max="5121" width="6.453125" style="43" customWidth="1"/>
    <col min="5122" max="5122" width="7" style="43" customWidth="1"/>
    <col min="5123" max="5123" width="0" style="43" hidden="1" customWidth="1"/>
    <col min="5124" max="5125" width="6.54296875" style="43" customWidth="1"/>
    <col min="5126" max="5126" width="7.54296875" style="43" customWidth="1"/>
    <col min="5127" max="5127" width="2.54296875" style="43" customWidth="1"/>
    <col min="5128" max="5128" width="1.453125" style="43" customWidth="1"/>
    <col min="5129" max="5129" width="6.54296875" style="43" customWidth="1"/>
    <col min="5130" max="5130" width="6" style="43" customWidth="1"/>
    <col min="5131" max="5131" width="8.54296875" style="43" customWidth="1"/>
    <col min="5132" max="5132" width="7.54296875" style="43" customWidth="1"/>
    <col min="5133" max="5133" width="0" style="43" hidden="1" customWidth="1"/>
    <col min="5134" max="5134" width="25.453125" style="43" customWidth="1"/>
    <col min="5135" max="5135" width="0" style="43" hidden="1" customWidth="1"/>
    <col min="5136" max="5136" width="11.54296875" style="43" customWidth="1"/>
    <col min="5137" max="5137" width="9.54296875" style="43" customWidth="1"/>
    <col min="5138" max="5138" width="7.453125" style="43" customWidth="1"/>
    <col min="5139" max="5376" width="9.453125" style="43"/>
    <col min="5377" max="5377" width="6.453125" style="43" customWidth="1"/>
    <col min="5378" max="5378" width="7" style="43" customWidth="1"/>
    <col min="5379" max="5379" width="0" style="43" hidden="1" customWidth="1"/>
    <col min="5380" max="5381" width="6.54296875" style="43" customWidth="1"/>
    <col min="5382" max="5382" width="7.54296875" style="43" customWidth="1"/>
    <col min="5383" max="5383" width="2.54296875" style="43" customWidth="1"/>
    <col min="5384" max="5384" width="1.453125" style="43" customWidth="1"/>
    <col min="5385" max="5385" width="6.54296875" style="43" customWidth="1"/>
    <col min="5386" max="5386" width="6" style="43" customWidth="1"/>
    <col min="5387" max="5387" width="8.54296875" style="43" customWidth="1"/>
    <col min="5388" max="5388" width="7.54296875" style="43" customWidth="1"/>
    <col min="5389" max="5389" width="0" style="43" hidden="1" customWidth="1"/>
    <col min="5390" max="5390" width="25.453125" style="43" customWidth="1"/>
    <col min="5391" max="5391" width="0" style="43" hidden="1" customWidth="1"/>
    <col min="5392" max="5392" width="11.54296875" style="43" customWidth="1"/>
    <col min="5393" max="5393" width="9.54296875" style="43" customWidth="1"/>
    <col min="5394" max="5394" width="7.453125" style="43" customWidth="1"/>
    <col min="5395" max="5632" width="9.453125" style="43"/>
    <col min="5633" max="5633" width="6.453125" style="43" customWidth="1"/>
    <col min="5634" max="5634" width="7" style="43" customWidth="1"/>
    <col min="5635" max="5635" width="0" style="43" hidden="1" customWidth="1"/>
    <col min="5636" max="5637" width="6.54296875" style="43" customWidth="1"/>
    <col min="5638" max="5638" width="7.54296875" style="43" customWidth="1"/>
    <col min="5639" max="5639" width="2.54296875" style="43" customWidth="1"/>
    <col min="5640" max="5640" width="1.453125" style="43" customWidth="1"/>
    <col min="5641" max="5641" width="6.54296875" style="43" customWidth="1"/>
    <col min="5642" max="5642" width="6" style="43" customWidth="1"/>
    <col min="5643" max="5643" width="8.54296875" style="43" customWidth="1"/>
    <col min="5644" max="5644" width="7.54296875" style="43" customWidth="1"/>
    <col min="5645" max="5645" width="0" style="43" hidden="1" customWidth="1"/>
    <col min="5646" max="5646" width="25.453125" style="43" customWidth="1"/>
    <col min="5647" max="5647" width="0" style="43" hidden="1" customWidth="1"/>
    <col min="5648" max="5648" width="11.54296875" style="43" customWidth="1"/>
    <col min="5649" max="5649" width="9.54296875" style="43" customWidth="1"/>
    <col min="5650" max="5650" width="7.453125" style="43" customWidth="1"/>
    <col min="5651" max="5888" width="9.453125" style="43"/>
    <col min="5889" max="5889" width="6.453125" style="43" customWidth="1"/>
    <col min="5890" max="5890" width="7" style="43" customWidth="1"/>
    <col min="5891" max="5891" width="0" style="43" hidden="1" customWidth="1"/>
    <col min="5892" max="5893" width="6.54296875" style="43" customWidth="1"/>
    <col min="5894" max="5894" width="7.54296875" style="43" customWidth="1"/>
    <col min="5895" max="5895" width="2.54296875" style="43" customWidth="1"/>
    <col min="5896" max="5896" width="1.453125" style="43" customWidth="1"/>
    <col min="5897" max="5897" width="6.54296875" style="43" customWidth="1"/>
    <col min="5898" max="5898" width="6" style="43" customWidth="1"/>
    <col min="5899" max="5899" width="8.54296875" style="43" customWidth="1"/>
    <col min="5900" max="5900" width="7.54296875" style="43" customWidth="1"/>
    <col min="5901" max="5901" width="0" style="43" hidden="1" customWidth="1"/>
    <col min="5902" max="5902" width="25.453125" style="43" customWidth="1"/>
    <col min="5903" max="5903" width="0" style="43" hidden="1" customWidth="1"/>
    <col min="5904" max="5904" width="11.54296875" style="43" customWidth="1"/>
    <col min="5905" max="5905" width="9.54296875" style="43" customWidth="1"/>
    <col min="5906" max="5906" width="7.453125" style="43" customWidth="1"/>
    <col min="5907" max="6144" width="9.453125" style="43"/>
    <col min="6145" max="6145" width="6.453125" style="43" customWidth="1"/>
    <col min="6146" max="6146" width="7" style="43" customWidth="1"/>
    <col min="6147" max="6147" width="0" style="43" hidden="1" customWidth="1"/>
    <col min="6148" max="6149" width="6.54296875" style="43" customWidth="1"/>
    <col min="6150" max="6150" width="7.54296875" style="43" customWidth="1"/>
    <col min="6151" max="6151" width="2.54296875" style="43" customWidth="1"/>
    <col min="6152" max="6152" width="1.453125" style="43" customWidth="1"/>
    <col min="6153" max="6153" width="6.54296875" style="43" customWidth="1"/>
    <col min="6154" max="6154" width="6" style="43" customWidth="1"/>
    <col min="6155" max="6155" width="8.54296875" style="43" customWidth="1"/>
    <col min="6156" max="6156" width="7.54296875" style="43" customWidth="1"/>
    <col min="6157" max="6157" width="0" style="43" hidden="1" customWidth="1"/>
    <col min="6158" max="6158" width="25.453125" style="43" customWidth="1"/>
    <col min="6159" max="6159" width="0" style="43" hidden="1" customWidth="1"/>
    <col min="6160" max="6160" width="11.54296875" style="43" customWidth="1"/>
    <col min="6161" max="6161" width="9.54296875" style="43" customWidth="1"/>
    <col min="6162" max="6162" width="7.453125" style="43" customWidth="1"/>
    <col min="6163" max="6400" width="9.453125" style="43"/>
    <col min="6401" max="6401" width="6.453125" style="43" customWidth="1"/>
    <col min="6402" max="6402" width="7" style="43" customWidth="1"/>
    <col min="6403" max="6403" width="0" style="43" hidden="1" customWidth="1"/>
    <col min="6404" max="6405" width="6.54296875" style="43" customWidth="1"/>
    <col min="6406" max="6406" width="7.54296875" style="43" customWidth="1"/>
    <col min="6407" max="6407" width="2.54296875" style="43" customWidth="1"/>
    <col min="6408" max="6408" width="1.453125" style="43" customWidth="1"/>
    <col min="6409" max="6409" width="6.54296875" style="43" customWidth="1"/>
    <col min="6410" max="6410" width="6" style="43" customWidth="1"/>
    <col min="6411" max="6411" width="8.54296875" style="43" customWidth="1"/>
    <col min="6412" max="6412" width="7.54296875" style="43" customWidth="1"/>
    <col min="6413" max="6413" width="0" style="43" hidden="1" customWidth="1"/>
    <col min="6414" max="6414" width="25.453125" style="43" customWidth="1"/>
    <col min="6415" max="6415" width="0" style="43" hidden="1" customWidth="1"/>
    <col min="6416" max="6416" width="11.54296875" style="43" customWidth="1"/>
    <col min="6417" max="6417" width="9.54296875" style="43" customWidth="1"/>
    <col min="6418" max="6418" width="7.453125" style="43" customWidth="1"/>
    <col min="6419" max="6656" width="9.453125" style="43"/>
    <col min="6657" max="6657" width="6.453125" style="43" customWidth="1"/>
    <col min="6658" max="6658" width="7" style="43" customWidth="1"/>
    <col min="6659" max="6659" width="0" style="43" hidden="1" customWidth="1"/>
    <col min="6660" max="6661" width="6.54296875" style="43" customWidth="1"/>
    <col min="6662" max="6662" width="7.54296875" style="43" customWidth="1"/>
    <col min="6663" max="6663" width="2.54296875" style="43" customWidth="1"/>
    <col min="6664" max="6664" width="1.453125" style="43" customWidth="1"/>
    <col min="6665" max="6665" width="6.54296875" style="43" customWidth="1"/>
    <col min="6666" max="6666" width="6" style="43" customWidth="1"/>
    <col min="6667" max="6667" width="8.54296875" style="43" customWidth="1"/>
    <col min="6668" max="6668" width="7.54296875" style="43" customWidth="1"/>
    <col min="6669" max="6669" width="0" style="43" hidden="1" customWidth="1"/>
    <col min="6670" max="6670" width="25.453125" style="43" customWidth="1"/>
    <col min="6671" max="6671" width="0" style="43" hidden="1" customWidth="1"/>
    <col min="6672" max="6672" width="11.54296875" style="43" customWidth="1"/>
    <col min="6673" max="6673" width="9.54296875" style="43" customWidth="1"/>
    <col min="6674" max="6674" width="7.453125" style="43" customWidth="1"/>
    <col min="6675" max="6912" width="9.453125" style="43"/>
    <col min="6913" max="6913" width="6.453125" style="43" customWidth="1"/>
    <col min="6914" max="6914" width="7" style="43" customWidth="1"/>
    <col min="6915" max="6915" width="0" style="43" hidden="1" customWidth="1"/>
    <col min="6916" max="6917" width="6.54296875" style="43" customWidth="1"/>
    <col min="6918" max="6918" width="7.54296875" style="43" customWidth="1"/>
    <col min="6919" max="6919" width="2.54296875" style="43" customWidth="1"/>
    <col min="6920" max="6920" width="1.453125" style="43" customWidth="1"/>
    <col min="6921" max="6921" width="6.54296875" style="43" customWidth="1"/>
    <col min="6922" max="6922" width="6" style="43" customWidth="1"/>
    <col min="6923" max="6923" width="8.54296875" style="43" customWidth="1"/>
    <col min="6924" max="6924" width="7.54296875" style="43" customWidth="1"/>
    <col min="6925" max="6925" width="0" style="43" hidden="1" customWidth="1"/>
    <col min="6926" max="6926" width="25.453125" style="43" customWidth="1"/>
    <col min="6927" max="6927" width="0" style="43" hidden="1" customWidth="1"/>
    <col min="6928" max="6928" width="11.54296875" style="43" customWidth="1"/>
    <col min="6929" max="6929" width="9.54296875" style="43" customWidth="1"/>
    <col min="6930" max="6930" width="7.453125" style="43" customWidth="1"/>
    <col min="6931" max="7168" width="9.453125" style="43"/>
    <col min="7169" max="7169" width="6.453125" style="43" customWidth="1"/>
    <col min="7170" max="7170" width="7" style="43" customWidth="1"/>
    <col min="7171" max="7171" width="0" style="43" hidden="1" customWidth="1"/>
    <col min="7172" max="7173" width="6.54296875" style="43" customWidth="1"/>
    <col min="7174" max="7174" width="7.54296875" style="43" customWidth="1"/>
    <col min="7175" max="7175" width="2.54296875" style="43" customWidth="1"/>
    <col min="7176" max="7176" width="1.453125" style="43" customWidth="1"/>
    <col min="7177" max="7177" width="6.54296875" style="43" customWidth="1"/>
    <col min="7178" max="7178" width="6" style="43" customWidth="1"/>
    <col min="7179" max="7179" width="8.54296875" style="43" customWidth="1"/>
    <col min="7180" max="7180" width="7.54296875" style="43" customWidth="1"/>
    <col min="7181" max="7181" width="0" style="43" hidden="1" customWidth="1"/>
    <col min="7182" max="7182" width="25.453125" style="43" customWidth="1"/>
    <col min="7183" max="7183" width="0" style="43" hidden="1" customWidth="1"/>
    <col min="7184" max="7184" width="11.54296875" style="43" customWidth="1"/>
    <col min="7185" max="7185" width="9.54296875" style="43" customWidth="1"/>
    <col min="7186" max="7186" width="7.453125" style="43" customWidth="1"/>
    <col min="7187" max="7424" width="9.453125" style="43"/>
    <col min="7425" max="7425" width="6.453125" style="43" customWidth="1"/>
    <col min="7426" max="7426" width="7" style="43" customWidth="1"/>
    <col min="7427" max="7427" width="0" style="43" hidden="1" customWidth="1"/>
    <col min="7428" max="7429" width="6.54296875" style="43" customWidth="1"/>
    <col min="7430" max="7430" width="7.54296875" style="43" customWidth="1"/>
    <col min="7431" max="7431" width="2.54296875" style="43" customWidth="1"/>
    <col min="7432" max="7432" width="1.453125" style="43" customWidth="1"/>
    <col min="7433" max="7433" width="6.54296875" style="43" customWidth="1"/>
    <col min="7434" max="7434" width="6" style="43" customWidth="1"/>
    <col min="7435" max="7435" width="8.54296875" style="43" customWidth="1"/>
    <col min="7436" max="7436" width="7.54296875" style="43" customWidth="1"/>
    <col min="7437" max="7437" width="0" style="43" hidden="1" customWidth="1"/>
    <col min="7438" max="7438" width="25.453125" style="43" customWidth="1"/>
    <col min="7439" max="7439" width="0" style="43" hidden="1" customWidth="1"/>
    <col min="7440" max="7440" width="11.54296875" style="43" customWidth="1"/>
    <col min="7441" max="7441" width="9.54296875" style="43" customWidth="1"/>
    <col min="7442" max="7442" width="7.453125" style="43" customWidth="1"/>
    <col min="7443" max="7680" width="9.453125" style="43"/>
    <col min="7681" max="7681" width="6.453125" style="43" customWidth="1"/>
    <col min="7682" max="7682" width="7" style="43" customWidth="1"/>
    <col min="7683" max="7683" width="0" style="43" hidden="1" customWidth="1"/>
    <col min="7684" max="7685" width="6.54296875" style="43" customWidth="1"/>
    <col min="7686" max="7686" width="7.54296875" style="43" customWidth="1"/>
    <col min="7687" max="7687" width="2.54296875" style="43" customWidth="1"/>
    <col min="7688" max="7688" width="1.453125" style="43" customWidth="1"/>
    <col min="7689" max="7689" width="6.54296875" style="43" customWidth="1"/>
    <col min="7690" max="7690" width="6" style="43" customWidth="1"/>
    <col min="7691" max="7691" width="8.54296875" style="43" customWidth="1"/>
    <col min="7692" max="7692" width="7.54296875" style="43" customWidth="1"/>
    <col min="7693" max="7693" width="0" style="43" hidden="1" customWidth="1"/>
    <col min="7694" max="7694" width="25.453125" style="43" customWidth="1"/>
    <col min="7695" max="7695" width="0" style="43" hidden="1" customWidth="1"/>
    <col min="7696" max="7696" width="11.54296875" style="43" customWidth="1"/>
    <col min="7697" max="7697" width="9.54296875" style="43" customWidth="1"/>
    <col min="7698" max="7698" width="7.453125" style="43" customWidth="1"/>
    <col min="7699" max="7936" width="9.453125" style="43"/>
    <col min="7937" max="7937" width="6.453125" style="43" customWidth="1"/>
    <col min="7938" max="7938" width="7" style="43" customWidth="1"/>
    <col min="7939" max="7939" width="0" style="43" hidden="1" customWidth="1"/>
    <col min="7940" max="7941" width="6.54296875" style="43" customWidth="1"/>
    <col min="7942" max="7942" width="7.54296875" style="43" customWidth="1"/>
    <col min="7943" max="7943" width="2.54296875" style="43" customWidth="1"/>
    <col min="7944" max="7944" width="1.453125" style="43" customWidth="1"/>
    <col min="7945" max="7945" width="6.54296875" style="43" customWidth="1"/>
    <col min="7946" max="7946" width="6" style="43" customWidth="1"/>
    <col min="7947" max="7947" width="8.54296875" style="43" customWidth="1"/>
    <col min="7948" max="7948" width="7.54296875" style="43" customWidth="1"/>
    <col min="7949" max="7949" width="0" style="43" hidden="1" customWidth="1"/>
    <col min="7950" max="7950" width="25.453125" style="43" customWidth="1"/>
    <col min="7951" max="7951" width="0" style="43" hidden="1" customWidth="1"/>
    <col min="7952" max="7952" width="11.54296875" style="43" customWidth="1"/>
    <col min="7953" max="7953" width="9.54296875" style="43" customWidth="1"/>
    <col min="7954" max="7954" width="7.453125" style="43" customWidth="1"/>
    <col min="7955" max="8192" width="9.453125" style="43"/>
    <col min="8193" max="8193" width="6.453125" style="43" customWidth="1"/>
    <col min="8194" max="8194" width="7" style="43" customWidth="1"/>
    <col min="8195" max="8195" width="0" style="43" hidden="1" customWidth="1"/>
    <col min="8196" max="8197" width="6.54296875" style="43" customWidth="1"/>
    <col min="8198" max="8198" width="7.54296875" style="43" customWidth="1"/>
    <col min="8199" max="8199" width="2.54296875" style="43" customWidth="1"/>
    <col min="8200" max="8200" width="1.453125" style="43" customWidth="1"/>
    <col min="8201" max="8201" width="6.54296875" style="43" customWidth="1"/>
    <col min="8202" max="8202" width="6" style="43" customWidth="1"/>
    <col min="8203" max="8203" width="8.54296875" style="43" customWidth="1"/>
    <col min="8204" max="8204" width="7.54296875" style="43" customWidth="1"/>
    <col min="8205" max="8205" width="0" style="43" hidden="1" customWidth="1"/>
    <col min="8206" max="8206" width="25.453125" style="43" customWidth="1"/>
    <col min="8207" max="8207" width="0" style="43" hidden="1" customWidth="1"/>
    <col min="8208" max="8208" width="11.54296875" style="43" customWidth="1"/>
    <col min="8209" max="8209" width="9.54296875" style="43" customWidth="1"/>
    <col min="8210" max="8210" width="7.453125" style="43" customWidth="1"/>
    <col min="8211" max="8448" width="9.453125" style="43"/>
    <col min="8449" max="8449" width="6.453125" style="43" customWidth="1"/>
    <col min="8450" max="8450" width="7" style="43" customWidth="1"/>
    <col min="8451" max="8451" width="0" style="43" hidden="1" customWidth="1"/>
    <col min="8452" max="8453" width="6.54296875" style="43" customWidth="1"/>
    <col min="8454" max="8454" width="7.54296875" style="43" customWidth="1"/>
    <col min="8455" max="8455" width="2.54296875" style="43" customWidth="1"/>
    <col min="8456" max="8456" width="1.453125" style="43" customWidth="1"/>
    <col min="8457" max="8457" width="6.54296875" style="43" customWidth="1"/>
    <col min="8458" max="8458" width="6" style="43" customWidth="1"/>
    <col min="8459" max="8459" width="8.54296875" style="43" customWidth="1"/>
    <col min="8460" max="8460" width="7.54296875" style="43" customWidth="1"/>
    <col min="8461" max="8461" width="0" style="43" hidden="1" customWidth="1"/>
    <col min="8462" max="8462" width="25.453125" style="43" customWidth="1"/>
    <col min="8463" max="8463" width="0" style="43" hidden="1" customWidth="1"/>
    <col min="8464" max="8464" width="11.54296875" style="43" customWidth="1"/>
    <col min="8465" max="8465" width="9.54296875" style="43" customWidth="1"/>
    <col min="8466" max="8466" width="7.453125" style="43" customWidth="1"/>
    <col min="8467" max="8704" width="9.453125" style="43"/>
    <col min="8705" max="8705" width="6.453125" style="43" customWidth="1"/>
    <col min="8706" max="8706" width="7" style="43" customWidth="1"/>
    <col min="8707" max="8707" width="0" style="43" hidden="1" customWidth="1"/>
    <col min="8708" max="8709" width="6.54296875" style="43" customWidth="1"/>
    <col min="8710" max="8710" width="7.54296875" style="43" customWidth="1"/>
    <col min="8711" max="8711" width="2.54296875" style="43" customWidth="1"/>
    <col min="8712" max="8712" width="1.453125" style="43" customWidth="1"/>
    <col min="8713" max="8713" width="6.54296875" style="43" customWidth="1"/>
    <col min="8714" max="8714" width="6" style="43" customWidth="1"/>
    <col min="8715" max="8715" width="8.54296875" style="43" customWidth="1"/>
    <col min="8716" max="8716" width="7.54296875" style="43" customWidth="1"/>
    <col min="8717" max="8717" width="0" style="43" hidden="1" customWidth="1"/>
    <col min="8718" max="8718" width="25.453125" style="43" customWidth="1"/>
    <col min="8719" max="8719" width="0" style="43" hidden="1" customWidth="1"/>
    <col min="8720" max="8720" width="11.54296875" style="43" customWidth="1"/>
    <col min="8721" max="8721" width="9.54296875" style="43" customWidth="1"/>
    <col min="8722" max="8722" width="7.453125" style="43" customWidth="1"/>
    <col min="8723" max="8960" width="9.453125" style="43"/>
    <col min="8961" max="8961" width="6.453125" style="43" customWidth="1"/>
    <col min="8962" max="8962" width="7" style="43" customWidth="1"/>
    <col min="8963" max="8963" width="0" style="43" hidden="1" customWidth="1"/>
    <col min="8964" max="8965" width="6.54296875" style="43" customWidth="1"/>
    <col min="8966" max="8966" width="7.54296875" style="43" customWidth="1"/>
    <col min="8967" max="8967" width="2.54296875" style="43" customWidth="1"/>
    <col min="8968" max="8968" width="1.453125" style="43" customWidth="1"/>
    <col min="8969" max="8969" width="6.54296875" style="43" customWidth="1"/>
    <col min="8970" max="8970" width="6" style="43" customWidth="1"/>
    <col min="8971" max="8971" width="8.54296875" style="43" customWidth="1"/>
    <col min="8972" max="8972" width="7.54296875" style="43" customWidth="1"/>
    <col min="8973" max="8973" width="0" style="43" hidden="1" customWidth="1"/>
    <col min="8974" max="8974" width="25.453125" style="43" customWidth="1"/>
    <col min="8975" max="8975" width="0" style="43" hidden="1" customWidth="1"/>
    <col min="8976" max="8976" width="11.54296875" style="43" customWidth="1"/>
    <col min="8977" max="8977" width="9.54296875" style="43" customWidth="1"/>
    <col min="8978" max="8978" width="7.453125" style="43" customWidth="1"/>
    <col min="8979" max="9216" width="9.453125" style="43"/>
    <col min="9217" max="9217" width="6.453125" style="43" customWidth="1"/>
    <col min="9218" max="9218" width="7" style="43" customWidth="1"/>
    <col min="9219" max="9219" width="0" style="43" hidden="1" customWidth="1"/>
    <col min="9220" max="9221" width="6.54296875" style="43" customWidth="1"/>
    <col min="9222" max="9222" width="7.54296875" style="43" customWidth="1"/>
    <col min="9223" max="9223" width="2.54296875" style="43" customWidth="1"/>
    <col min="9224" max="9224" width="1.453125" style="43" customWidth="1"/>
    <col min="9225" max="9225" width="6.54296875" style="43" customWidth="1"/>
    <col min="9226" max="9226" width="6" style="43" customWidth="1"/>
    <col min="9227" max="9227" width="8.54296875" style="43" customWidth="1"/>
    <col min="9228" max="9228" width="7.54296875" style="43" customWidth="1"/>
    <col min="9229" max="9229" width="0" style="43" hidden="1" customWidth="1"/>
    <col min="9230" max="9230" width="25.453125" style="43" customWidth="1"/>
    <col min="9231" max="9231" width="0" style="43" hidden="1" customWidth="1"/>
    <col min="9232" max="9232" width="11.54296875" style="43" customWidth="1"/>
    <col min="9233" max="9233" width="9.54296875" style="43" customWidth="1"/>
    <col min="9234" max="9234" width="7.453125" style="43" customWidth="1"/>
    <col min="9235" max="9472" width="9.453125" style="43"/>
    <col min="9473" max="9473" width="6.453125" style="43" customWidth="1"/>
    <col min="9474" max="9474" width="7" style="43" customWidth="1"/>
    <col min="9475" max="9475" width="0" style="43" hidden="1" customWidth="1"/>
    <col min="9476" max="9477" width="6.54296875" style="43" customWidth="1"/>
    <col min="9478" max="9478" width="7.54296875" style="43" customWidth="1"/>
    <col min="9479" max="9479" width="2.54296875" style="43" customWidth="1"/>
    <col min="9480" max="9480" width="1.453125" style="43" customWidth="1"/>
    <col min="9481" max="9481" width="6.54296875" style="43" customWidth="1"/>
    <col min="9482" max="9482" width="6" style="43" customWidth="1"/>
    <col min="9483" max="9483" width="8.54296875" style="43" customWidth="1"/>
    <col min="9484" max="9484" width="7.54296875" style="43" customWidth="1"/>
    <col min="9485" max="9485" width="0" style="43" hidden="1" customWidth="1"/>
    <col min="9486" max="9486" width="25.453125" style="43" customWidth="1"/>
    <col min="9487" max="9487" width="0" style="43" hidden="1" customWidth="1"/>
    <col min="9488" max="9488" width="11.54296875" style="43" customWidth="1"/>
    <col min="9489" max="9489" width="9.54296875" style="43" customWidth="1"/>
    <col min="9490" max="9490" width="7.453125" style="43" customWidth="1"/>
    <col min="9491" max="9728" width="9.453125" style="43"/>
    <col min="9729" max="9729" width="6.453125" style="43" customWidth="1"/>
    <col min="9730" max="9730" width="7" style="43" customWidth="1"/>
    <col min="9731" max="9731" width="0" style="43" hidden="1" customWidth="1"/>
    <col min="9732" max="9733" width="6.54296875" style="43" customWidth="1"/>
    <col min="9734" max="9734" width="7.54296875" style="43" customWidth="1"/>
    <col min="9735" max="9735" width="2.54296875" style="43" customWidth="1"/>
    <col min="9736" max="9736" width="1.453125" style="43" customWidth="1"/>
    <col min="9737" max="9737" width="6.54296875" style="43" customWidth="1"/>
    <col min="9738" max="9738" width="6" style="43" customWidth="1"/>
    <col min="9739" max="9739" width="8.54296875" style="43" customWidth="1"/>
    <col min="9740" max="9740" width="7.54296875" style="43" customWidth="1"/>
    <col min="9741" max="9741" width="0" style="43" hidden="1" customWidth="1"/>
    <col min="9742" max="9742" width="25.453125" style="43" customWidth="1"/>
    <col min="9743" max="9743" width="0" style="43" hidden="1" customWidth="1"/>
    <col min="9744" max="9744" width="11.54296875" style="43" customWidth="1"/>
    <col min="9745" max="9745" width="9.54296875" style="43" customWidth="1"/>
    <col min="9746" max="9746" width="7.453125" style="43" customWidth="1"/>
    <col min="9747" max="9984" width="9.453125" style="43"/>
    <col min="9985" max="9985" width="6.453125" style="43" customWidth="1"/>
    <col min="9986" max="9986" width="7" style="43" customWidth="1"/>
    <col min="9987" max="9987" width="0" style="43" hidden="1" customWidth="1"/>
    <col min="9988" max="9989" width="6.54296875" style="43" customWidth="1"/>
    <col min="9990" max="9990" width="7.54296875" style="43" customWidth="1"/>
    <col min="9991" max="9991" width="2.54296875" style="43" customWidth="1"/>
    <col min="9992" max="9992" width="1.453125" style="43" customWidth="1"/>
    <col min="9993" max="9993" width="6.54296875" style="43" customWidth="1"/>
    <col min="9994" max="9994" width="6" style="43" customWidth="1"/>
    <col min="9995" max="9995" width="8.54296875" style="43" customWidth="1"/>
    <col min="9996" max="9996" width="7.54296875" style="43" customWidth="1"/>
    <col min="9997" max="9997" width="0" style="43" hidden="1" customWidth="1"/>
    <col min="9998" max="9998" width="25.453125" style="43" customWidth="1"/>
    <col min="9999" max="9999" width="0" style="43" hidden="1" customWidth="1"/>
    <col min="10000" max="10000" width="11.54296875" style="43" customWidth="1"/>
    <col min="10001" max="10001" width="9.54296875" style="43" customWidth="1"/>
    <col min="10002" max="10002" width="7.453125" style="43" customWidth="1"/>
    <col min="10003" max="10240" width="9.453125" style="43"/>
    <col min="10241" max="10241" width="6.453125" style="43" customWidth="1"/>
    <col min="10242" max="10242" width="7" style="43" customWidth="1"/>
    <col min="10243" max="10243" width="0" style="43" hidden="1" customWidth="1"/>
    <col min="10244" max="10245" width="6.54296875" style="43" customWidth="1"/>
    <col min="10246" max="10246" width="7.54296875" style="43" customWidth="1"/>
    <col min="10247" max="10247" width="2.54296875" style="43" customWidth="1"/>
    <col min="10248" max="10248" width="1.453125" style="43" customWidth="1"/>
    <col min="10249" max="10249" width="6.54296875" style="43" customWidth="1"/>
    <col min="10250" max="10250" width="6" style="43" customWidth="1"/>
    <col min="10251" max="10251" width="8.54296875" style="43" customWidth="1"/>
    <col min="10252" max="10252" width="7.54296875" style="43" customWidth="1"/>
    <col min="10253" max="10253" width="0" style="43" hidden="1" customWidth="1"/>
    <col min="10254" max="10254" width="25.453125" style="43" customWidth="1"/>
    <col min="10255" max="10255" width="0" style="43" hidden="1" customWidth="1"/>
    <col min="10256" max="10256" width="11.54296875" style="43" customWidth="1"/>
    <col min="10257" max="10257" width="9.54296875" style="43" customWidth="1"/>
    <col min="10258" max="10258" width="7.453125" style="43" customWidth="1"/>
    <col min="10259" max="10496" width="9.453125" style="43"/>
    <col min="10497" max="10497" width="6.453125" style="43" customWidth="1"/>
    <col min="10498" max="10498" width="7" style="43" customWidth="1"/>
    <col min="10499" max="10499" width="0" style="43" hidden="1" customWidth="1"/>
    <col min="10500" max="10501" width="6.54296875" style="43" customWidth="1"/>
    <col min="10502" max="10502" width="7.54296875" style="43" customWidth="1"/>
    <col min="10503" max="10503" width="2.54296875" style="43" customWidth="1"/>
    <col min="10504" max="10504" width="1.453125" style="43" customWidth="1"/>
    <col min="10505" max="10505" width="6.54296875" style="43" customWidth="1"/>
    <col min="10506" max="10506" width="6" style="43" customWidth="1"/>
    <col min="10507" max="10507" width="8.54296875" style="43" customWidth="1"/>
    <col min="10508" max="10508" width="7.54296875" style="43" customWidth="1"/>
    <col min="10509" max="10509" width="0" style="43" hidden="1" customWidth="1"/>
    <col min="10510" max="10510" width="25.453125" style="43" customWidth="1"/>
    <col min="10511" max="10511" width="0" style="43" hidden="1" customWidth="1"/>
    <col min="10512" max="10512" width="11.54296875" style="43" customWidth="1"/>
    <col min="10513" max="10513" width="9.54296875" style="43" customWidth="1"/>
    <col min="10514" max="10514" width="7.453125" style="43" customWidth="1"/>
    <col min="10515" max="10752" width="9.453125" style="43"/>
    <col min="10753" max="10753" width="6.453125" style="43" customWidth="1"/>
    <col min="10754" max="10754" width="7" style="43" customWidth="1"/>
    <col min="10755" max="10755" width="0" style="43" hidden="1" customWidth="1"/>
    <col min="10756" max="10757" width="6.54296875" style="43" customWidth="1"/>
    <col min="10758" max="10758" width="7.54296875" style="43" customWidth="1"/>
    <col min="10759" max="10759" width="2.54296875" style="43" customWidth="1"/>
    <col min="10760" max="10760" width="1.453125" style="43" customWidth="1"/>
    <col min="10761" max="10761" width="6.54296875" style="43" customWidth="1"/>
    <col min="10762" max="10762" width="6" style="43" customWidth="1"/>
    <col min="10763" max="10763" width="8.54296875" style="43" customWidth="1"/>
    <col min="10764" max="10764" width="7.54296875" style="43" customWidth="1"/>
    <col min="10765" max="10765" width="0" style="43" hidden="1" customWidth="1"/>
    <col min="10766" max="10766" width="25.453125" style="43" customWidth="1"/>
    <col min="10767" max="10767" width="0" style="43" hidden="1" customWidth="1"/>
    <col min="10768" max="10768" width="11.54296875" style="43" customWidth="1"/>
    <col min="10769" max="10769" width="9.54296875" style="43" customWidth="1"/>
    <col min="10770" max="10770" width="7.453125" style="43" customWidth="1"/>
    <col min="10771" max="11008" width="9.453125" style="43"/>
    <col min="11009" max="11009" width="6.453125" style="43" customWidth="1"/>
    <col min="11010" max="11010" width="7" style="43" customWidth="1"/>
    <col min="11011" max="11011" width="0" style="43" hidden="1" customWidth="1"/>
    <col min="11012" max="11013" width="6.54296875" style="43" customWidth="1"/>
    <col min="11014" max="11014" width="7.54296875" style="43" customWidth="1"/>
    <col min="11015" max="11015" width="2.54296875" style="43" customWidth="1"/>
    <col min="11016" max="11016" width="1.453125" style="43" customWidth="1"/>
    <col min="11017" max="11017" width="6.54296875" style="43" customWidth="1"/>
    <col min="11018" max="11018" width="6" style="43" customWidth="1"/>
    <col min="11019" max="11019" width="8.54296875" style="43" customWidth="1"/>
    <col min="11020" max="11020" width="7.54296875" style="43" customWidth="1"/>
    <col min="11021" max="11021" width="0" style="43" hidden="1" customWidth="1"/>
    <col min="11022" max="11022" width="25.453125" style="43" customWidth="1"/>
    <col min="11023" max="11023" width="0" style="43" hidden="1" customWidth="1"/>
    <col min="11024" max="11024" width="11.54296875" style="43" customWidth="1"/>
    <col min="11025" max="11025" width="9.54296875" style="43" customWidth="1"/>
    <col min="11026" max="11026" width="7.453125" style="43" customWidth="1"/>
    <col min="11027" max="11264" width="9.453125" style="43"/>
    <col min="11265" max="11265" width="6.453125" style="43" customWidth="1"/>
    <col min="11266" max="11266" width="7" style="43" customWidth="1"/>
    <col min="11267" max="11267" width="0" style="43" hidden="1" customWidth="1"/>
    <col min="11268" max="11269" width="6.54296875" style="43" customWidth="1"/>
    <col min="11270" max="11270" width="7.54296875" style="43" customWidth="1"/>
    <col min="11271" max="11271" width="2.54296875" style="43" customWidth="1"/>
    <col min="11272" max="11272" width="1.453125" style="43" customWidth="1"/>
    <col min="11273" max="11273" width="6.54296875" style="43" customWidth="1"/>
    <col min="11274" max="11274" width="6" style="43" customWidth="1"/>
    <col min="11275" max="11275" width="8.54296875" style="43" customWidth="1"/>
    <col min="11276" max="11276" width="7.54296875" style="43" customWidth="1"/>
    <col min="11277" max="11277" width="0" style="43" hidden="1" customWidth="1"/>
    <col min="11278" max="11278" width="25.453125" style="43" customWidth="1"/>
    <col min="11279" max="11279" width="0" style="43" hidden="1" customWidth="1"/>
    <col min="11280" max="11280" width="11.54296875" style="43" customWidth="1"/>
    <col min="11281" max="11281" width="9.54296875" style="43" customWidth="1"/>
    <col min="11282" max="11282" width="7.453125" style="43" customWidth="1"/>
    <col min="11283" max="11520" width="9.453125" style="43"/>
    <col min="11521" max="11521" width="6.453125" style="43" customWidth="1"/>
    <col min="11522" max="11522" width="7" style="43" customWidth="1"/>
    <col min="11523" max="11523" width="0" style="43" hidden="1" customWidth="1"/>
    <col min="11524" max="11525" width="6.54296875" style="43" customWidth="1"/>
    <col min="11526" max="11526" width="7.54296875" style="43" customWidth="1"/>
    <col min="11527" max="11527" width="2.54296875" style="43" customWidth="1"/>
    <col min="11528" max="11528" width="1.453125" style="43" customWidth="1"/>
    <col min="11529" max="11529" width="6.54296875" style="43" customWidth="1"/>
    <col min="11530" max="11530" width="6" style="43" customWidth="1"/>
    <col min="11531" max="11531" width="8.54296875" style="43" customWidth="1"/>
    <col min="11532" max="11532" width="7.54296875" style="43" customWidth="1"/>
    <col min="11533" max="11533" width="0" style="43" hidden="1" customWidth="1"/>
    <col min="11534" max="11534" width="25.453125" style="43" customWidth="1"/>
    <col min="11535" max="11535" width="0" style="43" hidden="1" customWidth="1"/>
    <col min="11536" max="11536" width="11.54296875" style="43" customWidth="1"/>
    <col min="11537" max="11537" width="9.54296875" style="43" customWidth="1"/>
    <col min="11538" max="11538" width="7.453125" style="43" customWidth="1"/>
    <col min="11539" max="11776" width="9.453125" style="43"/>
    <col min="11777" max="11777" width="6.453125" style="43" customWidth="1"/>
    <col min="11778" max="11778" width="7" style="43" customWidth="1"/>
    <col min="11779" max="11779" width="0" style="43" hidden="1" customWidth="1"/>
    <col min="11780" max="11781" width="6.54296875" style="43" customWidth="1"/>
    <col min="11782" max="11782" width="7.54296875" style="43" customWidth="1"/>
    <col min="11783" max="11783" width="2.54296875" style="43" customWidth="1"/>
    <col min="11784" max="11784" width="1.453125" style="43" customWidth="1"/>
    <col min="11785" max="11785" width="6.54296875" style="43" customWidth="1"/>
    <col min="11786" max="11786" width="6" style="43" customWidth="1"/>
    <col min="11787" max="11787" width="8.54296875" style="43" customWidth="1"/>
    <col min="11788" max="11788" width="7.54296875" style="43" customWidth="1"/>
    <col min="11789" max="11789" width="0" style="43" hidden="1" customWidth="1"/>
    <col min="11790" max="11790" width="25.453125" style="43" customWidth="1"/>
    <col min="11791" max="11791" width="0" style="43" hidden="1" customWidth="1"/>
    <col min="11792" max="11792" width="11.54296875" style="43" customWidth="1"/>
    <col min="11793" max="11793" width="9.54296875" style="43" customWidth="1"/>
    <col min="11794" max="11794" width="7.453125" style="43" customWidth="1"/>
    <col min="11795" max="12032" width="9.453125" style="43"/>
    <col min="12033" max="12033" width="6.453125" style="43" customWidth="1"/>
    <col min="12034" max="12034" width="7" style="43" customWidth="1"/>
    <col min="12035" max="12035" width="0" style="43" hidden="1" customWidth="1"/>
    <col min="12036" max="12037" width="6.54296875" style="43" customWidth="1"/>
    <col min="12038" max="12038" width="7.54296875" style="43" customWidth="1"/>
    <col min="12039" max="12039" width="2.54296875" style="43" customWidth="1"/>
    <col min="12040" max="12040" width="1.453125" style="43" customWidth="1"/>
    <col min="12041" max="12041" width="6.54296875" style="43" customWidth="1"/>
    <col min="12042" max="12042" width="6" style="43" customWidth="1"/>
    <col min="12043" max="12043" width="8.54296875" style="43" customWidth="1"/>
    <col min="12044" max="12044" width="7.54296875" style="43" customWidth="1"/>
    <col min="12045" max="12045" width="0" style="43" hidden="1" customWidth="1"/>
    <col min="12046" max="12046" width="25.453125" style="43" customWidth="1"/>
    <col min="12047" max="12047" width="0" style="43" hidden="1" customWidth="1"/>
    <col min="12048" max="12048" width="11.54296875" style="43" customWidth="1"/>
    <col min="12049" max="12049" width="9.54296875" style="43" customWidth="1"/>
    <col min="12050" max="12050" width="7.453125" style="43" customWidth="1"/>
    <col min="12051" max="12288" width="9.453125" style="43"/>
    <col min="12289" max="12289" width="6.453125" style="43" customWidth="1"/>
    <col min="12290" max="12290" width="7" style="43" customWidth="1"/>
    <col min="12291" max="12291" width="0" style="43" hidden="1" customWidth="1"/>
    <col min="12292" max="12293" width="6.54296875" style="43" customWidth="1"/>
    <col min="12294" max="12294" width="7.54296875" style="43" customWidth="1"/>
    <col min="12295" max="12295" width="2.54296875" style="43" customWidth="1"/>
    <col min="12296" max="12296" width="1.453125" style="43" customWidth="1"/>
    <col min="12297" max="12297" width="6.54296875" style="43" customWidth="1"/>
    <col min="12298" max="12298" width="6" style="43" customWidth="1"/>
    <col min="12299" max="12299" width="8.54296875" style="43" customWidth="1"/>
    <col min="12300" max="12300" width="7.54296875" style="43" customWidth="1"/>
    <col min="12301" max="12301" width="0" style="43" hidden="1" customWidth="1"/>
    <col min="12302" max="12302" width="25.453125" style="43" customWidth="1"/>
    <col min="12303" max="12303" width="0" style="43" hidden="1" customWidth="1"/>
    <col min="12304" max="12304" width="11.54296875" style="43" customWidth="1"/>
    <col min="12305" max="12305" width="9.54296875" style="43" customWidth="1"/>
    <col min="12306" max="12306" width="7.453125" style="43" customWidth="1"/>
    <col min="12307" max="12544" width="9.453125" style="43"/>
    <col min="12545" max="12545" width="6.453125" style="43" customWidth="1"/>
    <col min="12546" max="12546" width="7" style="43" customWidth="1"/>
    <col min="12547" max="12547" width="0" style="43" hidden="1" customWidth="1"/>
    <col min="12548" max="12549" width="6.54296875" style="43" customWidth="1"/>
    <col min="12550" max="12550" width="7.54296875" style="43" customWidth="1"/>
    <col min="12551" max="12551" width="2.54296875" style="43" customWidth="1"/>
    <col min="12552" max="12552" width="1.453125" style="43" customWidth="1"/>
    <col min="12553" max="12553" width="6.54296875" style="43" customWidth="1"/>
    <col min="12554" max="12554" width="6" style="43" customWidth="1"/>
    <col min="12555" max="12555" width="8.54296875" style="43" customWidth="1"/>
    <col min="12556" max="12556" width="7.54296875" style="43" customWidth="1"/>
    <col min="12557" max="12557" width="0" style="43" hidden="1" customWidth="1"/>
    <col min="12558" max="12558" width="25.453125" style="43" customWidth="1"/>
    <col min="12559" max="12559" width="0" style="43" hidden="1" customWidth="1"/>
    <col min="12560" max="12560" width="11.54296875" style="43" customWidth="1"/>
    <col min="12561" max="12561" width="9.54296875" style="43" customWidth="1"/>
    <col min="12562" max="12562" width="7.453125" style="43" customWidth="1"/>
    <col min="12563" max="12800" width="9.453125" style="43"/>
    <col min="12801" max="12801" width="6.453125" style="43" customWidth="1"/>
    <col min="12802" max="12802" width="7" style="43" customWidth="1"/>
    <col min="12803" max="12803" width="0" style="43" hidden="1" customWidth="1"/>
    <col min="12804" max="12805" width="6.54296875" style="43" customWidth="1"/>
    <col min="12806" max="12806" width="7.54296875" style="43" customWidth="1"/>
    <col min="12807" max="12807" width="2.54296875" style="43" customWidth="1"/>
    <col min="12808" max="12808" width="1.453125" style="43" customWidth="1"/>
    <col min="12809" max="12809" width="6.54296875" style="43" customWidth="1"/>
    <col min="12810" max="12810" width="6" style="43" customWidth="1"/>
    <col min="12811" max="12811" width="8.54296875" style="43" customWidth="1"/>
    <col min="12812" max="12812" width="7.54296875" style="43" customWidth="1"/>
    <col min="12813" max="12813" width="0" style="43" hidden="1" customWidth="1"/>
    <col min="12814" max="12814" width="25.453125" style="43" customWidth="1"/>
    <col min="12815" max="12815" width="0" style="43" hidden="1" customWidth="1"/>
    <col min="12816" max="12816" width="11.54296875" style="43" customWidth="1"/>
    <col min="12817" max="12817" width="9.54296875" style="43" customWidth="1"/>
    <col min="12818" max="12818" width="7.453125" style="43" customWidth="1"/>
    <col min="12819" max="13056" width="9.453125" style="43"/>
    <col min="13057" max="13057" width="6.453125" style="43" customWidth="1"/>
    <col min="13058" max="13058" width="7" style="43" customWidth="1"/>
    <col min="13059" max="13059" width="0" style="43" hidden="1" customWidth="1"/>
    <col min="13060" max="13061" width="6.54296875" style="43" customWidth="1"/>
    <col min="13062" max="13062" width="7.54296875" style="43" customWidth="1"/>
    <col min="13063" max="13063" width="2.54296875" style="43" customWidth="1"/>
    <col min="13064" max="13064" width="1.453125" style="43" customWidth="1"/>
    <col min="13065" max="13065" width="6.54296875" style="43" customWidth="1"/>
    <col min="13066" max="13066" width="6" style="43" customWidth="1"/>
    <col min="13067" max="13067" width="8.54296875" style="43" customWidth="1"/>
    <col min="13068" max="13068" width="7.54296875" style="43" customWidth="1"/>
    <col min="13069" max="13069" width="0" style="43" hidden="1" customWidth="1"/>
    <col min="13070" max="13070" width="25.453125" style="43" customWidth="1"/>
    <col min="13071" max="13071" width="0" style="43" hidden="1" customWidth="1"/>
    <col min="13072" max="13072" width="11.54296875" style="43" customWidth="1"/>
    <col min="13073" max="13073" width="9.54296875" style="43" customWidth="1"/>
    <col min="13074" max="13074" width="7.453125" style="43" customWidth="1"/>
    <col min="13075" max="13312" width="9.453125" style="43"/>
    <col min="13313" max="13313" width="6.453125" style="43" customWidth="1"/>
    <col min="13314" max="13314" width="7" style="43" customWidth="1"/>
    <col min="13315" max="13315" width="0" style="43" hidden="1" customWidth="1"/>
    <col min="13316" max="13317" width="6.54296875" style="43" customWidth="1"/>
    <col min="13318" max="13318" width="7.54296875" style="43" customWidth="1"/>
    <col min="13319" max="13319" width="2.54296875" style="43" customWidth="1"/>
    <col min="13320" max="13320" width="1.453125" style="43" customWidth="1"/>
    <col min="13321" max="13321" width="6.54296875" style="43" customWidth="1"/>
    <col min="13322" max="13322" width="6" style="43" customWidth="1"/>
    <col min="13323" max="13323" width="8.54296875" style="43" customWidth="1"/>
    <col min="13324" max="13324" width="7.54296875" style="43" customWidth="1"/>
    <col min="13325" max="13325" width="0" style="43" hidden="1" customWidth="1"/>
    <col min="13326" max="13326" width="25.453125" style="43" customWidth="1"/>
    <col min="13327" max="13327" width="0" style="43" hidden="1" customWidth="1"/>
    <col min="13328" max="13328" width="11.54296875" style="43" customWidth="1"/>
    <col min="13329" max="13329" width="9.54296875" style="43" customWidth="1"/>
    <col min="13330" max="13330" width="7.453125" style="43" customWidth="1"/>
    <col min="13331" max="13568" width="9.453125" style="43"/>
    <col min="13569" max="13569" width="6.453125" style="43" customWidth="1"/>
    <col min="13570" max="13570" width="7" style="43" customWidth="1"/>
    <col min="13571" max="13571" width="0" style="43" hidden="1" customWidth="1"/>
    <col min="13572" max="13573" width="6.54296875" style="43" customWidth="1"/>
    <col min="13574" max="13574" width="7.54296875" style="43" customWidth="1"/>
    <col min="13575" max="13575" width="2.54296875" style="43" customWidth="1"/>
    <col min="13576" max="13576" width="1.453125" style="43" customWidth="1"/>
    <col min="13577" max="13577" width="6.54296875" style="43" customWidth="1"/>
    <col min="13578" max="13578" width="6" style="43" customWidth="1"/>
    <col min="13579" max="13579" width="8.54296875" style="43" customWidth="1"/>
    <col min="13580" max="13580" width="7.54296875" style="43" customWidth="1"/>
    <col min="13581" max="13581" width="0" style="43" hidden="1" customWidth="1"/>
    <col min="13582" max="13582" width="25.453125" style="43" customWidth="1"/>
    <col min="13583" max="13583" width="0" style="43" hidden="1" customWidth="1"/>
    <col min="13584" max="13584" width="11.54296875" style="43" customWidth="1"/>
    <col min="13585" max="13585" width="9.54296875" style="43" customWidth="1"/>
    <col min="13586" max="13586" width="7.453125" style="43" customWidth="1"/>
    <col min="13587" max="13824" width="9.453125" style="43"/>
    <col min="13825" max="13825" width="6.453125" style="43" customWidth="1"/>
    <col min="13826" max="13826" width="7" style="43" customWidth="1"/>
    <col min="13827" max="13827" width="0" style="43" hidden="1" customWidth="1"/>
    <col min="13828" max="13829" width="6.54296875" style="43" customWidth="1"/>
    <col min="13830" max="13830" width="7.54296875" style="43" customWidth="1"/>
    <col min="13831" max="13831" width="2.54296875" style="43" customWidth="1"/>
    <col min="13832" max="13832" width="1.453125" style="43" customWidth="1"/>
    <col min="13833" max="13833" width="6.54296875" style="43" customWidth="1"/>
    <col min="13834" max="13834" width="6" style="43" customWidth="1"/>
    <col min="13835" max="13835" width="8.54296875" style="43" customWidth="1"/>
    <col min="13836" max="13836" width="7.54296875" style="43" customWidth="1"/>
    <col min="13837" max="13837" width="0" style="43" hidden="1" customWidth="1"/>
    <col min="13838" max="13838" width="25.453125" style="43" customWidth="1"/>
    <col min="13839" max="13839" width="0" style="43" hidden="1" customWidth="1"/>
    <col min="13840" max="13840" width="11.54296875" style="43" customWidth="1"/>
    <col min="13841" max="13841" width="9.54296875" style="43" customWidth="1"/>
    <col min="13842" max="13842" width="7.453125" style="43" customWidth="1"/>
    <col min="13843" max="14080" width="9.453125" style="43"/>
    <col min="14081" max="14081" width="6.453125" style="43" customWidth="1"/>
    <col min="14082" max="14082" width="7" style="43" customWidth="1"/>
    <col min="14083" max="14083" width="0" style="43" hidden="1" customWidth="1"/>
    <col min="14084" max="14085" width="6.54296875" style="43" customWidth="1"/>
    <col min="14086" max="14086" width="7.54296875" style="43" customWidth="1"/>
    <col min="14087" max="14087" width="2.54296875" style="43" customWidth="1"/>
    <col min="14088" max="14088" width="1.453125" style="43" customWidth="1"/>
    <col min="14089" max="14089" width="6.54296875" style="43" customWidth="1"/>
    <col min="14090" max="14090" width="6" style="43" customWidth="1"/>
    <col min="14091" max="14091" width="8.54296875" style="43" customWidth="1"/>
    <col min="14092" max="14092" width="7.54296875" style="43" customWidth="1"/>
    <col min="14093" max="14093" width="0" style="43" hidden="1" customWidth="1"/>
    <col min="14094" max="14094" width="25.453125" style="43" customWidth="1"/>
    <col min="14095" max="14095" width="0" style="43" hidden="1" customWidth="1"/>
    <col min="14096" max="14096" width="11.54296875" style="43" customWidth="1"/>
    <col min="14097" max="14097" width="9.54296875" style="43" customWidth="1"/>
    <col min="14098" max="14098" width="7.453125" style="43" customWidth="1"/>
    <col min="14099" max="14336" width="9.453125" style="43"/>
    <col min="14337" max="14337" width="6.453125" style="43" customWidth="1"/>
    <col min="14338" max="14338" width="7" style="43" customWidth="1"/>
    <col min="14339" max="14339" width="0" style="43" hidden="1" customWidth="1"/>
    <col min="14340" max="14341" width="6.54296875" style="43" customWidth="1"/>
    <col min="14342" max="14342" width="7.54296875" style="43" customWidth="1"/>
    <col min="14343" max="14343" width="2.54296875" style="43" customWidth="1"/>
    <col min="14344" max="14344" width="1.453125" style="43" customWidth="1"/>
    <col min="14345" max="14345" width="6.54296875" style="43" customWidth="1"/>
    <col min="14346" max="14346" width="6" style="43" customWidth="1"/>
    <col min="14347" max="14347" width="8.54296875" style="43" customWidth="1"/>
    <col min="14348" max="14348" width="7.54296875" style="43" customWidth="1"/>
    <col min="14349" max="14349" width="0" style="43" hidden="1" customWidth="1"/>
    <col min="14350" max="14350" width="25.453125" style="43" customWidth="1"/>
    <col min="14351" max="14351" width="0" style="43" hidden="1" customWidth="1"/>
    <col min="14352" max="14352" width="11.54296875" style="43" customWidth="1"/>
    <col min="14353" max="14353" width="9.54296875" style="43" customWidth="1"/>
    <col min="14354" max="14354" width="7.453125" style="43" customWidth="1"/>
    <col min="14355" max="14592" width="9.453125" style="43"/>
    <col min="14593" max="14593" width="6.453125" style="43" customWidth="1"/>
    <col min="14594" max="14594" width="7" style="43" customWidth="1"/>
    <col min="14595" max="14595" width="0" style="43" hidden="1" customWidth="1"/>
    <col min="14596" max="14597" width="6.54296875" style="43" customWidth="1"/>
    <col min="14598" max="14598" width="7.54296875" style="43" customWidth="1"/>
    <col min="14599" max="14599" width="2.54296875" style="43" customWidth="1"/>
    <col min="14600" max="14600" width="1.453125" style="43" customWidth="1"/>
    <col min="14601" max="14601" width="6.54296875" style="43" customWidth="1"/>
    <col min="14602" max="14602" width="6" style="43" customWidth="1"/>
    <col min="14603" max="14603" width="8.54296875" style="43" customWidth="1"/>
    <col min="14604" max="14604" width="7.54296875" style="43" customWidth="1"/>
    <col min="14605" max="14605" width="0" style="43" hidden="1" customWidth="1"/>
    <col min="14606" max="14606" width="25.453125" style="43" customWidth="1"/>
    <col min="14607" max="14607" width="0" style="43" hidden="1" customWidth="1"/>
    <col min="14608" max="14608" width="11.54296875" style="43" customWidth="1"/>
    <col min="14609" max="14609" width="9.54296875" style="43" customWidth="1"/>
    <col min="14610" max="14610" width="7.453125" style="43" customWidth="1"/>
    <col min="14611" max="14848" width="9.453125" style="43"/>
    <col min="14849" max="14849" width="6.453125" style="43" customWidth="1"/>
    <col min="14850" max="14850" width="7" style="43" customWidth="1"/>
    <col min="14851" max="14851" width="0" style="43" hidden="1" customWidth="1"/>
    <col min="14852" max="14853" width="6.54296875" style="43" customWidth="1"/>
    <col min="14854" max="14854" width="7.54296875" style="43" customWidth="1"/>
    <col min="14855" max="14855" width="2.54296875" style="43" customWidth="1"/>
    <col min="14856" max="14856" width="1.453125" style="43" customWidth="1"/>
    <col min="14857" max="14857" width="6.54296875" style="43" customWidth="1"/>
    <col min="14858" max="14858" width="6" style="43" customWidth="1"/>
    <col min="14859" max="14859" width="8.54296875" style="43" customWidth="1"/>
    <col min="14860" max="14860" width="7.54296875" style="43" customWidth="1"/>
    <col min="14861" max="14861" width="0" style="43" hidden="1" customWidth="1"/>
    <col min="14862" max="14862" width="25.453125" style="43" customWidth="1"/>
    <col min="14863" max="14863" width="0" style="43" hidden="1" customWidth="1"/>
    <col min="14864" max="14864" width="11.54296875" style="43" customWidth="1"/>
    <col min="14865" max="14865" width="9.54296875" style="43" customWidth="1"/>
    <col min="14866" max="14866" width="7.453125" style="43" customWidth="1"/>
    <col min="14867" max="15104" width="9.453125" style="43"/>
    <col min="15105" max="15105" width="6.453125" style="43" customWidth="1"/>
    <col min="15106" max="15106" width="7" style="43" customWidth="1"/>
    <col min="15107" max="15107" width="0" style="43" hidden="1" customWidth="1"/>
    <col min="15108" max="15109" width="6.54296875" style="43" customWidth="1"/>
    <col min="15110" max="15110" width="7.54296875" style="43" customWidth="1"/>
    <col min="15111" max="15111" width="2.54296875" style="43" customWidth="1"/>
    <col min="15112" max="15112" width="1.453125" style="43" customWidth="1"/>
    <col min="15113" max="15113" width="6.54296875" style="43" customWidth="1"/>
    <col min="15114" max="15114" width="6" style="43" customWidth="1"/>
    <col min="15115" max="15115" width="8.54296875" style="43" customWidth="1"/>
    <col min="15116" max="15116" width="7.54296875" style="43" customWidth="1"/>
    <col min="15117" max="15117" width="0" style="43" hidden="1" customWidth="1"/>
    <col min="15118" max="15118" width="25.453125" style="43" customWidth="1"/>
    <col min="15119" max="15119" width="0" style="43" hidden="1" customWidth="1"/>
    <col min="15120" max="15120" width="11.54296875" style="43" customWidth="1"/>
    <col min="15121" max="15121" width="9.54296875" style="43" customWidth="1"/>
    <col min="15122" max="15122" width="7.453125" style="43" customWidth="1"/>
    <col min="15123" max="15360" width="9.453125" style="43"/>
    <col min="15361" max="15361" width="6.453125" style="43" customWidth="1"/>
    <col min="15362" max="15362" width="7" style="43" customWidth="1"/>
    <col min="15363" max="15363" width="0" style="43" hidden="1" customWidth="1"/>
    <col min="15364" max="15365" width="6.54296875" style="43" customWidth="1"/>
    <col min="15366" max="15366" width="7.54296875" style="43" customWidth="1"/>
    <col min="15367" max="15367" width="2.54296875" style="43" customWidth="1"/>
    <col min="15368" max="15368" width="1.453125" style="43" customWidth="1"/>
    <col min="15369" max="15369" width="6.54296875" style="43" customWidth="1"/>
    <col min="15370" max="15370" width="6" style="43" customWidth="1"/>
    <col min="15371" max="15371" width="8.54296875" style="43" customWidth="1"/>
    <col min="15372" max="15372" width="7.54296875" style="43" customWidth="1"/>
    <col min="15373" max="15373" width="0" style="43" hidden="1" customWidth="1"/>
    <col min="15374" max="15374" width="25.453125" style="43" customWidth="1"/>
    <col min="15375" max="15375" width="0" style="43" hidden="1" customWidth="1"/>
    <col min="15376" max="15376" width="11.54296875" style="43" customWidth="1"/>
    <col min="15377" max="15377" width="9.54296875" style="43" customWidth="1"/>
    <col min="15378" max="15378" width="7.453125" style="43" customWidth="1"/>
    <col min="15379" max="15616" width="9.453125" style="43"/>
    <col min="15617" max="15617" width="6.453125" style="43" customWidth="1"/>
    <col min="15618" max="15618" width="7" style="43" customWidth="1"/>
    <col min="15619" max="15619" width="0" style="43" hidden="1" customWidth="1"/>
    <col min="15620" max="15621" width="6.54296875" style="43" customWidth="1"/>
    <col min="15622" max="15622" width="7.54296875" style="43" customWidth="1"/>
    <col min="15623" max="15623" width="2.54296875" style="43" customWidth="1"/>
    <col min="15624" max="15624" width="1.453125" style="43" customWidth="1"/>
    <col min="15625" max="15625" width="6.54296875" style="43" customWidth="1"/>
    <col min="15626" max="15626" width="6" style="43" customWidth="1"/>
    <col min="15627" max="15627" width="8.54296875" style="43" customWidth="1"/>
    <col min="15628" max="15628" width="7.54296875" style="43" customWidth="1"/>
    <col min="15629" max="15629" width="0" style="43" hidden="1" customWidth="1"/>
    <col min="15630" max="15630" width="25.453125" style="43" customWidth="1"/>
    <col min="15631" max="15631" width="0" style="43" hidden="1" customWidth="1"/>
    <col min="15632" max="15632" width="11.54296875" style="43" customWidth="1"/>
    <col min="15633" max="15633" width="9.54296875" style="43" customWidth="1"/>
    <col min="15634" max="15634" width="7.453125" style="43" customWidth="1"/>
    <col min="15635" max="15872" width="9.453125" style="43"/>
    <col min="15873" max="15873" width="6.453125" style="43" customWidth="1"/>
    <col min="15874" max="15874" width="7" style="43" customWidth="1"/>
    <col min="15875" max="15875" width="0" style="43" hidden="1" customWidth="1"/>
    <col min="15876" max="15877" width="6.54296875" style="43" customWidth="1"/>
    <col min="15878" max="15878" width="7.54296875" style="43" customWidth="1"/>
    <col min="15879" max="15879" width="2.54296875" style="43" customWidth="1"/>
    <col min="15880" max="15880" width="1.453125" style="43" customWidth="1"/>
    <col min="15881" max="15881" width="6.54296875" style="43" customWidth="1"/>
    <col min="15882" max="15882" width="6" style="43" customWidth="1"/>
    <col min="15883" max="15883" width="8.54296875" style="43" customWidth="1"/>
    <col min="15884" max="15884" width="7.54296875" style="43" customWidth="1"/>
    <col min="15885" max="15885" width="0" style="43" hidden="1" customWidth="1"/>
    <col min="15886" max="15886" width="25.453125" style="43" customWidth="1"/>
    <col min="15887" max="15887" width="0" style="43" hidden="1" customWidth="1"/>
    <col min="15888" max="15888" width="11.54296875" style="43" customWidth="1"/>
    <col min="15889" max="15889" width="9.54296875" style="43" customWidth="1"/>
    <col min="15890" max="15890" width="7.453125" style="43" customWidth="1"/>
    <col min="15891" max="16128" width="9.453125" style="43"/>
    <col min="16129" max="16129" width="6.453125" style="43" customWidth="1"/>
    <col min="16130" max="16130" width="7" style="43" customWidth="1"/>
    <col min="16131" max="16131" width="0" style="43" hidden="1" customWidth="1"/>
    <col min="16132" max="16133" width="6.54296875" style="43" customWidth="1"/>
    <col min="16134" max="16134" width="7.54296875" style="43" customWidth="1"/>
    <col min="16135" max="16135" width="2.54296875" style="43" customWidth="1"/>
    <col min="16136" max="16136" width="1.453125" style="43" customWidth="1"/>
    <col min="16137" max="16137" width="6.54296875" style="43" customWidth="1"/>
    <col min="16138" max="16138" width="6" style="43" customWidth="1"/>
    <col min="16139" max="16139" width="8.54296875" style="43" customWidth="1"/>
    <col min="16140" max="16140" width="7.54296875" style="43" customWidth="1"/>
    <col min="16141" max="16141" width="0" style="43" hidden="1" customWidth="1"/>
    <col min="16142" max="16142" width="25.453125" style="43" customWidth="1"/>
    <col min="16143" max="16143" width="0" style="43" hidden="1" customWidth="1"/>
    <col min="16144" max="16144" width="11.54296875" style="43" customWidth="1"/>
    <col min="16145" max="16145" width="9.54296875" style="43" customWidth="1"/>
    <col min="16146" max="16146" width="7.453125" style="43" customWidth="1"/>
    <col min="16147" max="16384" width="9.453125" style="43"/>
  </cols>
  <sheetData>
    <row r="1" spans="1:18">
      <c r="A1" s="88"/>
      <c r="B1" s="89"/>
      <c r="C1" s="89"/>
      <c r="D1" s="89"/>
      <c r="E1" s="89"/>
      <c r="F1" s="90"/>
      <c r="G1" s="89"/>
      <c r="H1" s="89"/>
      <c r="I1" s="89"/>
      <c r="J1" s="89"/>
      <c r="K1" s="89"/>
      <c r="L1" s="89"/>
      <c r="M1" s="89"/>
      <c r="N1" s="89"/>
      <c r="O1" s="89"/>
      <c r="P1" s="89"/>
      <c r="Q1" s="89"/>
      <c r="R1" s="91" t="s">
        <v>129</v>
      </c>
    </row>
    <row r="2" spans="1:18" s="97" customFormat="1" ht="20">
      <c r="A2" s="92"/>
      <c r="B2" s="93"/>
      <c r="C2" s="94"/>
      <c r="D2" s="94"/>
      <c r="E2" s="94"/>
      <c r="F2" s="94"/>
      <c r="G2" s="94"/>
      <c r="H2" s="94"/>
      <c r="I2" s="95"/>
      <c r="J2" s="95"/>
      <c r="K2" s="95" t="s">
        <v>130</v>
      </c>
      <c r="L2" s="94"/>
      <c r="M2" s="94"/>
      <c r="N2" s="94"/>
      <c r="O2" s="94"/>
      <c r="P2" s="94"/>
      <c r="Q2" s="94"/>
      <c r="R2" s="96"/>
    </row>
    <row r="3" spans="1:18" ht="15.5">
      <c r="A3" s="98"/>
      <c r="B3" s="93"/>
      <c r="C3" s="93"/>
      <c r="D3" s="93"/>
      <c r="E3" s="93"/>
      <c r="F3" s="93"/>
      <c r="G3" s="99"/>
      <c r="H3" s="93"/>
      <c r="I3" s="93"/>
      <c r="J3" s="93"/>
      <c r="K3" s="93"/>
      <c r="L3" s="93"/>
      <c r="M3" s="93"/>
      <c r="N3" s="93"/>
      <c r="O3" s="93"/>
      <c r="P3" s="93"/>
      <c r="Q3" s="93"/>
      <c r="R3" s="100"/>
    </row>
    <row r="4" spans="1:18" ht="17.5">
      <c r="A4" s="98"/>
      <c r="B4" s="99"/>
      <c r="C4" s="101"/>
      <c r="D4" s="93"/>
      <c r="E4" s="99"/>
      <c r="F4" s="93"/>
      <c r="G4" s="93"/>
      <c r="H4" s="93"/>
      <c r="I4" s="102"/>
      <c r="J4" s="102" t="s">
        <v>131</v>
      </c>
      <c r="K4" s="93"/>
      <c r="L4" s="93"/>
      <c r="M4" s="93"/>
      <c r="N4" s="93"/>
      <c r="O4" s="93"/>
      <c r="P4" s="93"/>
      <c r="Q4" s="93"/>
      <c r="R4" s="103"/>
    </row>
    <row r="5" spans="1:18" ht="15.5">
      <c r="A5" s="104"/>
      <c r="B5" s="105"/>
      <c r="C5" s="106"/>
      <c r="D5" s="107"/>
      <c r="E5" s="105"/>
      <c r="F5" s="105"/>
      <c r="G5" s="105"/>
      <c r="H5" s="107"/>
      <c r="I5" s="107"/>
      <c r="J5" s="107"/>
      <c r="K5" s="107"/>
      <c r="L5" s="107"/>
      <c r="M5" s="107"/>
      <c r="N5" s="107"/>
      <c r="O5" s="107"/>
      <c r="P5" s="107"/>
      <c r="Q5" s="107"/>
      <c r="R5" s="108"/>
    </row>
    <row r="6" spans="1:18" ht="21.75" customHeight="1">
      <c r="A6" s="109" t="s">
        <v>132</v>
      </c>
      <c r="B6" s="439">
        <v>725</v>
      </c>
      <c r="C6" s="440"/>
      <c r="D6" s="440"/>
      <c r="E6" s="440"/>
      <c r="F6" s="440"/>
      <c r="G6" s="440"/>
      <c r="H6" s="441"/>
      <c r="I6" s="109" t="s">
        <v>133</v>
      </c>
      <c r="J6" s="442"/>
      <c r="K6" s="442"/>
      <c r="L6" s="109" t="s">
        <v>134</v>
      </c>
      <c r="M6" s="110"/>
      <c r="N6" s="443">
        <v>4</v>
      </c>
      <c r="O6" s="444"/>
      <c r="P6" s="111" t="s">
        <v>135</v>
      </c>
      <c r="Q6" s="445" t="s">
        <v>252</v>
      </c>
      <c r="R6" s="446"/>
    </row>
    <row r="7" spans="1:18" ht="19.5" customHeight="1">
      <c r="A7" s="112" t="s">
        <v>136</v>
      </c>
      <c r="B7" s="447"/>
      <c r="C7" s="447"/>
      <c r="D7" s="447"/>
      <c r="E7" s="113" t="s">
        <v>137</v>
      </c>
      <c r="F7" s="114">
        <v>45744</v>
      </c>
      <c r="G7" s="448" t="s">
        <v>138</v>
      </c>
      <c r="H7" s="413"/>
      <c r="I7" s="413"/>
      <c r="J7" s="449"/>
      <c r="K7" s="450"/>
      <c r="L7" s="450"/>
      <c r="M7" s="450"/>
      <c r="N7" s="450"/>
      <c r="O7" s="115"/>
      <c r="P7" s="116"/>
      <c r="Q7" s="117" t="s">
        <v>139</v>
      </c>
      <c r="R7" s="118">
        <v>3</v>
      </c>
    </row>
    <row r="8" spans="1:18" ht="18.75" customHeight="1">
      <c r="A8" s="109" t="s">
        <v>140</v>
      </c>
      <c r="B8" s="428">
        <v>45723</v>
      </c>
      <c r="C8" s="428"/>
      <c r="D8" s="428"/>
      <c r="E8" s="429"/>
      <c r="F8" s="109" t="s">
        <v>141</v>
      </c>
      <c r="G8" s="110"/>
      <c r="H8" s="110"/>
      <c r="I8" s="430">
        <v>21</v>
      </c>
      <c r="J8" s="430"/>
      <c r="K8" s="430"/>
      <c r="L8" s="430"/>
      <c r="M8" s="430"/>
      <c r="N8" s="430"/>
      <c r="O8" s="430"/>
      <c r="P8" s="430"/>
      <c r="Q8" s="110"/>
      <c r="R8" s="119"/>
    </row>
    <row r="9" spans="1:18" ht="18" customHeight="1">
      <c r="A9" s="120" t="s">
        <v>142</v>
      </c>
      <c r="B9" s="110"/>
      <c r="C9" s="110"/>
      <c r="D9" s="121"/>
      <c r="E9" s="431"/>
      <c r="F9" s="432"/>
      <c r="G9" s="432"/>
      <c r="H9" s="432"/>
      <c r="I9" s="432"/>
      <c r="J9" s="432"/>
      <c r="K9" s="110"/>
      <c r="L9" s="122" t="s">
        <v>64</v>
      </c>
      <c r="M9" s="122"/>
      <c r="N9" s="254"/>
      <c r="O9" s="110"/>
      <c r="P9" s="111" t="s">
        <v>143</v>
      </c>
      <c r="Q9" s="217" t="s">
        <v>271</v>
      </c>
      <c r="R9" s="119"/>
    </row>
    <row r="10" spans="1:18" ht="21" customHeight="1">
      <c r="A10" s="112" t="s">
        <v>144</v>
      </c>
      <c r="B10" s="115"/>
      <c r="C10" s="116"/>
      <c r="D10" s="122" t="s">
        <v>145</v>
      </c>
      <c r="E10" s="119"/>
      <c r="F10" s="109"/>
      <c r="G10" s="110"/>
      <c r="H10" s="110"/>
      <c r="I10" s="123" t="s">
        <v>146</v>
      </c>
      <c r="J10" s="124"/>
      <c r="K10" s="110"/>
      <c r="L10" s="110"/>
      <c r="M10" s="110"/>
      <c r="N10" s="119"/>
      <c r="O10" s="109"/>
      <c r="P10" s="109" t="s">
        <v>147</v>
      </c>
      <c r="Q10" s="433" t="s">
        <v>148</v>
      </c>
      <c r="R10" s="434"/>
    </row>
    <row r="11" spans="1:18" ht="20.25" customHeight="1">
      <c r="A11" s="125"/>
      <c r="B11" s="126"/>
      <c r="C11" s="127"/>
      <c r="D11" s="128" t="s">
        <v>149</v>
      </c>
      <c r="E11" s="128">
        <v>10</v>
      </c>
      <c r="F11" s="435" t="s">
        <v>150</v>
      </c>
      <c r="G11" s="436"/>
      <c r="H11" s="436"/>
      <c r="I11" s="436"/>
      <c r="J11" s="436"/>
      <c r="K11" s="436"/>
      <c r="L11" s="436"/>
      <c r="M11" s="436"/>
      <c r="N11" s="437"/>
      <c r="O11" s="129"/>
      <c r="P11" s="130"/>
      <c r="Q11" s="125"/>
      <c r="R11" s="131"/>
    </row>
    <row r="12" spans="1:18" ht="20.25" customHeight="1">
      <c r="A12" s="132"/>
      <c r="B12" s="133"/>
      <c r="C12" s="127"/>
      <c r="D12" s="134" t="s">
        <v>92</v>
      </c>
      <c r="E12" s="134">
        <v>20</v>
      </c>
      <c r="F12" s="438" t="s">
        <v>151</v>
      </c>
      <c r="G12" s="438"/>
      <c r="H12" s="438"/>
      <c r="I12" s="438"/>
      <c r="J12" s="438"/>
      <c r="K12" s="438"/>
      <c r="L12" s="438"/>
      <c r="M12" s="438"/>
      <c r="N12" s="438"/>
      <c r="O12" s="135"/>
      <c r="P12" s="135"/>
      <c r="Q12" s="132"/>
      <c r="R12" s="136"/>
    </row>
    <row r="13" spans="1:18" ht="20.25" customHeight="1">
      <c r="A13" s="132" t="s">
        <v>152</v>
      </c>
      <c r="B13" s="133"/>
      <c r="C13" s="127"/>
      <c r="D13" s="134" t="s">
        <v>153</v>
      </c>
      <c r="E13" s="134">
        <v>30</v>
      </c>
      <c r="F13" s="438" t="s">
        <v>154</v>
      </c>
      <c r="G13" s="438"/>
      <c r="H13" s="438"/>
      <c r="I13" s="438"/>
      <c r="J13" s="438"/>
      <c r="K13" s="438"/>
      <c r="L13" s="438"/>
      <c r="M13" s="438"/>
      <c r="N13" s="438"/>
      <c r="O13" s="135"/>
      <c r="P13" s="135"/>
      <c r="Q13" s="132"/>
      <c r="R13" s="136"/>
    </row>
    <row r="14" spans="1:18" ht="20.25" customHeight="1">
      <c r="A14" s="132"/>
      <c r="B14" s="133"/>
      <c r="C14" s="127"/>
      <c r="D14" s="134" t="s">
        <v>149</v>
      </c>
      <c r="E14" s="134">
        <v>40</v>
      </c>
      <c r="F14" s="438" t="s">
        <v>155</v>
      </c>
      <c r="G14" s="438"/>
      <c r="H14" s="438"/>
      <c r="I14" s="438"/>
      <c r="J14" s="438"/>
      <c r="K14" s="438"/>
      <c r="L14" s="438"/>
      <c r="M14" s="438"/>
      <c r="N14" s="438"/>
      <c r="O14" s="135"/>
      <c r="P14" s="135"/>
      <c r="Q14" s="132"/>
      <c r="R14" s="136"/>
    </row>
    <row r="15" spans="1:18" ht="20.25" customHeight="1">
      <c r="A15" s="132"/>
      <c r="B15" s="133"/>
      <c r="C15" s="127"/>
      <c r="D15" s="137"/>
      <c r="E15" s="137"/>
      <c r="F15" s="425"/>
      <c r="G15" s="425"/>
      <c r="H15" s="425"/>
      <c r="I15" s="425"/>
      <c r="J15" s="425"/>
      <c r="K15" s="425"/>
      <c r="L15" s="425"/>
      <c r="M15" s="425"/>
      <c r="N15" s="425"/>
      <c r="O15" s="135"/>
      <c r="P15" s="135"/>
      <c r="Q15" s="132"/>
      <c r="R15" s="136"/>
    </row>
    <row r="16" spans="1:18" ht="20.25" customHeight="1">
      <c r="A16" s="132"/>
      <c r="B16" s="133"/>
      <c r="C16" s="127"/>
      <c r="D16" s="137"/>
      <c r="E16" s="137"/>
      <c r="F16" s="425"/>
      <c r="G16" s="425"/>
      <c r="H16" s="425"/>
      <c r="I16" s="425"/>
      <c r="J16" s="425"/>
      <c r="K16" s="425"/>
      <c r="L16" s="425"/>
      <c r="M16" s="425"/>
      <c r="N16" s="425"/>
      <c r="O16" s="135"/>
      <c r="P16" s="135"/>
      <c r="Q16" s="132"/>
      <c r="R16" s="136"/>
    </row>
    <row r="17" spans="1:18" ht="20.25" customHeight="1">
      <c r="A17" s="132"/>
      <c r="B17" s="133"/>
      <c r="C17" s="127"/>
      <c r="D17" s="137"/>
      <c r="E17" s="137"/>
      <c r="F17" s="425"/>
      <c r="G17" s="425"/>
      <c r="H17" s="425"/>
      <c r="I17" s="425"/>
      <c r="J17" s="425"/>
      <c r="K17" s="425"/>
      <c r="L17" s="425"/>
      <c r="M17" s="425"/>
      <c r="N17" s="425"/>
      <c r="O17" s="135"/>
      <c r="P17" s="135"/>
      <c r="Q17" s="132"/>
      <c r="R17" s="136"/>
    </row>
    <row r="18" spans="1:18" ht="20.25" customHeight="1">
      <c r="A18" s="132"/>
      <c r="B18" s="133"/>
      <c r="C18" s="127"/>
      <c r="D18" s="137"/>
      <c r="E18" s="137"/>
      <c r="F18" s="425"/>
      <c r="G18" s="425"/>
      <c r="H18" s="425"/>
      <c r="I18" s="425"/>
      <c r="J18" s="425"/>
      <c r="K18" s="425"/>
      <c r="L18" s="425"/>
      <c r="M18" s="425"/>
      <c r="N18" s="425"/>
      <c r="O18" s="135"/>
      <c r="P18" s="135"/>
      <c r="Q18" s="132"/>
      <c r="R18" s="136"/>
    </row>
    <row r="19" spans="1:18" ht="20.25" customHeight="1">
      <c r="A19" s="132"/>
      <c r="B19" s="133"/>
      <c r="C19" s="127"/>
      <c r="D19" s="137"/>
      <c r="E19" s="137"/>
      <c r="F19" s="425"/>
      <c r="G19" s="425"/>
      <c r="H19" s="425"/>
      <c r="I19" s="425"/>
      <c r="J19" s="425"/>
      <c r="K19" s="425"/>
      <c r="L19" s="425"/>
      <c r="M19" s="425"/>
      <c r="N19" s="425"/>
      <c r="O19" s="135"/>
      <c r="P19" s="135"/>
      <c r="Q19" s="132"/>
      <c r="R19" s="136"/>
    </row>
    <row r="20" spans="1:18" ht="20.25" customHeight="1">
      <c r="A20" s="132"/>
      <c r="B20" s="133"/>
      <c r="C20" s="127"/>
      <c r="D20" s="138"/>
      <c r="E20" s="138"/>
      <c r="F20" s="420"/>
      <c r="G20" s="421"/>
      <c r="H20" s="421"/>
      <c r="I20" s="421"/>
      <c r="J20" s="421"/>
      <c r="K20" s="421"/>
      <c r="L20" s="421"/>
      <c r="M20" s="421"/>
      <c r="N20" s="421"/>
      <c r="O20" s="135"/>
      <c r="P20" s="135"/>
      <c r="Q20" s="132"/>
      <c r="R20" s="136"/>
    </row>
    <row r="21" spans="1:18" ht="20.25" customHeight="1">
      <c r="A21" s="132"/>
      <c r="B21" s="133"/>
      <c r="C21" s="127"/>
      <c r="D21" s="138"/>
      <c r="E21" s="138"/>
      <c r="F21" s="420"/>
      <c r="G21" s="421"/>
      <c r="H21" s="421"/>
      <c r="I21" s="421"/>
      <c r="J21" s="421"/>
      <c r="K21" s="421"/>
      <c r="L21" s="421"/>
      <c r="M21" s="421"/>
      <c r="N21" s="421"/>
      <c r="O21" s="135"/>
      <c r="P21" s="135"/>
      <c r="Q21" s="132"/>
      <c r="R21" s="136"/>
    </row>
    <row r="22" spans="1:18" ht="20.25" customHeight="1">
      <c r="A22" s="132"/>
      <c r="B22" s="133"/>
      <c r="C22" s="127"/>
      <c r="D22" s="138"/>
      <c r="E22" s="138"/>
      <c r="F22" s="420"/>
      <c r="G22" s="421"/>
      <c r="H22" s="421"/>
      <c r="I22" s="421"/>
      <c r="J22" s="421"/>
      <c r="K22" s="421"/>
      <c r="L22" s="421"/>
      <c r="M22" s="421"/>
      <c r="N22" s="421"/>
      <c r="O22" s="135"/>
      <c r="P22" s="135"/>
      <c r="Q22" s="132"/>
      <c r="R22" s="136"/>
    </row>
    <row r="23" spans="1:18" ht="20.25" customHeight="1">
      <c r="A23" s="132"/>
      <c r="B23" s="133"/>
      <c r="C23" s="127"/>
      <c r="D23" s="138"/>
      <c r="E23" s="138"/>
      <c r="F23" s="420"/>
      <c r="G23" s="421"/>
      <c r="H23" s="421"/>
      <c r="I23" s="421"/>
      <c r="J23" s="421"/>
      <c r="K23" s="421"/>
      <c r="L23" s="421"/>
      <c r="M23" s="421"/>
      <c r="N23" s="421"/>
      <c r="O23" s="135"/>
      <c r="P23" s="135"/>
      <c r="Q23" s="132"/>
      <c r="R23" s="136"/>
    </row>
    <row r="24" spans="1:18" ht="20.25" customHeight="1">
      <c r="A24" s="132"/>
      <c r="B24" s="133"/>
      <c r="C24" s="127"/>
      <c r="D24" s="138"/>
      <c r="E24" s="138"/>
      <c r="F24" s="420"/>
      <c r="G24" s="421"/>
      <c r="H24" s="421"/>
      <c r="I24" s="421"/>
      <c r="J24" s="421"/>
      <c r="K24" s="421"/>
      <c r="L24" s="421"/>
      <c r="M24" s="421"/>
      <c r="N24" s="421"/>
      <c r="O24" s="135"/>
      <c r="P24" s="135"/>
      <c r="Q24" s="132"/>
      <c r="R24" s="136"/>
    </row>
    <row r="25" spans="1:18" ht="20.25" customHeight="1">
      <c r="A25" s="132"/>
      <c r="B25" s="133"/>
      <c r="C25" s="127"/>
      <c r="D25" s="138"/>
      <c r="E25" s="138"/>
      <c r="F25" s="420"/>
      <c r="G25" s="420"/>
      <c r="H25" s="420"/>
      <c r="I25" s="420"/>
      <c r="J25" s="420"/>
      <c r="K25" s="420"/>
      <c r="L25" s="420"/>
      <c r="M25" s="420"/>
      <c r="N25" s="420"/>
      <c r="O25" s="135"/>
      <c r="P25" s="135"/>
      <c r="Q25" s="132"/>
      <c r="R25" s="136"/>
    </row>
    <row r="26" spans="1:18" ht="20.25" customHeight="1">
      <c r="A26" s="132"/>
      <c r="B26" s="133"/>
      <c r="C26" s="127"/>
      <c r="D26" s="138"/>
      <c r="E26" s="138"/>
      <c r="F26" s="422"/>
      <c r="G26" s="426"/>
      <c r="H26" s="426"/>
      <c r="I26" s="426"/>
      <c r="J26" s="426"/>
      <c r="K26" s="426"/>
      <c r="L26" s="426"/>
      <c r="M26" s="426"/>
      <c r="N26" s="427"/>
      <c r="O26" s="135"/>
      <c r="P26" s="135"/>
      <c r="Q26" s="132"/>
      <c r="R26" s="136"/>
    </row>
    <row r="27" spans="1:18" ht="20.25" customHeight="1">
      <c r="A27" s="132"/>
      <c r="B27" s="133"/>
      <c r="C27" s="127"/>
      <c r="D27" s="135"/>
      <c r="E27" s="135"/>
      <c r="F27" s="422"/>
      <c r="G27" s="426"/>
      <c r="H27" s="426"/>
      <c r="I27" s="426"/>
      <c r="J27" s="426"/>
      <c r="K27" s="426"/>
      <c r="L27" s="426"/>
      <c r="M27" s="426"/>
      <c r="N27" s="427"/>
      <c r="O27" s="135"/>
      <c r="P27" s="135"/>
      <c r="Q27" s="132"/>
      <c r="R27" s="136"/>
    </row>
    <row r="28" spans="1:18" ht="20.25" customHeight="1">
      <c r="A28" s="132"/>
      <c r="B28" s="133"/>
      <c r="C28" s="127"/>
      <c r="D28" s="135"/>
      <c r="E28" s="135"/>
      <c r="F28" s="422"/>
      <c r="G28" s="426"/>
      <c r="H28" s="426"/>
      <c r="I28" s="426"/>
      <c r="J28" s="426"/>
      <c r="K28" s="426"/>
      <c r="L28" s="426"/>
      <c r="M28" s="426"/>
      <c r="N28" s="427"/>
      <c r="O28" s="135"/>
      <c r="P28" s="135"/>
      <c r="Q28" s="132"/>
      <c r="R28" s="136"/>
    </row>
    <row r="29" spans="1:18" ht="20.25" customHeight="1">
      <c r="A29" s="132"/>
      <c r="B29" s="133"/>
      <c r="C29" s="127"/>
      <c r="D29" s="135"/>
      <c r="E29" s="135"/>
      <c r="F29" s="420"/>
      <c r="G29" s="421"/>
      <c r="H29" s="421"/>
      <c r="I29" s="421"/>
      <c r="J29" s="421"/>
      <c r="K29" s="421"/>
      <c r="L29" s="421"/>
      <c r="M29" s="421"/>
      <c r="N29" s="421"/>
      <c r="O29" s="135"/>
      <c r="P29" s="135"/>
      <c r="Q29" s="132"/>
      <c r="R29" s="136"/>
    </row>
    <row r="30" spans="1:18" ht="20.25" customHeight="1">
      <c r="A30" s="132"/>
      <c r="B30" s="133"/>
      <c r="C30" s="127"/>
      <c r="D30" s="135"/>
      <c r="E30" s="135"/>
      <c r="F30" s="420"/>
      <c r="G30" s="421"/>
      <c r="H30" s="421"/>
      <c r="I30" s="421"/>
      <c r="J30" s="421"/>
      <c r="K30" s="421"/>
      <c r="L30" s="421"/>
      <c r="M30" s="421"/>
      <c r="N30" s="421"/>
      <c r="O30" s="135"/>
      <c r="P30" s="135"/>
      <c r="Q30" s="132"/>
      <c r="R30" s="136"/>
    </row>
    <row r="31" spans="1:18" ht="20.25" customHeight="1">
      <c r="A31" s="132"/>
      <c r="B31" s="133"/>
      <c r="C31" s="127"/>
      <c r="D31" s="135"/>
      <c r="E31" s="135"/>
      <c r="F31" s="420"/>
      <c r="G31" s="421"/>
      <c r="H31" s="421"/>
      <c r="I31" s="421"/>
      <c r="J31" s="421"/>
      <c r="K31" s="421"/>
      <c r="L31" s="421"/>
      <c r="M31" s="421"/>
      <c r="N31" s="421"/>
      <c r="O31" s="135"/>
      <c r="P31" s="135"/>
      <c r="Q31" s="132"/>
      <c r="R31" s="136"/>
    </row>
    <row r="32" spans="1:18" ht="20.25" customHeight="1">
      <c r="A32" s="132"/>
      <c r="B32" s="133"/>
      <c r="C32" s="127"/>
      <c r="D32" s="135"/>
      <c r="E32" s="135"/>
      <c r="F32" s="420"/>
      <c r="G32" s="421"/>
      <c r="H32" s="421"/>
      <c r="I32" s="421"/>
      <c r="J32" s="421"/>
      <c r="K32" s="421"/>
      <c r="L32" s="421"/>
      <c r="M32" s="421"/>
      <c r="N32" s="421"/>
      <c r="O32" s="135"/>
      <c r="P32" s="135"/>
      <c r="Q32" s="132"/>
      <c r="R32" s="136"/>
    </row>
    <row r="33" spans="1:18" ht="19.5" customHeight="1">
      <c r="A33" s="132"/>
      <c r="B33" s="133"/>
      <c r="C33" s="127"/>
      <c r="D33" s="135"/>
      <c r="E33" s="135"/>
      <c r="F33" s="420"/>
      <c r="G33" s="421"/>
      <c r="H33" s="421"/>
      <c r="I33" s="421"/>
      <c r="J33" s="421"/>
      <c r="K33" s="421"/>
      <c r="L33" s="421"/>
      <c r="M33" s="421"/>
      <c r="N33" s="421"/>
      <c r="O33" s="135"/>
      <c r="P33" s="135"/>
      <c r="Q33" s="132"/>
      <c r="R33" s="136"/>
    </row>
    <row r="34" spans="1:18" ht="20.25" customHeight="1">
      <c r="A34" s="132"/>
      <c r="B34" s="133"/>
      <c r="C34" s="127"/>
      <c r="D34" s="135"/>
      <c r="E34" s="135"/>
      <c r="F34" s="420"/>
      <c r="G34" s="421"/>
      <c r="H34" s="421"/>
      <c r="I34" s="421"/>
      <c r="J34" s="421"/>
      <c r="K34" s="421"/>
      <c r="L34" s="421"/>
      <c r="M34" s="421"/>
      <c r="N34" s="421"/>
      <c r="O34" s="135"/>
      <c r="P34" s="135"/>
      <c r="Q34" s="132"/>
      <c r="R34" s="136"/>
    </row>
    <row r="35" spans="1:18" ht="20.25" customHeight="1">
      <c r="A35" s="132"/>
      <c r="B35" s="133"/>
      <c r="C35" s="127"/>
      <c r="D35" s="135"/>
      <c r="E35" s="135"/>
      <c r="F35" s="420"/>
      <c r="G35" s="421"/>
      <c r="H35" s="421"/>
      <c r="I35" s="421"/>
      <c r="J35" s="421"/>
      <c r="K35" s="421"/>
      <c r="L35" s="421"/>
      <c r="M35" s="421"/>
      <c r="N35" s="421"/>
      <c r="O35" s="135"/>
      <c r="P35" s="135"/>
      <c r="Q35" s="132"/>
      <c r="R35" s="136"/>
    </row>
    <row r="36" spans="1:18" ht="20.25" customHeight="1">
      <c r="A36" s="132"/>
      <c r="B36" s="133"/>
      <c r="C36" s="127"/>
      <c r="D36" s="135"/>
      <c r="E36" s="135"/>
      <c r="F36" s="422"/>
      <c r="G36" s="423"/>
      <c r="H36" s="423"/>
      <c r="I36" s="423"/>
      <c r="J36" s="423"/>
      <c r="K36" s="423"/>
      <c r="L36" s="423"/>
      <c r="M36" s="423"/>
      <c r="N36" s="424"/>
      <c r="O36" s="135"/>
      <c r="P36" s="135"/>
      <c r="Q36" s="132"/>
      <c r="R36" s="136"/>
    </row>
    <row r="37" spans="1:18" ht="20.25" customHeight="1">
      <c r="A37" s="132"/>
      <c r="B37" s="133"/>
      <c r="C37" s="127"/>
      <c r="D37" s="135"/>
      <c r="E37" s="135"/>
      <c r="F37" s="422"/>
      <c r="G37" s="423"/>
      <c r="H37" s="423"/>
      <c r="I37" s="423"/>
      <c r="J37" s="423"/>
      <c r="K37" s="423"/>
      <c r="L37" s="423"/>
      <c r="M37" s="423"/>
      <c r="N37" s="424"/>
      <c r="O37" s="135"/>
      <c r="P37" s="135"/>
      <c r="Q37" s="132"/>
      <c r="R37" s="136"/>
    </row>
    <row r="38" spans="1:18" ht="20.25" customHeight="1">
      <c r="A38" s="132"/>
      <c r="B38" s="133"/>
      <c r="C38" s="127"/>
      <c r="D38" s="135"/>
      <c r="E38" s="135"/>
      <c r="F38" s="422"/>
      <c r="G38" s="423"/>
      <c r="H38" s="423"/>
      <c r="I38" s="423"/>
      <c r="J38" s="423"/>
      <c r="K38" s="423"/>
      <c r="L38" s="423"/>
      <c r="M38" s="423"/>
      <c r="N38" s="424"/>
      <c r="O38" s="135"/>
      <c r="P38" s="135"/>
      <c r="Q38" s="132"/>
      <c r="R38" s="136"/>
    </row>
    <row r="39" spans="1:18" ht="20.25" customHeight="1">
      <c r="A39" s="132"/>
      <c r="B39" s="133"/>
      <c r="C39" s="127"/>
      <c r="D39" s="135"/>
      <c r="E39" s="135"/>
      <c r="F39" s="422"/>
      <c r="G39" s="423"/>
      <c r="H39" s="423"/>
      <c r="I39" s="423"/>
      <c r="J39" s="423"/>
      <c r="K39" s="423"/>
      <c r="L39" s="423"/>
      <c r="M39" s="423"/>
      <c r="N39" s="424"/>
      <c r="O39" s="135"/>
      <c r="P39" s="135"/>
      <c r="Q39" s="132"/>
      <c r="R39" s="136"/>
    </row>
    <row r="40" spans="1:18" ht="20.25" customHeight="1">
      <c r="A40" s="132"/>
      <c r="B40" s="133"/>
      <c r="C40" s="127"/>
      <c r="D40" s="135"/>
      <c r="E40" s="135"/>
      <c r="F40" s="422"/>
      <c r="G40" s="423"/>
      <c r="H40" s="423"/>
      <c r="I40" s="423"/>
      <c r="J40" s="423"/>
      <c r="K40" s="423"/>
      <c r="L40" s="423"/>
      <c r="M40" s="423"/>
      <c r="N40" s="424"/>
      <c r="O40" s="135"/>
      <c r="P40" s="135"/>
      <c r="Q40" s="132"/>
      <c r="R40" s="136"/>
    </row>
    <row r="41" spans="1:18" ht="20.25" customHeight="1">
      <c r="A41" s="132"/>
      <c r="B41" s="133"/>
      <c r="C41" s="127"/>
      <c r="D41" s="135"/>
      <c r="E41" s="135"/>
      <c r="F41" s="420"/>
      <c r="G41" s="421"/>
      <c r="H41" s="421"/>
      <c r="I41" s="421"/>
      <c r="J41" s="421"/>
      <c r="K41" s="421"/>
      <c r="L41" s="421"/>
      <c r="M41" s="421"/>
      <c r="N41" s="421"/>
      <c r="O41" s="135"/>
      <c r="P41" s="135"/>
      <c r="Q41" s="132"/>
      <c r="R41" s="136"/>
    </row>
    <row r="42" spans="1:18" ht="20.25" customHeight="1">
      <c r="A42" s="139"/>
      <c r="B42" s="140"/>
      <c r="C42" s="127"/>
      <c r="D42" s="141"/>
      <c r="E42" s="141"/>
      <c r="F42" s="417"/>
      <c r="G42" s="418"/>
      <c r="H42" s="418"/>
      <c r="I42" s="418"/>
      <c r="J42" s="418"/>
      <c r="K42" s="418"/>
      <c r="L42" s="418"/>
      <c r="M42" s="418"/>
      <c r="N42" s="419"/>
      <c r="O42" s="142"/>
      <c r="P42" s="143"/>
      <c r="Q42" s="139"/>
      <c r="R42" s="144"/>
    </row>
    <row r="43" spans="1:18" ht="18" customHeight="1">
      <c r="A43" s="145" t="s">
        <v>156</v>
      </c>
      <c r="B43" s="126"/>
      <c r="C43" s="126"/>
      <c r="D43" s="126"/>
      <c r="E43" s="126"/>
      <c r="F43" s="126"/>
      <c r="G43" s="126"/>
      <c r="H43" s="126"/>
      <c r="I43" s="126"/>
      <c r="J43" s="126"/>
      <c r="K43" s="126"/>
      <c r="L43" s="126"/>
      <c r="M43" s="126"/>
      <c r="N43" s="126"/>
      <c r="O43" s="126"/>
      <c r="P43" s="126"/>
      <c r="Q43" s="126"/>
      <c r="R43" s="131"/>
    </row>
    <row r="44" spans="1:18">
      <c r="A44" s="132"/>
      <c r="B44" s="146"/>
      <c r="C44" s="133"/>
      <c r="D44" s="133"/>
      <c r="E44" s="133"/>
      <c r="F44" s="133"/>
      <c r="G44" s="133"/>
      <c r="H44" s="133"/>
      <c r="I44" s="133"/>
      <c r="J44" s="133"/>
      <c r="K44" s="133"/>
      <c r="L44" s="133"/>
      <c r="M44" s="133"/>
      <c r="N44" s="133"/>
      <c r="O44" s="133"/>
      <c r="P44" s="133"/>
      <c r="Q44" s="133"/>
      <c r="R44" s="136"/>
    </row>
    <row r="45" spans="1:18">
      <c r="A45" s="147"/>
      <c r="B45" s="146"/>
      <c r="C45" s="146"/>
      <c r="D45" s="146"/>
      <c r="E45" s="146"/>
      <c r="F45" s="146"/>
      <c r="G45" s="146"/>
      <c r="H45" s="146"/>
      <c r="I45" s="146"/>
      <c r="J45" s="146"/>
      <c r="K45" s="146"/>
      <c r="L45" s="146"/>
      <c r="M45" s="146"/>
      <c r="N45" s="146"/>
      <c r="O45" s="146"/>
      <c r="P45" s="146"/>
      <c r="Q45" s="146"/>
      <c r="R45" s="148"/>
    </row>
    <row r="46" spans="1:18">
      <c r="A46" s="147"/>
      <c r="B46" s="146"/>
      <c r="C46" s="146"/>
      <c r="D46" s="146"/>
      <c r="E46" s="146"/>
      <c r="F46" s="146"/>
      <c r="G46" s="146"/>
      <c r="H46" s="146"/>
      <c r="I46" s="146"/>
      <c r="J46" s="146"/>
      <c r="K46" s="146"/>
      <c r="L46" s="146"/>
      <c r="M46" s="146"/>
      <c r="N46" s="146"/>
      <c r="O46" s="146"/>
      <c r="P46" s="146"/>
      <c r="Q46" s="146"/>
      <c r="R46" s="148"/>
    </row>
    <row r="47" spans="1:18">
      <c r="A47" s="149"/>
      <c r="B47" s="150"/>
      <c r="C47" s="150"/>
      <c r="D47" s="150"/>
      <c r="E47" s="150"/>
      <c r="F47" s="150"/>
      <c r="G47" s="150"/>
      <c r="H47" s="150"/>
      <c r="I47" s="150"/>
      <c r="J47" s="150"/>
      <c r="K47" s="150"/>
      <c r="L47" s="150"/>
      <c r="M47" s="150"/>
      <c r="N47" s="150"/>
      <c r="O47" s="150"/>
      <c r="P47" s="150"/>
      <c r="Q47" s="150"/>
      <c r="R47" s="151"/>
    </row>
    <row r="48" spans="1:18" ht="20.25" customHeight="1">
      <c r="A48" s="412" t="s">
        <v>157</v>
      </c>
      <c r="B48" s="413"/>
      <c r="C48" s="413"/>
      <c r="D48" s="413"/>
      <c r="E48" s="413"/>
      <c r="F48" s="413"/>
      <c r="G48" s="414"/>
      <c r="H48" s="412" t="s">
        <v>162</v>
      </c>
      <c r="I48" s="413"/>
      <c r="J48" s="413"/>
      <c r="K48" s="414"/>
      <c r="L48" s="412" t="s">
        <v>158</v>
      </c>
      <c r="M48" s="413"/>
      <c r="N48" s="414"/>
      <c r="P48" s="413" t="s">
        <v>162</v>
      </c>
      <c r="Q48" s="413"/>
      <c r="R48" s="116"/>
    </row>
    <row r="49" spans="1:18">
      <c r="A49" s="152"/>
      <c r="B49" s="113"/>
      <c r="C49" s="113"/>
      <c r="D49" s="415" t="s">
        <v>159</v>
      </c>
      <c r="E49" s="415"/>
      <c r="F49" s="415"/>
      <c r="G49" s="416"/>
      <c r="H49" s="113"/>
      <c r="I49" s="113"/>
      <c r="J49" s="113"/>
      <c r="K49" s="113"/>
      <c r="L49" s="152"/>
      <c r="M49" s="113"/>
      <c r="N49" s="79"/>
      <c r="O49" s="113"/>
      <c r="P49" s="113"/>
      <c r="Q49" s="113"/>
      <c r="R49" s="79"/>
    </row>
    <row r="51" spans="1:18" ht="14">
      <c r="A51" s="153" t="s">
        <v>160</v>
      </c>
    </row>
    <row r="52" spans="1:18" ht="14">
      <c r="A52" s="153" t="s">
        <v>161</v>
      </c>
    </row>
  </sheetData>
  <customSheetViews>
    <customSheetView guid="{2383B994-5DA1-4BB7-BA01-728624653006}" scale="55" showPageBreaks="1" fitToPage="1" hiddenColumns="1" view="pageLayout">
      <selection activeCell="E9" sqref="E9:J9"/>
      <pageMargins left="0.7" right="0.5" top="0.75" bottom="0.75" header="0.3" footer="0.3"/>
      <pageSetup scale="74" orientation="portrait" horizontalDpi="4294967295" verticalDpi="4294967295" r:id="rId1"/>
      <headerFooter alignWithMargins="0"/>
    </customSheetView>
    <customSheetView guid="{2CF83A42-D815-4571-8877-DB621A116308}" scale="55" showPageBreaks="1" fitToPage="1" hiddenColumns="1" view="pageLayout">
      <selection activeCell="E9" sqref="E9:J9"/>
      <pageMargins left="0.7" right="0.5" top="0.75" bottom="0.75" header="0.3" footer="0.3"/>
      <pageSetup scale="74" orientation="portrait" horizontalDpi="4294967295" verticalDpi="4294967295" r:id="rId2"/>
      <headerFooter alignWithMargins="0"/>
    </customSheetView>
    <customSheetView guid="{FFA6C093-E866-4B92-9807-8D478A2763D4}" scale="55" showPageBreaks="1" fitToPage="1" hiddenColumns="1" view="pageLayout">
      <selection activeCell="E9" sqref="E9:J9"/>
      <pageMargins left="0.7" right="0.5" top="0.75" bottom="0.75" header="0.3" footer="0.3"/>
      <pageSetup scale="71" orientation="portrait" horizontalDpi="4294967295" verticalDpi="4294967295" r:id="rId3"/>
      <headerFooter alignWithMargins="0"/>
    </customSheetView>
  </customSheetViews>
  <mergeCells count="48">
    <mergeCell ref="B6:H6"/>
    <mergeCell ref="J6:K6"/>
    <mergeCell ref="N6:O6"/>
    <mergeCell ref="Q6:R6"/>
    <mergeCell ref="B7:D7"/>
    <mergeCell ref="G7:I7"/>
    <mergeCell ref="J7:N7"/>
    <mergeCell ref="F18:N18"/>
    <mergeCell ref="B8:E8"/>
    <mergeCell ref="I8:P8"/>
    <mergeCell ref="E9:J9"/>
    <mergeCell ref="Q10:R10"/>
    <mergeCell ref="F11:N11"/>
    <mergeCell ref="F12:N12"/>
    <mergeCell ref="F13:N13"/>
    <mergeCell ref="F14:N14"/>
    <mergeCell ref="F15:N15"/>
    <mergeCell ref="F16:N16"/>
    <mergeCell ref="F17:N17"/>
    <mergeCell ref="F30:N30"/>
    <mergeCell ref="F19:N19"/>
    <mergeCell ref="F20:N20"/>
    <mergeCell ref="F21:N21"/>
    <mergeCell ref="F22:N22"/>
    <mergeCell ref="F23:N23"/>
    <mergeCell ref="F24:N24"/>
    <mergeCell ref="F25:N25"/>
    <mergeCell ref="F26:N26"/>
    <mergeCell ref="F27:N27"/>
    <mergeCell ref="F28:N28"/>
    <mergeCell ref="F29:N29"/>
    <mergeCell ref="F42:N42"/>
    <mergeCell ref="F31:N31"/>
    <mergeCell ref="F32:N32"/>
    <mergeCell ref="F33:N33"/>
    <mergeCell ref="F34:N34"/>
    <mergeCell ref="F35:N35"/>
    <mergeCell ref="F36:N36"/>
    <mergeCell ref="F37:N37"/>
    <mergeCell ref="F38:N38"/>
    <mergeCell ref="F39:N39"/>
    <mergeCell ref="F40:N40"/>
    <mergeCell ref="F41:N41"/>
    <mergeCell ref="A48:G48"/>
    <mergeCell ref="H48:K48"/>
    <mergeCell ref="L48:N48"/>
    <mergeCell ref="P48:Q48"/>
    <mergeCell ref="D49:G49"/>
  </mergeCells>
  <pageMargins left="0.7" right="0.5" top="0.75" bottom="0.75" header="0.3" footer="0.3"/>
  <pageSetup scale="71" orientation="portrait" r:id="rId4"/>
  <headerFooter alignWithMargins="0"/>
  <drawing r:id="rId5"/>
</worksheet>
</file>

<file path=xl/worksheets/sheet7.xml><?xml version="1.0" encoding="utf-8"?>
<worksheet xmlns="http://schemas.openxmlformats.org/spreadsheetml/2006/main" xmlns:r="http://schemas.openxmlformats.org/officeDocument/2006/relationships">
  <sheetPr codeName="Sheet6"/>
  <dimension ref="A1:F5"/>
  <sheetViews>
    <sheetView workbookViewId="0"/>
  </sheetViews>
  <sheetFormatPr defaultRowHeight="12.5"/>
  <cols>
    <col min="1" max="1" width="11.54296875" customWidth="1"/>
    <col min="2" max="2" width="14.453125" customWidth="1"/>
    <col min="3" max="3" width="8.453125" customWidth="1"/>
    <col min="4" max="4" width="36.453125" customWidth="1"/>
    <col min="5" max="5" width="40.54296875" customWidth="1"/>
    <col min="6" max="6" width="14.54296875" customWidth="1"/>
  </cols>
  <sheetData>
    <row r="1" spans="1:6" ht="13.5">
      <c r="A1" s="156" t="s">
        <v>8</v>
      </c>
      <c r="B1" s="159" t="s">
        <v>9</v>
      </c>
      <c r="C1" s="158" t="s">
        <v>10</v>
      </c>
      <c r="D1" s="159" t="s">
        <v>11</v>
      </c>
      <c r="E1" s="159" t="s">
        <v>12</v>
      </c>
      <c r="F1" s="161" t="s">
        <v>21</v>
      </c>
    </row>
    <row r="2" spans="1:6" ht="13.5">
      <c r="A2" s="167">
        <v>64125</v>
      </c>
      <c r="B2" s="170" t="s">
        <v>47</v>
      </c>
      <c r="C2" s="168">
        <v>1</v>
      </c>
      <c r="D2" s="170" t="s">
        <v>177</v>
      </c>
      <c r="E2" s="170" t="s">
        <v>176</v>
      </c>
      <c r="F2" s="171"/>
    </row>
    <row r="3" spans="1:6" ht="13.5">
      <c r="A3" s="165">
        <v>64260</v>
      </c>
      <c r="B3" s="160" t="s">
        <v>7</v>
      </c>
      <c r="C3" s="157" t="s">
        <v>172</v>
      </c>
      <c r="D3" s="160" t="s">
        <v>178</v>
      </c>
      <c r="E3" s="160" t="s">
        <v>179</v>
      </c>
      <c r="F3" s="162"/>
    </row>
    <row r="4" spans="1:6" ht="13.5">
      <c r="A4" s="165">
        <v>64111</v>
      </c>
      <c r="B4" s="160" t="s">
        <v>33</v>
      </c>
      <c r="C4" s="157">
        <v>1</v>
      </c>
      <c r="D4" s="160" t="s">
        <v>173</v>
      </c>
      <c r="E4" s="160" t="s">
        <v>174</v>
      </c>
      <c r="F4" s="162" t="s">
        <v>175</v>
      </c>
    </row>
    <row r="5" spans="1:6" ht="13.5">
      <c r="A5" s="165">
        <v>64418</v>
      </c>
      <c r="B5" s="160"/>
      <c r="C5" s="157"/>
      <c r="D5" s="160"/>
      <c r="E5" s="160"/>
      <c r="F5" s="162"/>
    </row>
  </sheetData>
  <autoFilter ref="A1:F5">
    <sortState ref="A2:F5">
      <sortCondition ref="B1:B700"/>
    </sortState>
  </autoFilter>
  <customSheetViews>
    <customSheetView guid="{2383B994-5DA1-4BB7-BA01-728624653006}" showAutoFilter="1">
      <pageMargins left="0.7" right="0.7" top="0.75" bottom="0.75" header="0.3" footer="0.3"/>
      <pageSetup paperSize="17" orientation="portrait" horizontalDpi="4294967295" verticalDpi="4294967295" r:id="rId1"/>
      <autoFilter ref="A1:F5">
        <sortState ref="A2:F5">
          <sortCondition ref="B1:B700"/>
        </sortState>
      </autoFilter>
    </customSheetView>
    <customSheetView guid="{2CF83A42-D815-4571-8877-DB621A116308}" showAutoFilter="1">
      <pageMargins left="0.7" right="0.7" top="0.75" bottom="0.75" header="0.3" footer="0.3"/>
      <pageSetup paperSize="17" orientation="portrait" horizontalDpi="4294967295" verticalDpi="4294967295" r:id="rId2"/>
      <autoFilter ref="A1:F5">
        <sortState ref="A2:F5">
          <sortCondition ref="B1:B700"/>
        </sortState>
      </autoFilter>
    </customSheetView>
    <customSheetView guid="{FFA6C093-E866-4B92-9807-8D478A2763D4}" showAutoFilter="1">
      <pageMargins left="0.7" right="0.7" top="0.75" bottom="0.75" header="0.3" footer="0.3"/>
      <pageSetup paperSize="17" orientation="portrait" horizontalDpi="4294967295" verticalDpi="4294967295" r:id="rId3"/>
      <autoFilter ref="A1:F5">
        <sortState ref="A2:F5">
          <sortCondition ref="B1:B700"/>
        </sortState>
      </autoFilter>
    </customSheetView>
  </customSheetViews>
  <conditionalFormatting sqref="A2:A5">
    <cfRule type="expression" dxfId="1" priority="14">
      <formula>G2&gt;0</formula>
    </cfRule>
  </conditionalFormatting>
  <pageMargins left="0.7" right="0.7" top="0.75" bottom="0.75" header="0.3" footer="0.3"/>
  <pageSetup paperSize="17" orientation="portrait" horizontalDpi="4294967295" verticalDpi="4294967295" r:id="rId4"/>
</worksheet>
</file>

<file path=xl/worksheets/sheet8.xml><?xml version="1.0" encoding="utf-8"?>
<worksheet xmlns="http://schemas.openxmlformats.org/spreadsheetml/2006/main" xmlns:r="http://schemas.openxmlformats.org/officeDocument/2006/relationships">
  <sheetPr codeName="Sheet8"/>
  <dimension ref="A1:M1"/>
  <sheetViews>
    <sheetView zoomScale="55" zoomScaleNormal="55" workbookViewId="0">
      <pane ySplit="1" topLeftCell="A2" activePane="bottomLeft" state="frozen"/>
      <selection activeCell="B1" sqref="B1"/>
      <selection pane="bottomLeft" activeCell="A1048576" sqref="A1048576"/>
    </sheetView>
  </sheetViews>
  <sheetFormatPr defaultColWidth="9.453125" defaultRowHeight="15"/>
  <cols>
    <col min="1" max="1" width="10.453125" style="232" customWidth="1"/>
    <col min="2" max="2" width="9.453125" style="233" customWidth="1"/>
    <col min="3" max="3" width="12.453125" style="234" customWidth="1"/>
    <col min="4" max="4" width="5" style="232" customWidth="1"/>
    <col min="5" max="5" width="33.81640625" style="234" customWidth="1"/>
    <col min="6" max="6" width="5" style="232" customWidth="1"/>
    <col min="7" max="7" width="11.1796875" style="235" customWidth="1"/>
    <col min="8" max="8" width="11.1796875" style="232" customWidth="1"/>
    <col min="9" max="9" width="55.81640625" style="234" customWidth="1"/>
    <col min="10" max="10" width="15.453125" style="232" customWidth="1"/>
    <col min="11" max="11" width="12.54296875" style="235" customWidth="1"/>
    <col min="12" max="12" width="59.1796875" style="279" customWidth="1"/>
    <col min="13" max="13" width="21.453125" style="280" customWidth="1"/>
    <col min="14" max="16384" width="9.453125" style="236"/>
  </cols>
  <sheetData>
    <row r="1" spans="1:13" s="231" customFormat="1" ht="27.75" customHeight="1">
      <c r="A1" s="237" t="s">
        <v>14</v>
      </c>
      <c r="B1" s="226" t="s">
        <v>8</v>
      </c>
      <c r="C1" s="227" t="s">
        <v>9</v>
      </c>
      <c r="D1" s="228" t="s">
        <v>10</v>
      </c>
      <c r="E1" s="227" t="s">
        <v>11</v>
      </c>
      <c r="F1" s="228" t="s">
        <v>70</v>
      </c>
      <c r="G1" s="229" t="s">
        <v>18</v>
      </c>
      <c r="H1" s="277" t="s">
        <v>63</v>
      </c>
      <c r="I1" s="227" t="s">
        <v>12</v>
      </c>
      <c r="J1" s="228" t="s">
        <v>20</v>
      </c>
      <c r="K1" s="229" t="s">
        <v>21</v>
      </c>
      <c r="L1" s="230" t="s">
        <v>212</v>
      </c>
      <c r="M1" s="278" t="s">
        <v>213</v>
      </c>
    </row>
  </sheetData>
  <customSheetViews>
    <customSheetView guid="{2383B994-5DA1-4BB7-BA01-728624653006}"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1"/>
    </customSheetView>
    <customSheetView guid="{2CF83A42-D815-4571-8877-DB621A116308}"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2"/>
    </customSheetView>
    <customSheetView guid="{FFA6C093-E866-4B92-9807-8D478A2763D4}"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3"/>
    </customSheetView>
  </customSheetViews>
  <conditionalFormatting sqref="B2:B1998">
    <cfRule type="expression" dxfId="0" priority="41">
      <formula>#REF!&gt;0</formula>
    </cfRule>
  </conditionalFormatting>
  <pageMargins left="0.7" right="0.7" top="0.75" bottom="0.75" header="0.3" footer="0.3"/>
  <pageSetup scale="60" orientation="landscape" r:id="rId4"/>
</worksheet>
</file>

<file path=xl/worksheets/sheet9.xml><?xml version="1.0" encoding="utf-8"?>
<worksheet xmlns="http://schemas.openxmlformats.org/spreadsheetml/2006/main" xmlns:r="http://schemas.openxmlformats.org/officeDocument/2006/relationships">
  <sheetPr codeName="Sheet2"/>
  <dimension ref="A1"/>
  <sheetViews>
    <sheetView workbookViewId="0"/>
  </sheetViews>
  <sheetFormatPr defaultRowHeight="12.5"/>
  <sheetData/>
  <customSheetViews>
    <customSheetView guid="{2383B994-5DA1-4BB7-BA01-728624653006}">
      <pageMargins left="0.7" right="0.7" top="0.75" bottom="0.75" header="0.3" footer="0.3"/>
      <pageSetup orientation="portrait" r:id="rId1"/>
    </customSheetView>
    <customSheetView guid="{2CF83A42-D815-4571-8877-DB621A116308}">
      <pageMargins left="0.7" right="0.7" top="0.75" bottom="0.75" header="0.3" footer="0.3"/>
      <pageSetup orientation="portrait" r:id="rId2"/>
    </customSheetView>
    <customSheetView guid="{FFA6C093-E866-4B92-9807-8D478A2763D4}">
      <pageMargins left="0.7" right="0.7" top="0.75" bottom="0.75" header="0.3" footer="0.3"/>
      <pageSetup orientation="portrait" r:id="rId3"/>
    </customSheetView>
  </customSheetViews>
  <pageMargins left="0.7" right="0.7" top="0.75" bottom="0.75" header="0.3" footer="0.3"/>
  <pageSetup orientation="portrait" r:id="rId4"/>
</worksheet>
</file>

<file path=xl/worksheets/sheet10.xml><?xml version="1.0" encoding="utf-8"?>
<worksheet xmlns="http://schemas.openxmlformats.org/spreadsheetml/2006/main" xmlns:r="http://schemas.openxmlformats.org/officeDocument/2006/relationships">
  <sheetPr codeName="Sheet3"/>
  <dimension ref="A1:K228"/>
  <sheetViews>
    <sheetView zoomScale="80" zoomScaleNormal="80" workbookViewId="0">
      <selection sqref="A1:K33"/>
    </sheetView>
  </sheetViews>
  <sheetFormatPr defaultRowHeight="12.5"/>
  <sheetData>
    <row r="1" spans="1:11" ht="15">
      <c r="A1" s="199"/>
      <c r="B1" s="200"/>
      <c r="C1" s="175"/>
      <c r="D1" s="202"/>
      <c r="E1" s="175"/>
      <c r="F1" s="257"/>
      <c r="G1" s="201"/>
      <c r="H1" s="202"/>
      <c r="I1" s="175"/>
      <c r="J1" s="202"/>
      <c r="K1" s="262"/>
    </row>
    <row r="2" spans="1:11" ht="15">
      <c r="A2" s="245"/>
      <c r="B2" s="246"/>
      <c r="C2" s="188"/>
      <c r="D2" s="245"/>
      <c r="E2" s="247"/>
      <c r="F2" s="245"/>
      <c r="G2" s="267"/>
      <c r="H2" s="217"/>
      <c r="I2" s="188"/>
      <c r="J2" s="217"/>
      <c r="K2" s="266"/>
    </row>
    <row r="3" spans="1:11" ht="15">
      <c r="A3" s="245"/>
      <c r="B3" s="246"/>
      <c r="C3" s="188"/>
      <c r="D3" s="245"/>
      <c r="E3" s="247"/>
      <c r="F3" s="245"/>
      <c r="G3" s="267"/>
      <c r="H3" s="217"/>
      <c r="I3" s="188"/>
      <c r="J3" s="217"/>
      <c r="K3" s="266"/>
    </row>
    <row r="4" spans="1:11" ht="15">
      <c r="A4" s="245"/>
      <c r="B4" s="246"/>
      <c r="C4" s="188"/>
      <c r="D4" s="245"/>
      <c r="E4" s="247"/>
      <c r="F4" s="245"/>
      <c r="G4" s="267"/>
      <c r="H4" s="217"/>
      <c r="I4" s="188"/>
      <c r="J4" s="217"/>
      <c r="K4" s="266"/>
    </row>
    <row r="5" spans="1:11" ht="15">
      <c r="A5" s="245"/>
      <c r="B5" s="246"/>
      <c r="C5" s="188"/>
      <c r="D5" s="245"/>
      <c r="E5" s="247"/>
      <c r="F5" s="245"/>
      <c r="G5" s="267"/>
      <c r="H5" s="217"/>
      <c r="I5" s="276"/>
      <c r="J5" s="217"/>
      <c r="K5" s="266"/>
    </row>
    <row r="6" spans="1:11" ht="15">
      <c r="A6" s="245"/>
      <c r="B6" s="246"/>
      <c r="C6" s="188"/>
      <c r="D6" s="245"/>
      <c r="E6" s="247"/>
      <c r="F6" s="252"/>
      <c r="G6" s="267"/>
      <c r="H6" s="217"/>
      <c r="I6" s="188"/>
      <c r="J6" s="217"/>
      <c r="K6" s="266"/>
    </row>
    <row r="7" spans="1:11" ht="15">
      <c r="A7" s="245"/>
      <c r="B7" s="246"/>
      <c r="C7" s="188"/>
      <c r="D7" s="245"/>
      <c r="E7" s="247"/>
      <c r="F7" s="252"/>
      <c r="G7" s="267"/>
      <c r="H7" s="217"/>
      <c r="I7" s="188"/>
      <c r="J7" s="217"/>
      <c r="K7" s="266"/>
    </row>
    <row r="8" spans="1:11" ht="15">
      <c r="A8" s="245"/>
      <c r="B8" s="246"/>
      <c r="C8" s="188"/>
      <c r="D8" s="245"/>
      <c r="E8" s="247"/>
      <c r="F8" s="245"/>
      <c r="G8" s="267"/>
      <c r="H8" s="217"/>
      <c r="I8" s="188"/>
      <c r="J8" s="217"/>
      <c r="K8" s="266"/>
    </row>
    <row r="9" spans="1:11" ht="15">
      <c r="A9" s="245"/>
      <c r="B9" s="246"/>
      <c r="C9" s="188"/>
      <c r="D9" s="245"/>
      <c r="E9" s="247"/>
      <c r="F9" s="245"/>
      <c r="G9" s="267"/>
      <c r="H9" s="217"/>
      <c r="I9" s="188"/>
      <c r="J9" s="217"/>
      <c r="K9" s="266"/>
    </row>
    <row r="10" spans="1:11" ht="15">
      <c r="A10" s="245"/>
      <c r="B10" s="246"/>
      <c r="C10" s="188"/>
      <c r="D10" s="245"/>
      <c r="E10" s="247"/>
      <c r="F10" s="245"/>
      <c r="G10" s="267"/>
      <c r="H10" s="217"/>
      <c r="I10" s="188"/>
      <c r="J10" s="217"/>
      <c r="K10" s="266"/>
    </row>
    <row r="11" spans="1:11" ht="15">
      <c r="A11" s="245"/>
      <c r="B11" s="246"/>
      <c r="C11" s="188"/>
      <c r="D11" s="245"/>
      <c r="E11" s="247"/>
      <c r="F11" s="245"/>
      <c r="G11" s="267"/>
      <c r="H11" s="217"/>
      <c r="I11" s="188"/>
      <c r="J11" s="217"/>
      <c r="K11" s="272"/>
    </row>
    <row r="12" spans="1:11" ht="15">
      <c r="A12" s="245"/>
      <c r="B12" s="246"/>
      <c r="C12" s="188"/>
      <c r="D12" s="245"/>
      <c r="E12" s="247"/>
      <c r="F12" s="245"/>
      <c r="G12" s="267"/>
      <c r="H12" s="217"/>
      <c r="I12" s="188"/>
      <c r="J12" s="217"/>
      <c r="K12" s="272"/>
    </row>
    <row r="13" spans="1:11" ht="15">
      <c r="A13" s="245"/>
      <c r="B13" s="246"/>
      <c r="C13" s="188"/>
      <c r="D13" s="245"/>
      <c r="E13" s="247"/>
      <c r="F13" s="245"/>
      <c r="G13" s="267"/>
      <c r="H13" s="217"/>
      <c r="I13" s="188"/>
      <c r="J13" s="217"/>
      <c r="K13" s="272"/>
    </row>
    <row r="14" spans="1:11" ht="15">
      <c r="A14" s="245"/>
      <c r="B14" s="246"/>
      <c r="C14" s="188"/>
      <c r="D14" s="245"/>
      <c r="E14" s="247"/>
      <c r="F14" s="245"/>
      <c r="G14" s="267"/>
      <c r="H14" s="217"/>
      <c r="I14" s="188"/>
      <c r="J14" s="217"/>
      <c r="K14" s="266"/>
    </row>
    <row r="15" spans="1:11" ht="15">
      <c r="A15" s="245"/>
      <c r="B15" s="246"/>
      <c r="C15" s="188"/>
      <c r="D15" s="245"/>
      <c r="E15" s="247"/>
      <c r="F15" s="245"/>
      <c r="G15" s="267"/>
      <c r="H15" s="217"/>
      <c r="I15" s="188"/>
      <c r="J15" s="217"/>
      <c r="K15" s="266"/>
    </row>
    <row r="16" spans="1:11" ht="15">
      <c r="A16" s="245"/>
      <c r="B16" s="246"/>
      <c r="C16" s="188"/>
      <c r="D16" s="245"/>
      <c r="E16" s="247"/>
      <c r="F16" s="245"/>
      <c r="G16" s="267"/>
      <c r="H16" s="217"/>
      <c r="I16" s="188"/>
      <c r="J16" s="217"/>
      <c r="K16" s="266"/>
    </row>
    <row r="17" spans="1:11" ht="15">
      <c r="A17" s="245"/>
      <c r="B17" s="246"/>
      <c r="C17" s="188"/>
      <c r="D17" s="245"/>
      <c r="E17" s="247"/>
      <c r="F17" s="245"/>
      <c r="G17" s="267"/>
      <c r="H17" s="217"/>
      <c r="I17" s="188"/>
      <c r="J17" s="217"/>
      <c r="K17" s="266"/>
    </row>
    <row r="18" spans="1:11" ht="15">
      <c r="A18" s="245"/>
      <c r="B18" s="246"/>
      <c r="C18" s="188"/>
      <c r="D18" s="245"/>
      <c r="E18" s="247"/>
      <c r="F18" s="245"/>
      <c r="G18" s="267"/>
      <c r="H18" s="217"/>
      <c r="I18" s="188"/>
      <c r="J18" s="217"/>
      <c r="K18" s="266"/>
    </row>
    <row r="19" spans="1:11" ht="15">
      <c r="A19" s="245"/>
      <c r="B19" s="246"/>
      <c r="C19" s="188"/>
      <c r="D19" s="245"/>
      <c r="E19" s="247"/>
      <c r="F19" s="245"/>
      <c r="G19" s="267"/>
      <c r="H19" s="217"/>
      <c r="I19" s="188"/>
      <c r="J19" s="217"/>
      <c r="K19" s="266"/>
    </row>
    <row r="20" spans="1:11" ht="15">
      <c r="A20" s="245"/>
      <c r="B20" s="246"/>
      <c r="C20" s="188"/>
      <c r="D20" s="245"/>
      <c r="E20" s="247"/>
      <c r="F20" s="245"/>
      <c r="G20" s="267"/>
      <c r="H20" s="217"/>
      <c r="I20" s="188"/>
      <c r="J20" s="217"/>
      <c r="K20" s="266"/>
    </row>
    <row r="21" spans="1:11" ht="15">
      <c r="A21" s="245"/>
      <c r="B21" s="246"/>
      <c r="C21" s="188"/>
      <c r="D21" s="245"/>
      <c r="E21" s="247"/>
      <c r="F21" s="245"/>
      <c r="G21" s="267"/>
      <c r="H21" s="217"/>
      <c r="I21" s="188"/>
      <c r="J21" s="217"/>
      <c r="K21" s="266"/>
    </row>
    <row r="22" spans="1:11" ht="15">
      <c r="A22" s="245"/>
      <c r="B22" s="246"/>
      <c r="C22" s="188"/>
      <c r="D22" s="245"/>
      <c r="E22" s="247"/>
      <c r="F22" s="245"/>
      <c r="G22" s="267"/>
      <c r="H22" s="217"/>
      <c r="I22" s="188"/>
      <c r="J22" s="217"/>
      <c r="K22" s="266"/>
    </row>
    <row r="23" spans="1:11" ht="15">
      <c r="A23" s="245"/>
      <c r="B23" s="246"/>
      <c r="C23" s="188"/>
      <c r="D23" s="245"/>
      <c r="E23" s="247"/>
      <c r="F23" s="245"/>
      <c r="G23" s="267"/>
      <c r="H23" s="217"/>
      <c r="I23" s="188"/>
      <c r="J23" s="217"/>
      <c r="K23" s="266"/>
    </row>
    <row r="24" spans="1:11" ht="15">
      <c r="A24" s="245"/>
      <c r="B24" s="246"/>
      <c r="C24" s="188"/>
      <c r="D24" s="245"/>
      <c r="E24" s="247"/>
      <c r="F24" s="245"/>
      <c r="G24" s="267"/>
      <c r="H24" s="217"/>
      <c r="I24" s="188"/>
      <c r="J24" s="217"/>
      <c r="K24" s="266"/>
    </row>
    <row r="25" spans="1:11" ht="15">
      <c r="A25" s="245"/>
      <c r="B25" s="246"/>
      <c r="C25" s="188"/>
      <c r="D25" s="245"/>
      <c r="E25" s="247"/>
      <c r="F25" s="245"/>
      <c r="G25" s="267"/>
      <c r="H25" s="217"/>
      <c r="I25" s="188"/>
      <c r="J25" s="217"/>
      <c r="K25" s="266"/>
    </row>
    <row r="26" spans="1:11" ht="15">
      <c r="A26" s="245"/>
      <c r="B26" s="246"/>
      <c r="C26" s="188"/>
      <c r="D26" s="245"/>
      <c r="E26" s="247"/>
      <c r="F26" s="245"/>
      <c r="G26" s="267"/>
      <c r="H26" s="217"/>
      <c r="I26" s="188"/>
      <c r="J26" s="217"/>
      <c r="K26" s="266"/>
    </row>
    <row r="27" spans="1:11" ht="15">
      <c r="A27" s="245"/>
      <c r="B27" s="246"/>
      <c r="C27" s="188"/>
      <c r="D27" s="245"/>
      <c r="E27" s="247"/>
      <c r="F27" s="245"/>
      <c r="G27" s="267"/>
      <c r="H27" s="217"/>
      <c r="I27" s="188"/>
      <c r="J27" s="217"/>
      <c r="K27" s="266"/>
    </row>
    <row r="28" spans="1:11" ht="15">
      <c r="A28" s="245"/>
      <c r="B28" s="246"/>
      <c r="C28" s="188"/>
      <c r="D28" s="245"/>
      <c r="E28" s="247"/>
      <c r="F28" s="245"/>
      <c r="G28" s="267"/>
      <c r="H28" s="217"/>
      <c r="I28" s="188"/>
      <c r="J28" s="217"/>
      <c r="K28" s="266"/>
    </row>
    <row r="29" spans="1:11" ht="15">
      <c r="A29" s="245"/>
      <c r="B29" s="246"/>
      <c r="C29" s="188"/>
      <c r="D29" s="245"/>
      <c r="E29" s="247"/>
      <c r="F29" s="245"/>
      <c r="G29" s="267"/>
      <c r="H29" s="217"/>
      <c r="I29" s="188"/>
      <c r="J29" s="217"/>
      <c r="K29" s="266"/>
    </row>
    <row r="30" spans="1:11" ht="15">
      <c r="A30" s="245"/>
      <c r="B30" s="246"/>
      <c r="C30" s="188"/>
      <c r="D30" s="245"/>
      <c r="E30" s="247"/>
      <c r="F30" s="245"/>
      <c r="G30" s="267"/>
      <c r="H30" s="217"/>
      <c r="I30" s="188"/>
      <c r="J30" s="217"/>
      <c r="K30" s="266"/>
    </row>
    <row r="31" spans="1:11" ht="15">
      <c r="A31" s="245"/>
      <c r="B31" s="246"/>
      <c r="C31" s="188"/>
      <c r="D31" s="245"/>
      <c r="E31" s="247"/>
      <c r="F31" s="245"/>
      <c r="G31" s="267"/>
      <c r="H31" s="217"/>
      <c r="I31" s="188"/>
      <c r="J31" s="217"/>
      <c r="K31" s="266"/>
    </row>
    <row r="32" spans="1:11" ht="15">
      <c r="A32" s="245"/>
      <c r="B32" s="246"/>
      <c r="C32" s="188"/>
      <c r="D32" s="245"/>
      <c r="E32" s="247"/>
      <c r="F32" s="245"/>
      <c r="G32" s="267"/>
      <c r="H32" s="217"/>
      <c r="I32" s="188"/>
      <c r="J32" s="217"/>
      <c r="K32" s="266"/>
    </row>
    <row r="33" spans="1:11" ht="15">
      <c r="A33" s="245"/>
      <c r="B33" s="246"/>
      <c r="C33" s="188"/>
      <c r="D33" s="245"/>
      <c r="E33" s="247"/>
      <c r="F33" s="245"/>
      <c r="G33" s="267"/>
      <c r="H33" s="217"/>
      <c r="I33" s="188"/>
      <c r="J33" s="217"/>
      <c r="K33" s="266"/>
    </row>
    <row r="34" spans="1:11" ht="15">
      <c r="A34" s="214"/>
      <c r="B34" s="215"/>
      <c r="C34" s="176"/>
      <c r="D34" s="217"/>
      <c r="E34" s="176"/>
      <c r="F34" s="177"/>
      <c r="G34" s="216"/>
      <c r="H34" s="217"/>
      <c r="I34" s="176"/>
      <c r="J34" s="177"/>
      <c r="K34" s="222"/>
    </row>
    <row r="35" spans="1:11" ht="15">
      <c r="A35" s="214"/>
      <c r="B35" s="215"/>
      <c r="C35" s="176"/>
      <c r="D35" s="217"/>
      <c r="E35" s="176"/>
      <c r="F35" s="177"/>
      <c r="G35" s="216"/>
      <c r="H35" s="217"/>
      <c r="I35" s="176"/>
      <c r="J35" s="177"/>
      <c r="K35" s="222"/>
    </row>
    <row r="36" spans="1:11" ht="15">
      <c r="A36" s="214"/>
      <c r="B36" s="215"/>
      <c r="C36" s="176"/>
      <c r="D36" s="217"/>
      <c r="E36" s="176"/>
      <c r="F36" s="177"/>
      <c r="G36" s="216"/>
      <c r="H36" s="217"/>
      <c r="I36" s="221"/>
      <c r="J36" s="217"/>
      <c r="K36" s="222"/>
    </row>
    <row r="37" spans="1:11" ht="15">
      <c r="A37" s="214"/>
      <c r="B37" s="215"/>
      <c r="C37" s="176"/>
      <c r="D37" s="217"/>
      <c r="E37" s="176"/>
      <c r="F37" s="177"/>
      <c r="G37" s="216"/>
      <c r="H37" s="217"/>
      <c r="I37" s="176"/>
      <c r="J37" s="177"/>
      <c r="K37" s="222"/>
    </row>
    <row r="38" spans="1:11" ht="15">
      <c r="A38" s="214"/>
      <c r="B38" s="215"/>
      <c r="C38" s="176"/>
      <c r="D38" s="217"/>
      <c r="E38" s="176"/>
      <c r="F38" s="239"/>
      <c r="G38" s="216"/>
      <c r="H38" s="217"/>
      <c r="I38" s="176"/>
      <c r="J38" s="217"/>
      <c r="K38" s="222"/>
    </row>
    <row r="39" spans="1:11" ht="15">
      <c r="A39" s="214"/>
      <c r="B39" s="215"/>
      <c r="C39" s="176"/>
      <c r="D39" s="217"/>
      <c r="E39" s="176"/>
      <c r="F39" s="239"/>
      <c r="G39" s="216"/>
      <c r="H39" s="217"/>
      <c r="I39" s="176"/>
      <c r="J39" s="217"/>
      <c r="K39" s="222"/>
    </row>
    <row r="40" spans="1:11" ht="15">
      <c r="A40" s="214"/>
      <c r="B40" s="215"/>
      <c r="C40" s="176"/>
      <c r="D40" s="217"/>
      <c r="E40" s="176"/>
      <c r="F40" s="239"/>
      <c r="G40" s="216"/>
      <c r="H40" s="217"/>
      <c r="I40" s="176"/>
      <c r="J40" s="217"/>
      <c r="K40" s="222"/>
    </row>
    <row r="41" spans="1:11" ht="15">
      <c r="A41" s="214"/>
      <c r="B41" s="215"/>
      <c r="C41" s="176"/>
      <c r="D41" s="217"/>
      <c r="E41" s="176"/>
      <c r="F41" s="239"/>
      <c r="G41" s="216"/>
      <c r="H41" s="217"/>
      <c r="I41" s="176"/>
      <c r="J41" s="217"/>
      <c r="K41" s="222"/>
    </row>
    <row r="42" spans="1:11" ht="15">
      <c r="A42" s="214"/>
      <c r="B42" s="215"/>
      <c r="C42" s="176"/>
      <c r="D42" s="217"/>
      <c r="E42" s="176"/>
      <c r="F42" s="239"/>
      <c r="G42" s="216"/>
      <c r="H42" s="217"/>
      <c r="I42" s="176"/>
      <c r="J42" s="217"/>
      <c r="K42" s="222"/>
    </row>
    <row r="43" spans="1:11" ht="15">
      <c r="A43" s="214"/>
      <c r="B43" s="215"/>
      <c r="C43" s="176"/>
      <c r="D43" s="217"/>
      <c r="E43" s="176"/>
      <c r="F43" s="239"/>
      <c r="G43" s="216"/>
      <c r="H43" s="217"/>
      <c r="I43" s="176"/>
      <c r="J43" s="217"/>
      <c r="K43" s="222"/>
    </row>
    <row r="44" spans="1:11" ht="15">
      <c r="A44" s="214"/>
      <c r="B44" s="215"/>
      <c r="C44" s="176"/>
      <c r="D44" s="217"/>
      <c r="E44" s="176"/>
      <c r="F44" s="239"/>
      <c r="G44" s="216"/>
      <c r="H44" s="217"/>
      <c r="I44" s="176"/>
      <c r="J44" s="217"/>
      <c r="K44" s="222"/>
    </row>
    <row r="45" spans="1:11" ht="15">
      <c r="A45" s="214"/>
      <c r="B45" s="215"/>
      <c r="C45" s="176"/>
      <c r="D45" s="217"/>
      <c r="E45" s="176"/>
      <c r="F45" s="239"/>
      <c r="G45" s="216"/>
      <c r="H45" s="217"/>
      <c r="I45" s="176"/>
      <c r="J45" s="217"/>
      <c r="K45" s="222"/>
    </row>
    <row r="46" spans="1:11" ht="15">
      <c r="A46" s="214"/>
      <c r="B46" s="215"/>
      <c r="C46" s="176"/>
      <c r="D46" s="217"/>
      <c r="E46" s="176"/>
      <c r="F46" s="239"/>
      <c r="G46" s="216"/>
      <c r="H46" s="217"/>
      <c r="I46" s="176"/>
      <c r="J46" s="217"/>
      <c r="K46" s="222"/>
    </row>
    <row r="47" spans="1:11" ht="15">
      <c r="A47" s="214"/>
      <c r="B47" s="215"/>
      <c r="C47" s="176"/>
      <c r="D47" s="217"/>
      <c r="E47" s="176"/>
      <c r="F47" s="239"/>
      <c r="G47" s="216"/>
      <c r="H47" s="217"/>
      <c r="I47" s="176"/>
      <c r="J47" s="217"/>
      <c r="K47" s="222"/>
    </row>
    <row r="48" spans="1:11" ht="15">
      <c r="A48" s="214"/>
      <c r="B48" s="215"/>
      <c r="C48" s="176"/>
      <c r="D48" s="217"/>
      <c r="E48" s="176"/>
      <c r="F48" s="239"/>
      <c r="G48" s="216"/>
      <c r="H48" s="217"/>
      <c r="I48" s="176"/>
      <c r="J48" s="217"/>
      <c r="K48" s="222"/>
    </row>
    <row r="49" spans="1:11" ht="15">
      <c r="A49" s="214"/>
      <c r="B49" s="215"/>
      <c r="C49" s="176"/>
      <c r="D49" s="217"/>
      <c r="E49" s="176"/>
      <c r="F49" s="239"/>
      <c r="G49" s="216"/>
      <c r="H49" s="217"/>
      <c r="I49" s="176"/>
      <c r="J49" s="217"/>
      <c r="K49" s="222"/>
    </row>
    <row r="50" spans="1:11" ht="15">
      <c r="A50" s="214"/>
      <c r="B50" s="215"/>
      <c r="C50" s="176"/>
      <c r="D50" s="217"/>
      <c r="E50" s="176"/>
      <c r="F50" s="239"/>
      <c r="G50" s="216"/>
      <c r="H50" s="217"/>
      <c r="I50" s="176"/>
      <c r="J50" s="217"/>
      <c r="K50" s="222"/>
    </row>
    <row r="51" spans="1:11" ht="15">
      <c r="A51" s="214"/>
      <c r="B51" s="215"/>
      <c r="C51" s="176"/>
      <c r="D51" s="217"/>
      <c r="E51" s="176"/>
      <c r="F51" s="177"/>
      <c r="G51" s="216"/>
      <c r="H51" s="217"/>
      <c r="I51" s="176"/>
      <c r="J51" s="177"/>
      <c r="K51" s="222"/>
    </row>
    <row r="52" spans="1:11" ht="15">
      <c r="A52" s="214"/>
      <c r="B52" s="215"/>
      <c r="C52" s="176"/>
      <c r="D52" s="217"/>
      <c r="E52" s="176"/>
      <c r="F52" s="239"/>
      <c r="G52" s="216"/>
      <c r="H52" s="217"/>
      <c r="I52" s="176"/>
      <c r="J52" s="177"/>
      <c r="K52" s="222"/>
    </row>
    <row r="53" spans="1:11" ht="15">
      <c r="A53" s="214"/>
      <c r="B53" s="215"/>
      <c r="C53" s="176"/>
      <c r="D53" s="217"/>
      <c r="E53" s="176"/>
      <c r="F53" s="239"/>
      <c r="G53" s="216"/>
      <c r="H53" s="217"/>
      <c r="I53" s="176"/>
      <c r="J53" s="177"/>
      <c r="K53" s="222"/>
    </row>
    <row r="54" spans="1:11" ht="15">
      <c r="A54" s="214"/>
      <c r="B54" s="215"/>
      <c r="C54" s="176"/>
      <c r="D54" s="217"/>
      <c r="E54" s="176"/>
      <c r="F54" s="239"/>
      <c r="G54" s="216"/>
      <c r="H54" s="217"/>
      <c r="I54" s="176"/>
      <c r="J54" s="177"/>
      <c r="K54" s="222"/>
    </row>
    <row r="55" spans="1:11" ht="15">
      <c r="A55" s="214"/>
      <c r="B55" s="215"/>
      <c r="C55" s="176"/>
      <c r="D55" s="217"/>
      <c r="E55" s="176"/>
      <c r="F55" s="239"/>
      <c r="G55" s="216"/>
      <c r="H55" s="217"/>
      <c r="I55" s="176"/>
      <c r="J55" s="177"/>
      <c r="K55" s="222"/>
    </row>
    <row r="56" spans="1:11" ht="15">
      <c r="A56" s="214"/>
      <c r="B56" s="215"/>
      <c r="C56" s="176"/>
      <c r="D56" s="217"/>
      <c r="E56" s="176"/>
      <c r="F56" s="239"/>
      <c r="G56" s="216"/>
      <c r="H56" s="217"/>
      <c r="I56" s="176"/>
      <c r="J56" s="177"/>
      <c r="K56" s="222"/>
    </row>
    <row r="57" spans="1:11" ht="15">
      <c r="A57" s="214"/>
      <c r="B57" s="215"/>
      <c r="C57" s="176"/>
      <c r="D57" s="217"/>
      <c r="E57" s="176"/>
      <c r="F57" s="239"/>
      <c r="G57" s="216"/>
      <c r="H57" s="217"/>
      <c r="I57" s="176"/>
      <c r="J57" s="177"/>
      <c r="K57" s="222"/>
    </row>
    <row r="58" spans="1:11" ht="15">
      <c r="A58" s="214"/>
      <c r="B58" s="215"/>
      <c r="C58" s="176"/>
      <c r="D58" s="217"/>
      <c r="E58" s="176"/>
      <c r="F58" s="239"/>
      <c r="G58" s="216"/>
      <c r="H58" s="217"/>
      <c r="I58" s="176"/>
      <c r="J58" s="177"/>
      <c r="K58" s="222"/>
    </row>
    <row r="59" spans="1:11" ht="15">
      <c r="A59" s="214"/>
      <c r="B59" s="215"/>
      <c r="C59" s="176"/>
      <c r="D59" s="217"/>
      <c r="E59" s="176"/>
      <c r="F59" s="239"/>
      <c r="G59" s="216"/>
      <c r="H59" s="217"/>
      <c r="I59" s="176"/>
      <c r="J59" s="177"/>
      <c r="K59" s="222"/>
    </row>
    <row r="60" spans="1:11" ht="15">
      <c r="A60" s="214"/>
      <c r="B60" s="215"/>
      <c r="C60" s="176"/>
      <c r="D60" s="217"/>
      <c r="E60" s="176"/>
      <c r="F60" s="239"/>
      <c r="G60" s="216"/>
      <c r="H60" s="217"/>
      <c r="I60" s="176"/>
      <c r="J60" s="177"/>
      <c r="K60" s="222"/>
    </row>
    <row r="61" spans="1:11" ht="15">
      <c r="A61" s="214"/>
      <c r="B61" s="215"/>
      <c r="C61" s="176"/>
      <c r="D61" s="217"/>
      <c r="E61" s="176"/>
      <c r="F61" s="239"/>
      <c r="G61" s="216"/>
      <c r="H61" s="217"/>
      <c r="I61" s="176"/>
      <c r="J61" s="177"/>
      <c r="K61" s="222"/>
    </row>
    <row r="62" spans="1:11" ht="15">
      <c r="A62" s="214"/>
      <c r="B62" s="215"/>
      <c r="C62" s="176"/>
      <c r="D62" s="217"/>
      <c r="E62" s="176"/>
      <c r="F62" s="239"/>
      <c r="G62" s="216"/>
      <c r="H62" s="217"/>
      <c r="I62" s="176"/>
      <c r="J62" s="177"/>
      <c r="K62" s="222"/>
    </row>
    <row r="63" spans="1:11" ht="15">
      <c r="A63" s="214"/>
      <c r="B63" s="215"/>
      <c r="C63" s="176"/>
      <c r="D63" s="217"/>
      <c r="E63" s="176"/>
      <c r="F63" s="239"/>
      <c r="G63" s="216"/>
      <c r="H63" s="217"/>
      <c r="I63" s="176"/>
      <c r="J63" s="177"/>
      <c r="K63" s="222"/>
    </row>
    <row r="64" spans="1:11" ht="15">
      <c r="A64" s="214"/>
      <c r="B64" s="215"/>
      <c r="C64" s="176"/>
      <c r="D64" s="217"/>
      <c r="E64" s="176"/>
      <c r="F64" s="239"/>
      <c r="G64" s="216"/>
      <c r="H64" s="217"/>
      <c r="I64" s="176"/>
      <c r="J64" s="177"/>
      <c r="K64" s="222"/>
    </row>
    <row r="65" spans="1:11" ht="15">
      <c r="A65" s="214"/>
      <c r="B65" s="215"/>
      <c r="C65" s="176"/>
      <c r="D65" s="217"/>
      <c r="E65" s="176"/>
      <c r="F65" s="177"/>
      <c r="G65" s="216"/>
      <c r="H65" s="217"/>
      <c r="I65" s="176"/>
      <c r="J65" s="177"/>
      <c r="K65" s="222"/>
    </row>
    <row r="66" spans="1:11" ht="15">
      <c r="A66" s="214"/>
      <c r="B66" s="215"/>
      <c r="C66" s="176"/>
      <c r="D66" s="217"/>
      <c r="E66" s="176"/>
      <c r="F66" s="177"/>
      <c r="G66" s="216"/>
      <c r="H66" s="217"/>
      <c r="I66" s="176"/>
      <c r="J66" s="239"/>
      <c r="K66" s="222"/>
    </row>
    <row r="67" spans="1:11" ht="15">
      <c r="A67" s="214"/>
      <c r="B67" s="215"/>
      <c r="C67" s="176"/>
      <c r="D67" s="217"/>
      <c r="E67" s="176"/>
      <c r="F67" s="177"/>
      <c r="G67" s="216"/>
      <c r="H67" s="217"/>
      <c r="I67" s="176"/>
      <c r="J67" s="239"/>
      <c r="K67" s="222"/>
    </row>
    <row r="68" spans="1:11" ht="15">
      <c r="A68" s="214"/>
      <c r="B68" s="215"/>
      <c r="C68" s="176"/>
      <c r="D68" s="217"/>
      <c r="E68" s="176"/>
      <c r="F68" s="177"/>
      <c r="G68" s="216"/>
      <c r="H68" s="217"/>
      <c r="I68" s="176"/>
      <c r="J68" s="239"/>
      <c r="K68" s="222"/>
    </row>
    <row r="69" spans="1:11" ht="15">
      <c r="A69" s="214"/>
      <c r="B69" s="215"/>
      <c r="C69" s="176"/>
      <c r="D69" s="217"/>
      <c r="E69" s="176"/>
      <c r="F69" s="177"/>
      <c r="G69" s="216"/>
      <c r="H69" s="217"/>
      <c r="I69" s="176"/>
      <c r="J69" s="177"/>
      <c r="K69" s="222"/>
    </row>
    <row r="70" spans="1:11" ht="15">
      <c r="A70" s="214"/>
      <c r="B70" s="215"/>
      <c r="C70" s="176"/>
      <c r="D70" s="217"/>
      <c r="E70" s="176"/>
      <c r="F70" s="177"/>
      <c r="G70" s="216"/>
      <c r="H70" s="217"/>
      <c r="I70" s="176"/>
      <c r="J70" s="177"/>
      <c r="K70" s="222"/>
    </row>
    <row r="71" spans="1:11" ht="15">
      <c r="A71" s="214"/>
      <c r="B71" s="215"/>
      <c r="C71" s="176"/>
      <c r="D71" s="217"/>
      <c r="E71" s="176"/>
      <c r="F71" s="177"/>
      <c r="G71" s="216"/>
      <c r="H71" s="217"/>
      <c r="I71" s="176"/>
      <c r="J71" s="177"/>
      <c r="K71" s="222"/>
    </row>
    <row r="72" spans="1:11" ht="15">
      <c r="A72" s="214"/>
      <c r="B72" s="215"/>
      <c r="C72" s="176"/>
      <c r="D72" s="217"/>
      <c r="E72" s="176"/>
      <c r="F72" s="177"/>
      <c r="G72" s="216"/>
      <c r="H72" s="217"/>
      <c r="I72" s="176"/>
      <c r="J72" s="177"/>
      <c r="K72" s="222"/>
    </row>
    <row r="73" spans="1:11" ht="15">
      <c r="A73" s="214"/>
      <c r="B73" s="215"/>
      <c r="C73" s="176"/>
      <c r="D73" s="217"/>
      <c r="E73" s="176"/>
      <c r="F73" s="177"/>
      <c r="G73" s="216"/>
      <c r="H73" s="217"/>
      <c r="I73" s="176"/>
      <c r="J73" s="177"/>
      <c r="K73" s="222"/>
    </row>
    <row r="74" spans="1:11" ht="15">
      <c r="A74" s="214"/>
      <c r="B74" s="215"/>
      <c r="C74" s="176"/>
      <c r="D74" s="217"/>
      <c r="E74" s="176"/>
      <c r="F74" s="177"/>
      <c r="G74" s="216"/>
      <c r="H74" s="217"/>
      <c r="I74" s="176"/>
      <c r="J74" s="177"/>
      <c r="K74" s="222"/>
    </row>
    <row r="75" spans="1:11" ht="15">
      <c r="A75" s="214"/>
      <c r="B75" s="215"/>
      <c r="C75" s="176"/>
      <c r="D75" s="240"/>
      <c r="E75" s="176"/>
      <c r="F75" s="177"/>
      <c r="G75" s="216"/>
      <c r="H75" s="217"/>
      <c r="I75" s="176"/>
      <c r="J75" s="177"/>
      <c r="K75" s="222"/>
    </row>
    <row r="76" spans="1:11" ht="15">
      <c r="A76" s="214"/>
      <c r="B76" s="215"/>
      <c r="C76" s="176"/>
      <c r="D76" s="217"/>
      <c r="E76" s="176"/>
      <c r="F76" s="177"/>
      <c r="G76" s="216"/>
      <c r="H76" s="217"/>
      <c r="I76" s="176"/>
      <c r="J76" s="177"/>
      <c r="K76" s="222"/>
    </row>
    <row r="77" spans="1:11" ht="15">
      <c r="A77" s="214"/>
      <c r="B77" s="215"/>
      <c r="C77" s="176"/>
      <c r="D77" s="217"/>
      <c r="E77" s="176"/>
      <c r="F77" s="177"/>
      <c r="G77" s="216"/>
      <c r="H77" s="217"/>
      <c r="I77" s="176"/>
      <c r="J77" s="177"/>
      <c r="K77" s="222"/>
    </row>
    <row r="78" spans="1:11" ht="15">
      <c r="A78" s="214"/>
      <c r="B78" s="215"/>
      <c r="C78" s="176"/>
      <c r="D78" s="217"/>
      <c r="E78" s="176"/>
      <c r="F78" s="177"/>
      <c r="G78" s="216"/>
      <c r="H78" s="217"/>
      <c r="I78" s="176"/>
      <c r="J78" s="177"/>
      <c r="K78" s="222"/>
    </row>
    <row r="79" spans="1:11" ht="15">
      <c r="A79" s="214"/>
      <c r="B79" s="215"/>
      <c r="C79" s="176"/>
      <c r="D79" s="217"/>
      <c r="E79" s="176"/>
      <c r="F79" s="177"/>
      <c r="G79" s="216"/>
      <c r="H79" s="217"/>
      <c r="I79" s="176"/>
      <c r="J79" s="177"/>
      <c r="K79" s="222"/>
    </row>
    <row r="80" spans="1:11" ht="15">
      <c r="A80" s="214"/>
      <c r="B80" s="215"/>
      <c r="C80" s="176"/>
      <c r="D80" s="217"/>
      <c r="E80" s="176"/>
      <c r="F80" s="177"/>
      <c r="G80" s="216"/>
      <c r="H80" s="217"/>
      <c r="I80" s="176"/>
      <c r="J80" s="177"/>
      <c r="K80" s="222"/>
    </row>
    <row r="81" spans="1:11" ht="15">
      <c r="A81" s="214"/>
      <c r="B81" s="215"/>
      <c r="C81" s="176"/>
      <c r="D81" s="217"/>
      <c r="E81" s="176"/>
      <c r="F81" s="177"/>
      <c r="G81" s="216"/>
      <c r="H81" s="217"/>
      <c r="I81" s="176"/>
      <c r="J81" s="177"/>
      <c r="K81" s="222"/>
    </row>
    <row r="82" spans="1:11" ht="15">
      <c r="A82" s="214"/>
      <c r="B82" s="215"/>
      <c r="C82" s="176"/>
      <c r="D82" s="217"/>
      <c r="E82" s="176"/>
      <c r="F82" s="177"/>
      <c r="G82" s="216"/>
      <c r="H82" s="217"/>
      <c r="I82" s="176"/>
      <c r="J82" s="177"/>
      <c r="K82" s="222"/>
    </row>
    <row r="83" spans="1:11" ht="15">
      <c r="A83" s="214"/>
      <c r="B83" s="215"/>
      <c r="C83" s="176"/>
      <c r="D83" s="217"/>
      <c r="E83" s="176"/>
      <c r="F83" s="177"/>
      <c r="G83" s="216"/>
      <c r="H83" s="217"/>
      <c r="I83" s="176"/>
      <c r="J83" s="177"/>
      <c r="K83" s="222"/>
    </row>
    <row r="84" spans="1:11" ht="15">
      <c r="A84" s="214"/>
      <c r="B84" s="215"/>
      <c r="C84" s="176"/>
      <c r="D84" s="217"/>
      <c r="E84" s="176"/>
      <c r="F84" s="177"/>
      <c r="G84" s="216"/>
      <c r="H84" s="217"/>
      <c r="I84" s="176"/>
      <c r="J84" s="177"/>
      <c r="K84" s="222"/>
    </row>
    <row r="85" spans="1:11" ht="15">
      <c r="A85" s="214"/>
      <c r="B85" s="215"/>
      <c r="C85" s="176"/>
      <c r="D85" s="217"/>
      <c r="E85" s="176"/>
      <c r="F85" s="177"/>
      <c r="G85" s="216"/>
      <c r="H85" s="217"/>
      <c r="I85" s="176"/>
      <c r="J85" s="177"/>
      <c r="K85" s="222"/>
    </row>
    <row r="86" spans="1:11" ht="15">
      <c r="A86" s="214"/>
      <c r="B86" s="215"/>
      <c r="C86" s="176"/>
      <c r="D86" s="217"/>
      <c r="E86" s="176"/>
      <c r="F86" s="177"/>
      <c r="G86" s="216"/>
      <c r="H86" s="217"/>
      <c r="I86" s="176"/>
      <c r="J86" s="177"/>
      <c r="K86" s="222"/>
    </row>
    <row r="87" spans="1:11" ht="15">
      <c r="A87" s="214"/>
      <c r="B87" s="215"/>
      <c r="C87" s="176"/>
      <c r="D87" s="217"/>
      <c r="E87" s="176"/>
      <c r="F87" s="177"/>
      <c r="G87" s="216"/>
      <c r="H87" s="217"/>
      <c r="I87" s="176"/>
      <c r="J87" s="177"/>
      <c r="K87" s="222"/>
    </row>
    <row r="88" spans="1:11" ht="15">
      <c r="A88" s="214"/>
      <c r="B88" s="215"/>
      <c r="C88" s="176"/>
      <c r="D88" s="217"/>
      <c r="E88" s="176"/>
      <c r="F88" s="177"/>
      <c r="G88" s="216"/>
      <c r="H88" s="217"/>
      <c r="I88" s="176"/>
      <c r="J88" s="177"/>
      <c r="K88" s="222"/>
    </row>
    <row r="89" spans="1:11" ht="15">
      <c r="A89" s="214"/>
      <c r="B89" s="215"/>
      <c r="C89" s="176"/>
      <c r="D89" s="217"/>
      <c r="E89" s="176"/>
      <c r="F89" s="177"/>
      <c r="G89" s="216"/>
      <c r="H89" s="217"/>
      <c r="I89" s="176"/>
      <c r="J89" s="177"/>
      <c r="K89" s="222"/>
    </row>
    <row r="90" spans="1:11" ht="15">
      <c r="A90" s="214"/>
      <c r="B90" s="215"/>
      <c r="C90" s="176"/>
      <c r="D90" s="217"/>
      <c r="E90" s="176"/>
      <c r="F90" s="177"/>
      <c r="G90" s="216"/>
      <c r="H90" s="217"/>
      <c r="I90" s="176"/>
      <c r="J90" s="177"/>
      <c r="K90" s="222"/>
    </row>
    <row r="91" spans="1:11" ht="15">
      <c r="A91" s="214"/>
      <c r="B91" s="215"/>
      <c r="C91" s="176"/>
      <c r="D91" s="217"/>
      <c r="E91" s="176"/>
      <c r="F91" s="177"/>
      <c r="G91" s="216"/>
      <c r="H91" s="217"/>
      <c r="I91" s="176"/>
      <c r="J91" s="177"/>
      <c r="K91" s="222"/>
    </row>
    <row r="92" spans="1:11" ht="15">
      <c r="A92" s="214"/>
      <c r="B92" s="215"/>
      <c r="C92" s="176"/>
      <c r="D92" s="217"/>
      <c r="E92" s="176"/>
      <c r="F92" s="177"/>
      <c r="G92" s="216"/>
      <c r="H92" s="217"/>
      <c r="I92" s="176"/>
      <c r="J92" s="177"/>
      <c r="K92" s="222"/>
    </row>
    <row r="93" spans="1:11" ht="15">
      <c r="A93" s="214"/>
      <c r="B93" s="215"/>
      <c r="C93" s="176"/>
      <c r="D93" s="217"/>
      <c r="E93" s="176"/>
      <c r="F93" s="177"/>
      <c r="G93" s="216"/>
      <c r="H93" s="217"/>
      <c r="I93" s="176"/>
      <c r="J93" s="177"/>
      <c r="K93" s="222"/>
    </row>
    <row r="94" spans="1:11" ht="15">
      <c r="A94" s="214"/>
      <c r="B94" s="215"/>
      <c r="C94" s="176"/>
      <c r="D94" s="217"/>
      <c r="E94" s="176"/>
      <c r="F94" s="177"/>
      <c r="G94" s="216"/>
      <c r="H94" s="217"/>
      <c r="I94" s="176"/>
      <c r="J94" s="177"/>
      <c r="K94" s="222"/>
    </row>
    <row r="95" spans="1:11" ht="15">
      <c r="A95" s="214"/>
      <c r="B95" s="215"/>
      <c r="C95" s="176"/>
      <c r="D95" s="217"/>
      <c r="E95" s="176"/>
      <c r="F95" s="177"/>
      <c r="G95" s="216"/>
      <c r="H95" s="217"/>
      <c r="I95" s="176"/>
      <c r="J95" s="177"/>
      <c r="K95" s="222"/>
    </row>
    <row r="96" spans="1:11" ht="15">
      <c r="A96" s="214"/>
      <c r="B96" s="215"/>
      <c r="C96" s="176"/>
      <c r="D96" s="217"/>
      <c r="E96" s="176"/>
      <c r="F96" s="177"/>
      <c r="G96" s="216"/>
      <c r="H96" s="217"/>
      <c r="I96" s="176"/>
      <c r="J96" s="177"/>
      <c r="K96" s="222"/>
    </row>
    <row r="97" spans="1:11" ht="15">
      <c r="A97" s="214"/>
      <c r="B97" s="215"/>
      <c r="C97" s="176"/>
      <c r="D97" s="217"/>
      <c r="E97" s="176"/>
      <c r="F97" s="177"/>
      <c r="G97" s="216"/>
      <c r="H97" s="217"/>
      <c r="I97" s="176"/>
      <c r="J97" s="177"/>
      <c r="K97" s="222"/>
    </row>
    <row r="98" spans="1:11" ht="15">
      <c r="A98" s="214"/>
      <c r="B98" s="215"/>
      <c r="C98" s="176"/>
      <c r="D98" s="217"/>
      <c r="E98" s="176"/>
      <c r="F98" s="177"/>
      <c r="G98" s="216"/>
      <c r="H98" s="217"/>
      <c r="I98" s="176"/>
      <c r="J98" s="177"/>
      <c r="K98" s="222"/>
    </row>
    <row r="99" spans="1:11" ht="15">
      <c r="A99" s="214"/>
      <c r="B99" s="215"/>
      <c r="C99" s="176"/>
      <c r="D99" s="217"/>
      <c r="E99" s="176"/>
      <c r="F99" s="177"/>
      <c r="G99" s="216"/>
      <c r="H99" s="217"/>
      <c r="I99" s="176"/>
      <c r="J99" s="177"/>
      <c r="K99" s="222"/>
    </row>
    <row r="100" spans="1:11" ht="15">
      <c r="A100" s="214"/>
      <c r="B100" s="215"/>
      <c r="C100" s="176"/>
      <c r="D100" s="217"/>
      <c r="E100" s="176"/>
      <c r="F100" s="177"/>
      <c r="G100" s="216"/>
      <c r="H100" s="217"/>
      <c r="I100" s="176"/>
      <c r="J100" s="177"/>
      <c r="K100" s="222"/>
    </row>
    <row r="101" spans="1:11" ht="15">
      <c r="A101" s="214"/>
      <c r="B101" s="215"/>
      <c r="C101" s="176"/>
      <c r="D101" s="217"/>
      <c r="E101" s="176"/>
      <c r="F101" s="177"/>
      <c r="G101" s="216"/>
      <c r="H101" s="217"/>
      <c r="I101" s="176"/>
      <c r="J101" s="177"/>
      <c r="K101" s="222"/>
    </row>
    <row r="102" spans="1:11" ht="15">
      <c r="A102" s="214"/>
      <c r="B102" s="215"/>
      <c r="C102" s="176"/>
      <c r="D102" s="217"/>
      <c r="E102" s="176"/>
      <c r="F102" s="177"/>
      <c r="G102" s="216"/>
      <c r="H102" s="217"/>
      <c r="I102" s="176"/>
      <c r="J102" s="177"/>
      <c r="K102" s="222"/>
    </row>
    <row r="103" spans="1:11" ht="15">
      <c r="A103" s="214"/>
      <c r="B103" s="215"/>
      <c r="C103" s="176"/>
      <c r="D103" s="217"/>
      <c r="E103" s="176"/>
      <c r="F103" s="177"/>
      <c r="G103" s="216"/>
      <c r="H103" s="217"/>
      <c r="I103" s="176"/>
      <c r="J103" s="177"/>
      <c r="K103" s="222"/>
    </row>
    <row r="104" spans="1:11" ht="15">
      <c r="A104" s="214"/>
      <c r="B104" s="215"/>
      <c r="C104" s="176"/>
      <c r="D104" s="217"/>
      <c r="E104" s="176"/>
      <c r="F104" s="177"/>
      <c r="G104" s="216"/>
      <c r="H104" s="217"/>
      <c r="I104" s="176"/>
      <c r="J104" s="177"/>
      <c r="K104" s="222"/>
    </row>
    <row r="105" spans="1:11" ht="15">
      <c r="A105" s="214"/>
      <c r="B105" s="215"/>
      <c r="C105" s="176"/>
      <c r="D105" s="217"/>
      <c r="E105" s="176"/>
      <c r="F105" s="177"/>
      <c r="G105" s="216"/>
      <c r="H105" s="217"/>
      <c r="I105" s="176"/>
      <c r="J105" s="177"/>
      <c r="K105" s="222"/>
    </row>
    <row r="106" spans="1:11" ht="15">
      <c r="A106" s="214"/>
      <c r="B106" s="215"/>
      <c r="C106" s="176"/>
      <c r="D106" s="217"/>
      <c r="E106" s="176"/>
      <c r="F106" s="177"/>
      <c r="G106" s="216"/>
      <c r="H106" s="217"/>
      <c r="I106" s="176"/>
      <c r="J106" s="177"/>
      <c r="K106" s="222"/>
    </row>
    <row r="107" spans="1:11" ht="15">
      <c r="A107" s="214"/>
      <c r="B107" s="215"/>
      <c r="C107" s="176"/>
      <c r="D107" s="217"/>
      <c r="E107" s="176"/>
      <c r="F107" s="177"/>
      <c r="G107" s="216"/>
      <c r="H107" s="217"/>
      <c r="I107" s="176"/>
      <c r="J107" s="177"/>
      <c r="K107" s="222"/>
    </row>
    <row r="108" spans="1:11" ht="15">
      <c r="A108" s="214"/>
      <c r="B108" s="215"/>
      <c r="C108" s="176"/>
      <c r="D108" s="217"/>
      <c r="E108" s="176"/>
      <c r="F108" s="177"/>
      <c r="G108" s="216"/>
      <c r="H108" s="217"/>
      <c r="I108" s="176"/>
      <c r="J108" s="177"/>
      <c r="K108" s="222"/>
    </row>
    <row r="109" spans="1:11" ht="15">
      <c r="A109" s="214"/>
      <c r="B109" s="215"/>
      <c r="C109" s="176"/>
      <c r="D109" s="217"/>
      <c r="E109" s="176"/>
      <c r="F109" s="177"/>
      <c r="G109" s="216"/>
      <c r="H109" s="217"/>
      <c r="I109" s="176"/>
      <c r="J109" s="177"/>
      <c r="K109" s="222"/>
    </row>
    <row r="110" spans="1:11" ht="15">
      <c r="A110" s="214"/>
      <c r="B110" s="215"/>
      <c r="C110" s="176"/>
      <c r="D110" s="217"/>
      <c r="E110" s="176"/>
      <c r="F110" s="177"/>
      <c r="G110" s="216"/>
      <c r="H110" s="217"/>
      <c r="I110" s="176"/>
      <c r="J110" s="177"/>
      <c r="K110" s="222"/>
    </row>
    <row r="111" spans="1:11" ht="15">
      <c r="A111" s="214"/>
      <c r="B111" s="215"/>
      <c r="C111" s="176"/>
      <c r="D111" s="217"/>
      <c r="E111" s="176"/>
      <c r="F111" s="177"/>
      <c r="G111" s="216"/>
      <c r="H111" s="217"/>
      <c r="I111" s="176"/>
      <c r="J111" s="177"/>
      <c r="K111" s="222"/>
    </row>
    <row r="112" spans="1:11" ht="15">
      <c r="A112" s="214"/>
      <c r="B112" s="215"/>
      <c r="C112" s="176"/>
      <c r="D112" s="217"/>
      <c r="E112" s="176"/>
      <c r="F112" s="177"/>
      <c r="G112" s="216"/>
      <c r="H112" s="217"/>
      <c r="I112" s="176"/>
      <c r="J112" s="177"/>
      <c r="K112" s="222"/>
    </row>
    <row r="113" spans="1:11" ht="15">
      <c r="A113" s="214"/>
      <c r="B113" s="215"/>
      <c r="C113" s="176"/>
      <c r="D113" s="217"/>
      <c r="E113" s="176"/>
      <c r="F113" s="177"/>
      <c r="G113" s="216"/>
      <c r="H113" s="217"/>
      <c r="I113" s="176"/>
      <c r="J113" s="177"/>
      <c r="K113" s="222"/>
    </row>
    <row r="114" spans="1:11" ht="15">
      <c r="A114" s="214"/>
      <c r="B114" s="215"/>
      <c r="C114" s="176"/>
      <c r="D114" s="217"/>
      <c r="E114" s="176"/>
      <c r="F114" s="177"/>
      <c r="G114" s="216"/>
      <c r="H114" s="217"/>
      <c r="I114" s="176"/>
      <c r="J114" s="177"/>
      <c r="K114" s="222"/>
    </row>
    <row r="115" spans="1:11" ht="15">
      <c r="A115" s="214"/>
      <c r="B115" s="215"/>
      <c r="C115" s="176"/>
      <c r="D115" s="217"/>
      <c r="E115" s="176"/>
      <c r="F115" s="177"/>
      <c r="G115" s="216"/>
      <c r="H115" s="217"/>
      <c r="I115" s="176"/>
      <c r="J115" s="177"/>
      <c r="K115" s="222"/>
    </row>
    <row r="116" spans="1:11" ht="15">
      <c r="A116" s="214"/>
      <c r="B116" s="215"/>
      <c r="C116" s="176"/>
      <c r="D116" s="217"/>
      <c r="E116" s="176"/>
      <c r="F116" s="177"/>
      <c r="G116" s="216"/>
      <c r="H116" s="217"/>
      <c r="I116" s="176"/>
      <c r="J116" s="177"/>
      <c r="K116" s="222"/>
    </row>
    <row r="117" spans="1:11" ht="15">
      <c r="A117" s="214"/>
      <c r="B117" s="215"/>
      <c r="C117" s="176"/>
      <c r="D117" s="217"/>
      <c r="E117" s="176"/>
      <c r="F117" s="177"/>
      <c r="G117" s="216"/>
      <c r="H117" s="217"/>
      <c r="I117" s="176"/>
      <c r="J117" s="177"/>
      <c r="K117" s="222"/>
    </row>
    <row r="118" spans="1:11" ht="15">
      <c r="A118" s="214"/>
      <c r="B118" s="215"/>
      <c r="C118" s="176"/>
      <c r="D118" s="217"/>
      <c r="E118" s="176"/>
      <c r="F118" s="177"/>
      <c r="G118" s="216"/>
      <c r="H118" s="217"/>
      <c r="I118" s="176"/>
      <c r="J118" s="177"/>
      <c r="K118" s="222"/>
    </row>
    <row r="119" spans="1:11" ht="15">
      <c r="A119" s="214"/>
      <c r="B119" s="215"/>
      <c r="C119" s="176"/>
      <c r="D119" s="217"/>
      <c r="E119" s="176"/>
      <c r="F119" s="177"/>
      <c r="G119" s="216"/>
      <c r="H119" s="217"/>
      <c r="I119" s="176"/>
      <c r="J119" s="177"/>
      <c r="K119" s="222"/>
    </row>
    <row r="120" spans="1:11" ht="15">
      <c r="A120" s="214"/>
      <c r="B120" s="215"/>
      <c r="C120" s="176"/>
      <c r="D120" s="217"/>
      <c r="E120" s="176"/>
      <c r="F120" s="177"/>
      <c r="G120" s="216"/>
      <c r="H120" s="217"/>
      <c r="I120" s="176"/>
      <c r="J120" s="177"/>
      <c r="K120" s="222"/>
    </row>
    <row r="121" spans="1:11" ht="15">
      <c r="A121" s="214"/>
      <c r="B121" s="215"/>
      <c r="C121" s="176"/>
      <c r="D121" s="217"/>
      <c r="E121" s="176"/>
      <c r="F121" s="177"/>
      <c r="G121" s="216"/>
      <c r="H121" s="217"/>
      <c r="I121" s="176"/>
      <c r="J121" s="177"/>
      <c r="K121" s="222"/>
    </row>
    <row r="122" spans="1:11" ht="15">
      <c r="A122" s="214"/>
      <c r="B122" s="215"/>
      <c r="C122" s="176"/>
      <c r="D122" s="217"/>
      <c r="E122" s="176"/>
      <c r="F122" s="177"/>
      <c r="G122" s="216"/>
      <c r="H122" s="217"/>
      <c r="I122" s="176"/>
      <c r="J122" s="177"/>
      <c r="K122" s="222"/>
    </row>
    <row r="123" spans="1:11" ht="15">
      <c r="A123" s="214"/>
      <c r="B123" s="215"/>
      <c r="C123" s="176"/>
      <c r="D123" s="217"/>
      <c r="E123" s="176"/>
      <c r="F123" s="177"/>
      <c r="G123" s="216"/>
      <c r="H123" s="217"/>
      <c r="I123" s="176"/>
      <c r="J123" s="177"/>
      <c r="K123" s="222"/>
    </row>
    <row r="124" spans="1:11" ht="15">
      <c r="A124" s="214"/>
      <c r="B124" s="215"/>
      <c r="C124" s="176"/>
      <c r="D124" s="217"/>
      <c r="E124" s="176"/>
      <c r="F124" s="177"/>
      <c r="G124" s="216"/>
      <c r="H124" s="217"/>
      <c r="I124" s="176"/>
      <c r="J124" s="177"/>
      <c r="K124" s="222"/>
    </row>
    <row r="125" spans="1:11" ht="15">
      <c r="A125" s="214"/>
      <c r="B125" s="215"/>
      <c r="C125" s="176"/>
      <c r="D125" s="217"/>
      <c r="E125" s="176"/>
      <c r="F125" s="177"/>
      <c r="G125" s="216"/>
      <c r="H125" s="217"/>
      <c r="I125" s="176"/>
      <c r="J125" s="177"/>
      <c r="K125" s="222"/>
    </row>
    <row r="126" spans="1:11" ht="15">
      <c r="A126" s="214"/>
      <c r="B126" s="215"/>
      <c r="C126" s="176"/>
      <c r="D126" s="217"/>
      <c r="E126" s="176"/>
      <c r="F126" s="177"/>
      <c r="G126" s="216"/>
      <c r="H126" s="217"/>
      <c r="I126" s="176"/>
      <c r="J126" s="177"/>
      <c r="K126" s="222"/>
    </row>
    <row r="127" spans="1:11" ht="15">
      <c r="A127" s="214"/>
      <c r="B127" s="215"/>
      <c r="C127" s="176"/>
      <c r="D127" s="217"/>
      <c r="E127" s="176"/>
      <c r="F127" s="177"/>
      <c r="G127" s="216"/>
      <c r="H127" s="217"/>
      <c r="I127" s="176"/>
      <c r="J127" s="177"/>
      <c r="K127" s="222"/>
    </row>
    <row r="128" spans="1:11" ht="15">
      <c r="A128" s="214"/>
      <c r="B128" s="215"/>
      <c r="C128" s="176"/>
      <c r="D128" s="217"/>
      <c r="E128" s="176"/>
      <c r="F128" s="177"/>
      <c r="G128" s="216"/>
      <c r="H128" s="217"/>
      <c r="I128" s="176"/>
      <c r="J128" s="177"/>
      <c r="K128" s="222"/>
    </row>
    <row r="129" spans="1:11" ht="15">
      <c r="A129" s="214"/>
      <c r="B129" s="215"/>
      <c r="C129" s="176"/>
      <c r="D129" s="217"/>
      <c r="E129" s="176"/>
      <c r="F129" s="177"/>
      <c r="G129" s="216"/>
      <c r="H129" s="217"/>
      <c r="I129" s="176"/>
      <c r="J129" s="177"/>
      <c r="K129" s="222"/>
    </row>
    <row r="130" spans="1:11" ht="15">
      <c r="A130" s="214"/>
      <c r="B130" s="215"/>
      <c r="C130" s="176"/>
      <c r="D130" s="217"/>
      <c r="E130" s="176"/>
      <c r="F130" s="177"/>
      <c r="G130" s="216"/>
      <c r="H130" s="217"/>
      <c r="I130" s="176"/>
      <c r="J130" s="177"/>
      <c r="K130" s="222"/>
    </row>
    <row r="131" spans="1:11" ht="15">
      <c r="A131" s="214"/>
      <c r="B131" s="215"/>
      <c r="C131" s="176"/>
      <c r="D131" s="217"/>
      <c r="E131" s="176"/>
      <c r="F131" s="177"/>
      <c r="G131" s="216"/>
      <c r="H131" s="217"/>
      <c r="I131" s="176"/>
      <c r="J131" s="177"/>
      <c r="K131" s="222"/>
    </row>
    <row r="132" spans="1:11" ht="15">
      <c r="A132" s="214"/>
      <c r="B132" s="215"/>
      <c r="C132" s="176"/>
      <c r="D132" s="217"/>
      <c r="E132" s="176"/>
      <c r="F132" s="177"/>
      <c r="G132" s="216"/>
      <c r="H132" s="217"/>
      <c r="I132" s="176"/>
      <c r="J132" s="177"/>
      <c r="K132" s="222"/>
    </row>
    <row r="133" spans="1:11" ht="15">
      <c r="A133" s="214"/>
      <c r="B133" s="215"/>
      <c r="C133" s="176"/>
      <c r="D133" s="217"/>
      <c r="E133" s="176"/>
      <c r="F133" s="177"/>
      <c r="G133" s="216"/>
      <c r="H133" s="217"/>
      <c r="I133" s="176"/>
      <c r="J133" s="177"/>
      <c r="K133" s="222"/>
    </row>
    <row r="134" spans="1:11" ht="15">
      <c r="A134" s="214"/>
      <c r="B134" s="215"/>
      <c r="C134" s="176"/>
      <c r="D134" s="217"/>
      <c r="E134" s="176"/>
      <c r="F134" s="177"/>
      <c r="G134" s="216"/>
      <c r="H134" s="217"/>
      <c r="I134" s="176"/>
      <c r="J134" s="177"/>
      <c r="K134" s="222"/>
    </row>
    <row r="135" spans="1:11" ht="15">
      <c r="A135" s="214"/>
      <c r="B135" s="215"/>
      <c r="C135" s="176"/>
      <c r="D135" s="217"/>
      <c r="E135" s="176"/>
      <c r="F135" s="177"/>
      <c r="G135" s="216"/>
      <c r="H135" s="217"/>
      <c r="I135" s="176"/>
      <c r="J135" s="177"/>
      <c r="K135" s="222"/>
    </row>
    <row r="136" spans="1:11" ht="15">
      <c r="A136" s="214"/>
      <c r="B136" s="215"/>
      <c r="C136" s="176"/>
      <c r="D136" s="217"/>
      <c r="E136" s="176"/>
      <c r="F136" s="177"/>
      <c r="G136" s="216"/>
      <c r="H136" s="217"/>
      <c r="I136" s="176"/>
      <c r="J136" s="177"/>
      <c r="K136" s="222"/>
    </row>
    <row r="137" spans="1:11" ht="15">
      <c r="A137" s="214"/>
      <c r="B137" s="215"/>
      <c r="C137" s="176"/>
      <c r="D137" s="217"/>
      <c r="E137" s="176"/>
      <c r="F137" s="177"/>
      <c r="G137" s="216"/>
      <c r="H137" s="217"/>
      <c r="I137" s="176"/>
      <c r="J137" s="177"/>
      <c r="K137" s="222"/>
    </row>
    <row r="138" spans="1:11" ht="15">
      <c r="A138" s="214"/>
      <c r="B138" s="215"/>
      <c r="C138" s="176"/>
      <c r="D138" s="217"/>
      <c r="E138" s="176"/>
      <c r="F138" s="177"/>
      <c r="G138" s="216"/>
      <c r="H138" s="217"/>
      <c r="I138" s="176"/>
      <c r="J138" s="177"/>
      <c r="K138" s="222"/>
    </row>
    <row r="139" spans="1:11" ht="15">
      <c r="A139" s="214"/>
      <c r="B139" s="215"/>
      <c r="C139" s="176"/>
      <c r="D139" s="217"/>
      <c r="E139" s="176"/>
      <c r="F139" s="177"/>
      <c r="G139" s="216"/>
      <c r="H139" s="217"/>
      <c r="I139" s="176"/>
      <c r="J139" s="177"/>
      <c r="K139" s="222"/>
    </row>
    <row r="140" spans="1:11" ht="15">
      <c r="A140" s="214"/>
      <c r="B140" s="215"/>
      <c r="C140" s="176"/>
      <c r="D140" s="217"/>
      <c r="E140" s="176"/>
      <c r="F140" s="177"/>
      <c r="G140" s="216"/>
      <c r="H140" s="217"/>
      <c r="I140" s="176"/>
      <c r="J140" s="177"/>
      <c r="K140" s="222"/>
    </row>
    <row r="141" spans="1:11" ht="15">
      <c r="A141" s="214"/>
      <c r="B141" s="215"/>
      <c r="C141" s="176"/>
      <c r="D141" s="217"/>
      <c r="E141" s="176"/>
      <c r="F141" s="177"/>
      <c r="G141" s="216"/>
      <c r="H141" s="217"/>
      <c r="I141" s="176"/>
      <c r="J141" s="177"/>
      <c r="K141" s="222"/>
    </row>
    <row r="142" spans="1:11" ht="15">
      <c r="A142" s="214"/>
      <c r="B142" s="215"/>
      <c r="C142" s="176"/>
      <c r="D142" s="217"/>
      <c r="E142" s="176"/>
      <c r="F142" s="177"/>
      <c r="G142" s="216"/>
      <c r="H142" s="217"/>
      <c r="I142" s="176"/>
      <c r="J142" s="177"/>
      <c r="K142" s="222"/>
    </row>
    <row r="143" spans="1:11" ht="15">
      <c r="A143" s="214"/>
      <c r="B143" s="215"/>
      <c r="C143" s="176"/>
      <c r="D143" s="217"/>
      <c r="E143" s="176"/>
      <c r="F143" s="177"/>
      <c r="G143" s="216"/>
      <c r="H143" s="217"/>
      <c r="I143" s="176"/>
      <c r="J143" s="177"/>
      <c r="K143" s="222"/>
    </row>
    <row r="144" spans="1:11" ht="15">
      <c r="A144" s="214"/>
      <c r="B144" s="215"/>
      <c r="C144" s="176"/>
      <c r="D144" s="217"/>
      <c r="E144" s="176"/>
      <c r="F144" s="177"/>
      <c r="G144" s="216"/>
      <c r="H144" s="217"/>
      <c r="I144" s="176"/>
      <c r="J144" s="177"/>
      <c r="K144" s="222"/>
    </row>
    <row r="145" spans="1:11" ht="15">
      <c r="A145" s="214"/>
      <c r="B145" s="215"/>
      <c r="C145" s="176"/>
      <c r="D145" s="217"/>
      <c r="E145" s="176"/>
      <c r="F145" s="177"/>
      <c r="G145" s="216"/>
      <c r="H145" s="217"/>
      <c r="I145" s="176"/>
      <c r="J145" s="177"/>
      <c r="K145" s="222"/>
    </row>
    <row r="146" spans="1:11" ht="15">
      <c r="A146" s="214"/>
      <c r="B146" s="215"/>
      <c r="C146" s="176"/>
      <c r="D146" s="217"/>
      <c r="E146" s="176"/>
      <c r="F146" s="177"/>
      <c r="G146" s="216"/>
      <c r="H146" s="217"/>
      <c r="I146" s="176"/>
      <c r="J146" s="177"/>
      <c r="K146" s="222"/>
    </row>
    <row r="147" spans="1:11" ht="15">
      <c r="A147" s="214"/>
      <c r="B147" s="215"/>
      <c r="C147" s="176"/>
      <c r="D147" s="217"/>
      <c r="E147" s="176"/>
      <c r="F147" s="177"/>
      <c r="G147" s="216"/>
      <c r="H147" s="217"/>
      <c r="I147" s="176"/>
      <c r="J147" s="177"/>
      <c r="K147" s="222"/>
    </row>
    <row r="148" spans="1:11" ht="15">
      <c r="A148" s="214"/>
      <c r="B148" s="215"/>
      <c r="C148" s="176"/>
      <c r="D148" s="217"/>
      <c r="E148" s="176"/>
      <c r="F148" s="177"/>
      <c r="G148" s="216"/>
      <c r="H148" s="217"/>
      <c r="I148" s="176"/>
      <c r="J148" s="177"/>
      <c r="K148" s="222"/>
    </row>
    <row r="149" spans="1:11" ht="15">
      <c r="A149" s="214"/>
      <c r="B149" s="215"/>
      <c r="C149" s="176"/>
      <c r="D149" s="217"/>
      <c r="E149" s="176"/>
      <c r="F149" s="177"/>
      <c r="G149" s="216"/>
      <c r="H149" s="217"/>
      <c r="I149" s="176"/>
      <c r="J149" s="177"/>
      <c r="K149" s="222"/>
    </row>
    <row r="150" spans="1:11" ht="15">
      <c r="A150" s="214"/>
      <c r="B150" s="215"/>
      <c r="C150" s="176"/>
      <c r="D150" s="217"/>
      <c r="E150" s="176"/>
      <c r="F150" s="177"/>
      <c r="G150" s="216"/>
      <c r="H150" s="217"/>
      <c r="I150" s="176"/>
      <c r="J150" s="177"/>
      <c r="K150" s="222"/>
    </row>
    <row r="151" spans="1:11" ht="15">
      <c r="A151" s="214"/>
      <c r="B151" s="215"/>
      <c r="C151" s="176"/>
      <c r="D151" s="217"/>
      <c r="E151" s="176"/>
      <c r="F151" s="177"/>
      <c r="G151" s="216"/>
      <c r="H151" s="217"/>
      <c r="I151" s="176"/>
      <c r="J151" s="177"/>
      <c r="K151" s="222"/>
    </row>
    <row r="152" spans="1:11" ht="15">
      <c r="A152" s="214"/>
      <c r="B152" s="215"/>
      <c r="C152" s="176"/>
      <c r="D152" s="217"/>
      <c r="E152" s="176"/>
      <c r="F152" s="177"/>
      <c r="G152" s="216"/>
      <c r="H152" s="217"/>
      <c r="I152" s="176"/>
      <c r="J152" s="177"/>
      <c r="K152" s="222"/>
    </row>
    <row r="153" spans="1:11" ht="13.5">
      <c r="A153" s="165"/>
      <c r="B153" s="165"/>
      <c r="C153" s="166"/>
      <c r="D153" s="165"/>
      <c r="E153" s="166"/>
      <c r="F153" s="165"/>
      <c r="G153" s="163"/>
      <c r="H153" s="165"/>
      <c r="I153" s="166"/>
      <c r="J153" s="165"/>
      <c r="K153" s="163"/>
    </row>
    <row r="154" spans="1:11" ht="13.5">
      <c r="A154" s="157"/>
      <c r="B154" s="165"/>
      <c r="C154" s="160"/>
      <c r="D154" s="157"/>
      <c r="E154" s="160"/>
      <c r="F154" s="157"/>
      <c r="G154" s="162"/>
      <c r="H154" s="157"/>
      <c r="I154" s="160"/>
      <c r="J154" s="157"/>
      <c r="K154" s="162"/>
    </row>
    <row r="155" spans="1:11" ht="13.5">
      <c r="A155" s="157"/>
      <c r="B155" s="165"/>
      <c r="C155" s="160"/>
      <c r="D155" s="157"/>
      <c r="E155" s="160"/>
      <c r="F155" s="157"/>
      <c r="G155" s="162"/>
      <c r="H155" s="157"/>
      <c r="I155" s="160"/>
      <c r="J155" s="157"/>
      <c r="K155" s="162"/>
    </row>
    <row r="156" spans="1:11" ht="13.5">
      <c r="A156" s="157"/>
      <c r="B156" s="165"/>
      <c r="C156" s="160"/>
      <c r="D156" s="157"/>
      <c r="E156" s="160"/>
      <c r="F156" s="157"/>
      <c r="G156" s="162"/>
      <c r="H156" s="157"/>
      <c r="I156" s="160"/>
      <c r="J156" s="157"/>
      <c r="K156" s="162"/>
    </row>
    <row r="157" spans="1:11" ht="13.5">
      <c r="A157" s="157"/>
      <c r="B157" s="165"/>
      <c r="C157" s="160"/>
      <c r="D157" s="157"/>
      <c r="E157" s="160"/>
      <c r="F157" s="157"/>
      <c r="G157" s="162"/>
      <c r="H157" s="157"/>
      <c r="I157" s="160"/>
      <c r="J157" s="157"/>
      <c r="K157" s="162"/>
    </row>
    <row r="158" spans="1:11" ht="13.5">
      <c r="A158" s="157"/>
      <c r="B158" s="165"/>
      <c r="C158" s="160"/>
      <c r="D158" s="157"/>
      <c r="E158" s="160"/>
      <c r="F158" s="157"/>
      <c r="G158" s="162"/>
      <c r="H158" s="157"/>
      <c r="I158" s="160"/>
      <c r="J158" s="157"/>
      <c r="K158" s="162"/>
    </row>
    <row r="159" spans="1:11" ht="13.5">
      <c r="A159" s="165"/>
      <c r="B159" s="165"/>
      <c r="C159" s="166"/>
      <c r="D159" s="165"/>
      <c r="E159" s="166"/>
      <c r="F159" s="165"/>
      <c r="G159" s="163"/>
      <c r="H159" s="165"/>
      <c r="I159" s="166"/>
      <c r="J159" s="165"/>
      <c r="K159" s="163"/>
    </row>
    <row r="160" spans="1:11" ht="13.5">
      <c r="A160" s="157"/>
      <c r="B160" s="165"/>
      <c r="C160" s="160"/>
      <c r="D160" s="157"/>
      <c r="E160" s="160"/>
      <c r="F160" s="157"/>
      <c r="G160" s="162"/>
      <c r="H160" s="157"/>
      <c r="I160" s="160"/>
      <c r="J160" s="157"/>
      <c r="K160" s="162"/>
    </row>
    <row r="161" spans="1:11" ht="13.5">
      <c r="A161" s="157"/>
      <c r="B161" s="165"/>
      <c r="C161" s="160"/>
      <c r="D161" s="157"/>
      <c r="E161" s="160"/>
      <c r="F161" s="157"/>
      <c r="G161" s="162"/>
      <c r="H161" s="157"/>
      <c r="I161" s="160"/>
      <c r="J161" s="157"/>
      <c r="K161" s="162"/>
    </row>
    <row r="162" spans="1:11" ht="13.5">
      <c r="A162" s="157"/>
      <c r="B162" s="165"/>
      <c r="C162" s="160"/>
      <c r="D162" s="157"/>
      <c r="E162" s="160"/>
      <c r="F162" s="157"/>
      <c r="G162" s="162"/>
      <c r="H162" s="157"/>
      <c r="I162" s="160"/>
      <c r="J162" s="157"/>
      <c r="K162" s="162"/>
    </row>
    <row r="163" spans="1:11" ht="13.5">
      <c r="A163" s="157"/>
      <c r="B163" s="165"/>
      <c r="C163" s="160"/>
      <c r="D163" s="157"/>
      <c r="E163" s="160"/>
      <c r="F163" s="157"/>
      <c r="G163" s="162"/>
      <c r="H163" s="157"/>
      <c r="I163" s="160"/>
      <c r="J163" s="157"/>
      <c r="K163" s="162"/>
    </row>
    <row r="164" spans="1:11" ht="13.5">
      <c r="A164" s="157"/>
      <c r="B164" s="165"/>
      <c r="C164" s="160"/>
      <c r="D164" s="157"/>
      <c r="E164" s="160"/>
      <c r="F164" s="157"/>
      <c r="G164" s="162"/>
      <c r="H164" s="157"/>
      <c r="I164" s="160"/>
      <c r="J164" s="157"/>
      <c r="K164" s="162"/>
    </row>
    <row r="165" spans="1:11" ht="13.5">
      <c r="A165" s="157"/>
      <c r="B165" s="165"/>
      <c r="C165" s="160"/>
      <c r="D165" s="157"/>
      <c r="E165" s="160"/>
      <c r="F165" s="157"/>
      <c r="G165" s="162"/>
      <c r="H165" s="157"/>
      <c r="I165" s="160"/>
      <c r="J165" s="157"/>
      <c r="K165" s="162"/>
    </row>
    <row r="166" spans="1:11" ht="13.5">
      <c r="A166" s="157"/>
      <c r="B166" s="165"/>
      <c r="C166" s="160"/>
      <c r="D166" s="157"/>
      <c r="E166" s="160"/>
      <c r="F166" s="157"/>
      <c r="G166" s="162"/>
      <c r="H166" s="157"/>
      <c r="I166" s="160"/>
      <c r="J166" s="157"/>
      <c r="K166" s="162"/>
    </row>
    <row r="167" spans="1:11" ht="13.5">
      <c r="A167" s="157"/>
      <c r="B167" s="165"/>
      <c r="C167" s="160"/>
      <c r="D167" s="157"/>
      <c r="E167" s="160"/>
      <c r="F167" s="157"/>
      <c r="G167" s="162"/>
      <c r="H167" s="157"/>
      <c r="I167" s="160"/>
      <c r="J167" s="157"/>
      <c r="K167" s="162"/>
    </row>
    <row r="168" spans="1:11" ht="13.5">
      <c r="A168" s="157"/>
      <c r="B168" s="165"/>
      <c r="C168" s="160"/>
      <c r="D168" s="157"/>
      <c r="E168" s="160"/>
      <c r="F168" s="157"/>
      <c r="G168" s="162"/>
      <c r="H168" s="157"/>
      <c r="I168" s="160"/>
      <c r="J168" s="157"/>
      <c r="K168" s="162"/>
    </row>
    <row r="169" spans="1:11" ht="13.5">
      <c r="A169" s="157"/>
      <c r="B169" s="165"/>
      <c r="C169" s="160"/>
      <c r="D169" s="157"/>
      <c r="E169" s="160"/>
      <c r="F169" s="157"/>
      <c r="G169" s="162"/>
      <c r="H169" s="157"/>
      <c r="I169" s="160"/>
      <c r="J169" s="157"/>
      <c r="K169" s="162"/>
    </row>
    <row r="170" spans="1:11" ht="13.5">
      <c r="A170" s="157"/>
      <c r="B170" s="165"/>
      <c r="C170" s="160"/>
      <c r="D170" s="157"/>
      <c r="E170" s="160"/>
      <c r="F170" s="157"/>
      <c r="G170" s="162"/>
      <c r="H170" s="157"/>
      <c r="I170" s="160"/>
      <c r="J170" s="157"/>
      <c r="K170" s="162"/>
    </row>
    <row r="171" spans="1:11" ht="13.5">
      <c r="A171" s="165"/>
      <c r="B171" s="165"/>
      <c r="C171" s="166"/>
      <c r="D171" s="165"/>
      <c r="E171" s="166"/>
      <c r="F171" s="165"/>
      <c r="G171" s="163"/>
      <c r="H171" s="165"/>
      <c r="I171" s="166"/>
      <c r="J171" s="165"/>
      <c r="K171" s="163"/>
    </row>
    <row r="172" spans="1:11" ht="13.5">
      <c r="A172" s="157"/>
      <c r="B172" s="165"/>
      <c r="C172" s="160"/>
      <c r="D172" s="157"/>
      <c r="E172" s="160"/>
      <c r="F172" s="157"/>
      <c r="G172" s="162"/>
      <c r="H172" s="157"/>
      <c r="I172" s="160"/>
      <c r="J172" s="157"/>
      <c r="K172" s="162"/>
    </row>
    <row r="173" spans="1:11" ht="13.5">
      <c r="A173" s="157"/>
      <c r="B173" s="165"/>
      <c r="C173" s="160"/>
      <c r="D173" s="157"/>
      <c r="E173" s="160"/>
      <c r="F173" s="157"/>
      <c r="G173" s="162"/>
      <c r="H173" s="157"/>
      <c r="I173" s="160"/>
      <c r="J173" s="157"/>
      <c r="K173" s="162"/>
    </row>
    <row r="174" spans="1:11" ht="13.5">
      <c r="A174" s="157"/>
      <c r="B174" s="165"/>
      <c r="C174" s="160"/>
      <c r="D174" s="157"/>
      <c r="E174" s="160"/>
      <c r="F174" s="157"/>
      <c r="G174" s="162"/>
      <c r="H174" s="157"/>
      <c r="I174" s="160"/>
      <c r="J174" s="157"/>
      <c r="K174" s="162"/>
    </row>
    <row r="175" spans="1:11" ht="13.5">
      <c r="A175" s="157"/>
      <c r="B175" s="165"/>
      <c r="C175" s="160"/>
      <c r="D175" s="157"/>
      <c r="E175" s="160"/>
      <c r="F175" s="157"/>
      <c r="G175" s="162"/>
      <c r="H175" s="157"/>
      <c r="I175" s="160"/>
      <c r="J175" s="157"/>
      <c r="K175" s="162"/>
    </row>
    <row r="176" spans="1:11" ht="13.5">
      <c r="A176" s="157"/>
      <c r="B176" s="165"/>
      <c r="C176" s="160"/>
      <c r="D176" s="157"/>
      <c r="E176" s="160"/>
      <c r="F176" s="157"/>
      <c r="G176" s="162"/>
      <c r="H176" s="157"/>
      <c r="I176" s="160"/>
      <c r="J176" s="157"/>
      <c r="K176" s="162"/>
    </row>
    <row r="177" spans="1:11" ht="13.5">
      <c r="A177" s="157"/>
      <c r="B177" s="165"/>
      <c r="C177" s="160"/>
      <c r="D177" s="157"/>
      <c r="E177" s="160"/>
      <c r="F177" s="157"/>
      <c r="G177" s="162"/>
      <c r="H177" s="157"/>
      <c r="I177" s="160"/>
      <c r="J177" s="157"/>
      <c r="K177" s="162"/>
    </row>
    <row r="178" spans="1:11" ht="13.5">
      <c r="A178" s="157"/>
      <c r="B178" s="165"/>
      <c r="C178" s="160"/>
      <c r="D178" s="157"/>
      <c r="E178" s="160"/>
      <c r="F178" s="157"/>
      <c r="G178" s="162"/>
      <c r="H178" s="157"/>
      <c r="I178" s="160"/>
      <c r="J178" s="157"/>
      <c r="K178" s="162"/>
    </row>
    <row r="179" spans="1:11" ht="13.5">
      <c r="A179" s="157"/>
      <c r="B179" s="165"/>
      <c r="C179" s="160"/>
      <c r="D179" s="157"/>
      <c r="E179" s="160"/>
      <c r="F179" s="157"/>
      <c r="G179" s="162"/>
      <c r="H179" s="157"/>
      <c r="I179" s="160"/>
      <c r="J179" s="157"/>
      <c r="K179" s="162"/>
    </row>
    <row r="180" spans="1:11" ht="13.5">
      <c r="A180" s="157"/>
      <c r="B180" s="165"/>
      <c r="C180" s="160"/>
      <c r="D180" s="157"/>
      <c r="E180" s="160"/>
      <c r="F180" s="157"/>
      <c r="G180" s="162"/>
      <c r="H180" s="157"/>
      <c r="I180" s="160"/>
      <c r="J180" s="157"/>
      <c r="K180" s="162"/>
    </row>
    <row r="181" spans="1:11" ht="13.5">
      <c r="A181" s="157"/>
      <c r="B181" s="165"/>
      <c r="C181" s="160"/>
      <c r="D181" s="157"/>
      <c r="E181" s="160"/>
      <c r="F181" s="157"/>
      <c r="G181" s="162"/>
      <c r="H181" s="157"/>
      <c r="I181" s="160"/>
      <c r="J181" s="157"/>
      <c r="K181" s="162"/>
    </row>
    <row r="182" spans="1:11" ht="13.5">
      <c r="A182" s="157"/>
      <c r="B182" s="165"/>
      <c r="C182" s="160"/>
      <c r="D182" s="157"/>
      <c r="E182" s="160"/>
      <c r="F182" s="157"/>
      <c r="G182" s="162"/>
      <c r="H182" s="157"/>
      <c r="I182" s="160"/>
      <c r="J182" s="157"/>
      <c r="K182" s="162"/>
    </row>
    <row r="183" spans="1:11" ht="13.5">
      <c r="A183" s="165"/>
      <c r="B183" s="165"/>
      <c r="C183" s="160"/>
      <c r="D183" s="157"/>
      <c r="E183" s="160"/>
      <c r="F183" s="157"/>
      <c r="G183" s="162"/>
      <c r="H183" s="157"/>
      <c r="I183" s="160"/>
      <c r="J183" s="157"/>
      <c r="K183" s="162"/>
    </row>
    <row r="184" spans="1:11" ht="13.5">
      <c r="A184" s="157"/>
      <c r="B184" s="165"/>
      <c r="C184" s="160"/>
      <c r="D184" s="157"/>
      <c r="E184" s="164"/>
      <c r="F184" s="169"/>
      <c r="G184" s="162"/>
      <c r="H184" s="157"/>
      <c r="I184" s="160"/>
      <c r="J184" s="157"/>
      <c r="K184" s="162"/>
    </row>
    <row r="185" spans="1:11" ht="13.5">
      <c r="A185" s="157"/>
      <c r="B185" s="165"/>
      <c r="C185" s="160"/>
      <c r="D185" s="157"/>
      <c r="E185" s="164"/>
      <c r="F185" s="169"/>
      <c r="G185" s="162"/>
      <c r="H185" s="157"/>
      <c r="I185" s="160"/>
      <c r="J185" s="157"/>
      <c r="K185" s="162"/>
    </row>
    <row r="186" spans="1:11" ht="13.5">
      <c r="A186" s="157"/>
      <c r="B186" s="165"/>
      <c r="C186" s="160"/>
      <c r="D186" s="157"/>
      <c r="E186" s="164"/>
      <c r="F186" s="169"/>
      <c r="G186" s="162"/>
      <c r="H186" s="157"/>
      <c r="I186" s="160"/>
      <c r="J186" s="157"/>
      <c r="K186" s="162"/>
    </row>
    <row r="187" spans="1:11" ht="13.5">
      <c r="A187" s="157"/>
      <c r="B187" s="165"/>
      <c r="C187" s="160"/>
      <c r="D187" s="157"/>
      <c r="E187" s="164"/>
      <c r="F187" s="169"/>
      <c r="G187" s="162"/>
      <c r="H187" s="157"/>
      <c r="I187" s="160"/>
      <c r="J187" s="157"/>
      <c r="K187" s="162"/>
    </row>
    <row r="188" spans="1:11" ht="13.5">
      <c r="A188" s="157"/>
      <c r="B188" s="165"/>
      <c r="C188" s="160"/>
      <c r="D188" s="157"/>
      <c r="E188" s="164"/>
      <c r="F188" s="169"/>
      <c r="G188" s="162"/>
      <c r="H188" s="157"/>
      <c r="I188" s="160"/>
      <c r="J188" s="157"/>
      <c r="K188" s="162"/>
    </row>
    <row r="189" spans="1:11" ht="13.5">
      <c r="A189" s="157"/>
      <c r="B189" s="165"/>
      <c r="C189" s="160"/>
      <c r="D189" s="157"/>
      <c r="E189" s="164"/>
      <c r="F189" s="157"/>
      <c r="G189" s="162"/>
      <c r="H189" s="157"/>
      <c r="I189" s="160"/>
      <c r="J189" s="157"/>
      <c r="K189" s="162"/>
    </row>
    <row r="190" spans="1:11" ht="13.5">
      <c r="A190" s="157"/>
      <c r="B190" s="165"/>
      <c r="C190" s="160"/>
      <c r="D190" s="157"/>
      <c r="E190" s="164"/>
      <c r="F190" s="157"/>
      <c r="G190" s="162"/>
      <c r="H190" s="157"/>
      <c r="I190" s="160"/>
      <c r="J190" s="157"/>
      <c r="K190" s="162"/>
    </row>
    <row r="191" spans="1:11" ht="13.5">
      <c r="A191" s="157"/>
      <c r="B191" s="165"/>
      <c r="C191" s="160"/>
      <c r="D191" s="157"/>
      <c r="E191" s="164"/>
      <c r="F191" s="157"/>
      <c r="G191" s="162"/>
      <c r="H191" s="157"/>
      <c r="I191" s="160"/>
      <c r="J191" s="157"/>
      <c r="K191" s="162"/>
    </row>
    <row r="192" spans="1:11" ht="13.5">
      <c r="A192" s="157"/>
      <c r="B192" s="165"/>
      <c r="C192" s="160"/>
      <c r="D192" s="157"/>
      <c r="E192" s="164"/>
      <c r="F192" s="157"/>
      <c r="G192" s="162"/>
      <c r="H192" s="157"/>
      <c r="I192" s="160"/>
      <c r="J192" s="157"/>
      <c r="K192" s="162"/>
    </row>
    <row r="193" spans="1:11" ht="13.5">
      <c r="A193" s="157"/>
      <c r="B193" s="165"/>
      <c r="C193" s="160"/>
      <c r="D193" s="157"/>
      <c r="E193" s="160"/>
      <c r="F193" s="157"/>
      <c r="G193" s="162"/>
      <c r="H193" s="157"/>
      <c r="I193" s="160"/>
      <c r="J193" s="157"/>
      <c r="K193" s="162"/>
    </row>
    <row r="194" spans="1:11" ht="13.5">
      <c r="A194" s="157"/>
      <c r="B194" s="165"/>
      <c r="C194" s="160"/>
      <c r="D194" s="157"/>
      <c r="E194" s="160"/>
      <c r="F194" s="157"/>
      <c r="G194" s="162"/>
      <c r="H194" s="157"/>
      <c r="I194" s="160"/>
      <c r="J194" s="157"/>
      <c r="K194" s="162"/>
    </row>
    <row r="195" spans="1:11" ht="13.5">
      <c r="A195" s="157"/>
      <c r="B195" s="165"/>
      <c r="C195" s="160"/>
      <c r="D195" s="157"/>
      <c r="E195" s="160"/>
      <c r="F195" s="157"/>
      <c r="G195" s="162"/>
      <c r="H195" s="157"/>
      <c r="I195" s="160"/>
      <c r="J195" s="157"/>
      <c r="K195" s="162"/>
    </row>
    <row r="196" spans="1:11" ht="13.5">
      <c r="A196" s="157"/>
      <c r="B196" s="165"/>
      <c r="C196" s="160"/>
      <c r="D196" s="157"/>
      <c r="E196" s="160"/>
      <c r="F196" s="157"/>
      <c r="G196" s="162"/>
      <c r="H196" s="157"/>
      <c r="I196" s="160"/>
      <c r="J196" s="157"/>
      <c r="K196" s="162"/>
    </row>
    <row r="197" spans="1:11" ht="13.5">
      <c r="A197" s="157"/>
      <c r="B197" s="165"/>
      <c r="C197" s="160"/>
      <c r="D197" s="157"/>
      <c r="E197" s="160"/>
      <c r="F197" s="157"/>
      <c r="G197" s="162"/>
      <c r="H197" s="157"/>
      <c r="I197" s="160"/>
      <c r="J197" s="157"/>
      <c r="K197" s="162"/>
    </row>
    <row r="198" spans="1:11" ht="13.5">
      <c r="A198" s="157"/>
      <c r="B198" s="165"/>
      <c r="C198" s="160"/>
      <c r="D198" s="157"/>
      <c r="E198" s="160"/>
      <c r="F198" s="157"/>
      <c r="G198" s="162"/>
      <c r="H198" s="157"/>
      <c r="I198" s="160"/>
      <c r="J198" s="157"/>
      <c r="K198" s="162"/>
    </row>
    <row r="199" spans="1:11" ht="13.5">
      <c r="A199" s="157"/>
      <c r="B199" s="165"/>
      <c r="C199" s="160"/>
      <c r="D199" s="157"/>
      <c r="E199" s="160"/>
      <c r="F199" s="157"/>
      <c r="G199" s="162"/>
      <c r="H199" s="157"/>
      <c r="I199" s="160"/>
      <c r="J199" s="157"/>
      <c r="K199" s="162"/>
    </row>
    <row r="200" spans="1:11" ht="13.5">
      <c r="A200" s="157"/>
      <c r="B200" s="165"/>
      <c r="C200" s="160"/>
      <c r="D200" s="157"/>
      <c r="E200" s="160"/>
      <c r="F200" s="157"/>
      <c r="G200" s="162"/>
      <c r="H200" s="157"/>
      <c r="I200" s="160"/>
      <c r="J200" s="157"/>
      <c r="K200" s="162"/>
    </row>
    <row r="201" spans="1:11" ht="13.5">
      <c r="A201" s="157"/>
      <c r="B201" s="165"/>
      <c r="C201" s="160"/>
      <c r="D201" s="157"/>
      <c r="E201" s="160"/>
      <c r="F201" s="157"/>
      <c r="G201" s="162"/>
      <c r="H201" s="157"/>
      <c r="I201" s="160"/>
      <c r="J201" s="157"/>
      <c r="K201" s="162"/>
    </row>
    <row r="202" spans="1:11" ht="13.5">
      <c r="A202" s="157"/>
      <c r="B202" s="165"/>
      <c r="C202" s="160"/>
      <c r="D202" s="157"/>
      <c r="E202" s="160"/>
      <c r="F202" s="157"/>
      <c r="G202" s="162"/>
      <c r="H202" s="157"/>
      <c r="I202" s="160"/>
      <c r="J202" s="157"/>
      <c r="K202" s="162"/>
    </row>
    <row r="203" spans="1:11" ht="13.5">
      <c r="A203" s="157"/>
      <c r="B203" s="165"/>
      <c r="C203" s="160"/>
      <c r="D203" s="157"/>
      <c r="E203" s="160"/>
      <c r="F203" s="157"/>
      <c r="G203" s="162"/>
      <c r="H203" s="157"/>
      <c r="I203" s="160"/>
      <c r="J203" s="157"/>
      <c r="K203" s="162"/>
    </row>
    <row r="204" spans="1:11" ht="13.5">
      <c r="A204" s="157"/>
      <c r="B204" s="165"/>
      <c r="C204" s="160"/>
      <c r="D204" s="157"/>
      <c r="E204" s="160"/>
      <c r="F204" s="157"/>
      <c r="G204" s="162"/>
      <c r="H204" s="157"/>
      <c r="I204" s="160"/>
      <c r="J204" s="157"/>
      <c r="K204" s="162"/>
    </row>
    <row r="205" spans="1:11" ht="13.5">
      <c r="A205" s="157"/>
      <c r="B205" s="165"/>
      <c r="C205" s="160"/>
      <c r="D205" s="157"/>
      <c r="E205" s="160"/>
      <c r="F205" s="157"/>
      <c r="G205" s="162"/>
      <c r="H205" s="157"/>
      <c r="I205" s="160"/>
      <c r="J205" s="157"/>
      <c r="K205" s="162"/>
    </row>
    <row r="206" spans="1:11" ht="13.5">
      <c r="A206" s="165"/>
      <c r="B206" s="165"/>
      <c r="C206" s="160"/>
      <c r="D206" s="157"/>
      <c r="E206" s="160"/>
      <c r="F206" s="157"/>
      <c r="G206" s="162"/>
      <c r="H206" s="157"/>
      <c r="I206" s="160"/>
      <c r="J206" s="157"/>
      <c r="K206" s="162"/>
    </row>
    <row r="207" spans="1:11" ht="13.5">
      <c r="A207" s="157"/>
      <c r="B207" s="165"/>
      <c r="C207" s="160"/>
      <c r="D207" s="157"/>
      <c r="E207" s="160"/>
      <c r="F207" s="157"/>
      <c r="G207" s="162"/>
      <c r="H207" s="157"/>
      <c r="I207" s="160"/>
      <c r="J207" s="157"/>
      <c r="K207" s="162"/>
    </row>
    <row r="208" spans="1:11" ht="13.5">
      <c r="A208" s="157"/>
      <c r="B208" s="165"/>
      <c r="C208" s="160"/>
      <c r="D208" s="157"/>
      <c r="E208" s="160"/>
      <c r="F208" s="157"/>
      <c r="G208" s="162"/>
      <c r="H208" s="157"/>
      <c r="I208" s="160"/>
      <c r="J208" s="157"/>
      <c r="K208" s="162"/>
    </row>
    <row r="209" spans="1:11" ht="13.5">
      <c r="A209" s="157"/>
      <c r="B209" s="165"/>
      <c r="C209" s="160"/>
      <c r="D209" s="157"/>
      <c r="E209" s="160"/>
      <c r="F209" s="157"/>
      <c r="G209" s="162"/>
      <c r="H209" s="157"/>
      <c r="I209" s="160"/>
      <c r="J209" s="157"/>
      <c r="K209" s="162"/>
    </row>
    <row r="210" spans="1:11" ht="13.5">
      <c r="A210" s="157"/>
      <c r="B210" s="165"/>
      <c r="C210" s="160"/>
      <c r="D210" s="157"/>
      <c r="E210" s="160"/>
      <c r="F210" s="157"/>
      <c r="G210" s="162"/>
      <c r="H210" s="157"/>
      <c r="I210" s="160"/>
      <c r="J210" s="157"/>
      <c r="K210" s="162"/>
    </row>
    <row r="211" spans="1:11" ht="13.5">
      <c r="A211" s="157"/>
      <c r="B211" s="165"/>
      <c r="C211" s="160"/>
      <c r="D211" s="157"/>
      <c r="E211" s="160"/>
      <c r="F211" s="157"/>
      <c r="G211" s="162"/>
      <c r="H211" s="157"/>
      <c r="I211" s="160"/>
      <c r="J211" s="157"/>
      <c r="K211" s="162"/>
    </row>
    <row r="212" spans="1:11" ht="13.5">
      <c r="A212" s="157"/>
      <c r="B212" s="165"/>
      <c r="C212" s="160"/>
      <c r="D212" s="157"/>
      <c r="E212" s="160"/>
      <c r="F212" s="157"/>
      <c r="G212" s="162"/>
      <c r="H212" s="157"/>
      <c r="I212" s="160"/>
      <c r="J212" s="157"/>
      <c r="K212" s="162"/>
    </row>
    <row r="213" spans="1:11" ht="13.5">
      <c r="A213" s="157"/>
      <c r="B213" s="165"/>
      <c r="C213" s="160"/>
      <c r="D213" s="157"/>
      <c r="E213" s="160"/>
      <c r="F213" s="157"/>
      <c r="G213" s="162"/>
      <c r="H213" s="157"/>
      <c r="I213" s="160"/>
      <c r="J213" s="157"/>
      <c r="K213" s="162"/>
    </row>
    <row r="214" spans="1:11" ht="13.5">
      <c r="A214" s="157"/>
      <c r="B214" s="165"/>
      <c r="C214" s="160"/>
      <c r="D214" s="157"/>
      <c r="E214" s="160"/>
      <c r="F214" s="157"/>
      <c r="G214" s="162"/>
      <c r="H214" s="157"/>
      <c r="I214" s="160"/>
      <c r="J214" s="157"/>
      <c r="K214" s="162"/>
    </row>
    <row r="215" spans="1:11" ht="13.5">
      <c r="A215" s="157"/>
      <c r="B215" s="165"/>
      <c r="C215" s="160"/>
      <c r="D215" s="157"/>
      <c r="E215" s="160"/>
      <c r="F215" s="157"/>
      <c r="G215" s="162"/>
      <c r="H215" s="157"/>
      <c r="I215" s="160"/>
      <c r="J215" s="157"/>
      <c r="K215" s="162"/>
    </row>
    <row r="216" spans="1:11" ht="13.5">
      <c r="A216" s="157"/>
      <c r="B216" s="165"/>
      <c r="C216" s="160"/>
      <c r="D216" s="157"/>
      <c r="E216" s="164"/>
      <c r="F216" s="157"/>
      <c r="G216" s="162"/>
      <c r="H216" s="157"/>
      <c r="I216" s="160"/>
      <c r="J216" s="157"/>
      <c r="K216" s="162"/>
    </row>
    <row r="217" spans="1:11" ht="13.5">
      <c r="A217" s="157"/>
      <c r="B217" s="165"/>
      <c r="C217" s="160"/>
      <c r="D217" s="157"/>
      <c r="E217" s="164"/>
      <c r="F217" s="157"/>
      <c r="G217" s="162"/>
      <c r="H217" s="157"/>
      <c r="I217" s="160"/>
      <c r="J217" s="157"/>
      <c r="K217" s="162"/>
    </row>
    <row r="218" spans="1:11" ht="13.5">
      <c r="A218" s="157"/>
      <c r="B218" s="165"/>
      <c r="C218" s="160"/>
      <c r="D218" s="157"/>
      <c r="E218" s="164"/>
      <c r="F218" s="157"/>
      <c r="G218" s="162"/>
      <c r="H218" s="157"/>
      <c r="I218" s="160"/>
      <c r="J218" s="157"/>
      <c r="K218" s="162"/>
    </row>
    <row r="219" spans="1:11" ht="13.5">
      <c r="A219" s="157"/>
      <c r="B219" s="165"/>
      <c r="C219" s="160"/>
      <c r="D219" s="157"/>
      <c r="E219" s="164"/>
      <c r="F219" s="157"/>
      <c r="G219" s="162"/>
      <c r="H219" s="157"/>
      <c r="I219" s="160"/>
      <c r="J219" s="157"/>
      <c r="K219" s="162"/>
    </row>
    <row r="220" spans="1:11" ht="13.5">
      <c r="A220" s="157"/>
      <c r="B220" s="165"/>
      <c r="C220" s="160"/>
      <c r="D220" s="157"/>
      <c r="E220" s="160"/>
      <c r="F220" s="157"/>
      <c r="G220" s="162"/>
      <c r="H220" s="157"/>
      <c r="I220" s="160"/>
      <c r="J220" s="157"/>
      <c r="K220" s="162"/>
    </row>
    <row r="221" spans="1:11" ht="13.5">
      <c r="A221" s="157"/>
      <c r="B221" s="165"/>
      <c r="C221" s="160"/>
      <c r="D221" s="157"/>
      <c r="E221" s="160"/>
      <c r="F221" s="157"/>
      <c r="G221" s="162"/>
      <c r="H221" s="157"/>
      <c r="I221" s="160"/>
      <c r="J221" s="157"/>
      <c r="K221" s="162"/>
    </row>
    <row r="222" spans="1:11" ht="13.5">
      <c r="A222" s="157"/>
      <c r="B222" s="165"/>
      <c r="C222" s="160"/>
      <c r="D222" s="157"/>
      <c r="E222" s="160"/>
      <c r="F222" s="157"/>
      <c r="G222" s="162"/>
      <c r="H222" s="157"/>
      <c r="I222" s="160"/>
      <c r="J222" s="157"/>
      <c r="K222" s="162"/>
    </row>
    <row r="223" spans="1:11" ht="13.5">
      <c r="A223" s="157"/>
      <c r="B223" s="165"/>
      <c r="C223" s="160"/>
      <c r="D223" s="157"/>
      <c r="E223" s="160"/>
      <c r="F223" s="157"/>
      <c r="G223" s="162"/>
      <c r="H223" s="157"/>
      <c r="I223" s="160"/>
      <c r="J223" s="157"/>
      <c r="K223" s="162"/>
    </row>
    <row r="224" spans="1:11" ht="13.5">
      <c r="A224" s="157"/>
      <c r="B224" s="165"/>
      <c r="C224" s="160"/>
      <c r="D224" s="157"/>
      <c r="E224" s="160"/>
      <c r="F224" s="157"/>
      <c r="G224" s="162"/>
      <c r="H224" s="157"/>
      <c r="I224" s="160"/>
      <c r="J224" s="157"/>
      <c r="K224" s="162"/>
    </row>
    <row r="225" spans="1:11" ht="13.5">
      <c r="A225" s="157"/>
      <c r="B225" s="165"/>
      <c r="C225" s="160"/>
      <c r="D225" s="157"/>
      <c r="E225" s="160"/>
      <c r="F225" s="157"/>
      <c r="G225" s="162"/>
      <c r="H225" s="157"/>
      <c r="I225" s="160"/>
      <c r="J225" s="157"/>
      <c r="K225" s="162"/>
    </row>
    <row r="226" spans="1:11" ht="13.5">
      <c r="A226" s="157"/>
      <c r="B226" s="165"/>
      <c r="C226" s="160"/>
      <c r="D226" s="157"/>
      <c r="E226" s="160"/>
      <c r="F226" s="157"/>
      <c r="G226" s="162"/>
      <c r="H226" s="157"/>
      <c r="I226" s="160"/>
      <c r="J226" s="157"/>
      <c r="K226" s="162"/>
    </row>
    <row r="227" spans="1:11" ht="13.5">
      <c r="A227" s="157"/>
      <c r="B227" s="165"/>
      <c r="C227" s="160"/>
      <c r="D227" s="157"/>
      <c r="E227" s="160"/>
      <c r="F227" s="157"/>
      <c r="G227" s="162"/>
      <c r="H227" s="157"/>
      <c r="I227" s="160"/>
      <c r="J227" s="157"/>
      <c r="K227" s="162"/>
    </row>
    <row r="228" spans="1:11" ht="13.5">
      <c r="A228" s="157"/>
      <c r="B228" s="165"/>
      <c r="C228" s="160"/>
      <c r="D228" s="157"/>
      <c r="E228" s="160"/>
      <c r="F228" s="157"/>
      <c r="G228" s="162"/>
      <c r="H228" s="157"/>
      <c r="I228" s="160"/>
      <c r="J228" s="157"/>
      <c r="K228" s="162"/>
    </row>
  </sheetData>
  <customSheetViews>
    <customSheetView guid="{2383B994-5DA1-4BB7-BA01-728624653006}">
      <selection activeCell="A148" sqref="A148:XFD148"/>
      <pageMargins left="0.7" right="0.7" top="0.75" bottom="0.75" header="0.3" footer="0.3"/>
      <pageSetup paperSize="17" orientation="portrait" horizontalDpi="4294967295" verticalDpi="4294967295" r:id="rId1"/>
    </customSheetView>
    <customSheetView guid="{2CF83A42-D815-4571-8877-DB621A116308}">
      <selection activeCell="A148" sqref="A148:XFD148"/>
      <pageMargins left="0.7" right="0.7" top="0.75" bottom="0.75" header="0.3" footer="0.3"/>
      <pageSetup paperSize="17" orientation="portrait" horizontalDpi="4294967295" verticalDpi="4294967295" r:id="rId2"/>
    </customSheetView>
    <customSheetView guid="{FFA6C093-E866-4B92-9807-8D478A2763D4}">
      <selection activeCell="A148" sqref="A148:XFD148"/>
      <pageMargins left="0.7" right="0.7" top="0.75" bottom="0.75" header="0.3" footer="0.3"/>
      <pageSetup paperSize="17" orientation="portrait" horizontalDpi="4294967295" verticalDpi="4294967295" r:id="rId3"/>
    </customSheetView>
  </customSheetViews>
  <pageMargins left="0.7" right="0.7" top="0.75" bottom="0.75" header="0.3" footer="0.3"/>
  <pageSetup paperSize="17" orientation="portrait" horizontalDpi="4294967295" verticalDpi="4294967295" r:id="rId4"/>
  <legacyDrawing r:id="rId5"/>
</worksheet>
</file>

<file path=xl/worksheets/sheet11.xml><?xml version="1.0" encoding="utf-8"?>
<worksheet xmlns="http://schemas.openxmlformats.org/spreadsheetml/2006/main" xmlns:r="http://schemas.openxmlformats.org/officeDocument/2006/relationships">
  <sheetPr codeName="Sheet17"/>
  <dimension ref="A1:N87"/>
  <sheetViews>
    <sheetView workbookViewId="0">
      <selection activeCell="F11" sqref="F11"/>
    </sheetView>
  </sheetViews>
  <sheetFormatPr defaultColWidth="9.453125" defaultRowHeight="15"/>
  <cols>
    <col min="1" max="1" width="18.453125" style="86" customWidth="1"/>
    <col min="2" max="2" width="9.453125" style="21" customWidth="1"/>
    <col min="3" max="3" width="21.54296875" style="21" customWidth="1"/>
    <col min="4" max="6" width="9.453125" style="21" customWidth="1"/>
    <col min="7" max="7" width="26.453125" style="21" customWidth="1"/>
    <col min="8" max="8" width="9.453125" style="21" customWidth="1"/>
    <col min="9" max="9" width="3.54296875" style="21" customWidth="1"/>
    <col min="10" max="10" width="27" style="21" customWidth="1"/>
    <col min="11" max="11" width="44.453125" style="21" customWidth="1"/>
    <col min="12" max="12" width="23" style="21" customWidth="1"/>
    <col min="13" max="13" width="9.453125" style="21" customWidth="1"/>
    <col min="14" max="14" width="81.54296875" style="21" customWidth="1"/>
    <col min="15" max="16384" width="9.453125" style="21"/>
  </cols>
  <sheetData>
    <row r="1" spans="1:14" ht="15.5">
      <c r="A1" s="86" t="s">
        <v>42</v>
      </c>
      <c r="B1" s="21">
        <v>1</v>
      </c>
      <c r="C1" s="21" t="s">
        <v>77</v>
      </c>
      <c r="D1" s="176" t="s">
        <v>15</v>
      </c>
      <c r="E1" s="21">
        <f>MATCH(D1,A1:A87)</f>
        <v>34</v>
      </c>
      <c r="F1" s="21" t="str">
        <f>VLOOKUP(E1,B1:C87,2)</f>
        <v>Husky</v>
      </c>
      <c r="G1" s="21" t="s">
        <v>78</v>
      </c>
      <c r="H1" s="21" t="str">
        <f>F1</f>
        <v>Husky</v>
      </c>
      <c r="I1" s="21" t="s">
        <v>79</v>
      </c>
      <c r="J1" s="176">
        <v>8124034</v>
      </c>
      <c r="K1" s="21" t="str">
        <f>CONCATENATE(G1,H1,I1,J1)</f>
        <v>m:\manufacturing process\Husky\8124034</v>
      </c>
      <c r="L1" s="34" t="s">
        <v>80</v>
      </c>
      <c r="M1" s="87" t="s">
        <v>113</v>
      </c>
      <c r="N1" s="21" t="s">
        <v>114</v>
      </c>
    </row>
    <row r="2" spans="1:14">
      <c r="A2" s="86" t="s">
        <v>189</v>
      </c>
      <c r="B2" s="21">
        <v>2</v>
      </c>
      <c r="C2" s="21" t="s">
        <v>166</v>
      </c>
      <c r="K2" s="21" t="str">
        <f>CONCATENATE(G1,H1)</f>
        <v>m:\manufacturing process\Husky</v>
      </c>
      <c r="L2" s="34" t="s">
        <v>82</v>
      </c>
      <c r="N2" s="21" t="s">
        <v>115</v>
      </c>
    </row>
    <row r="3" spans="1:14">
      <c r="A3" s="86" t="s">
        <v>166</v>
      </c>
      <c r="B3" s="21">
        <v>3</v>
      </c>
      <c r="C3" s="154" t="s">
        <v>166</v>
      </c>
      <c r="N3" s="21" t="s">
        <v>116</v>
      </c>
    </row>
    <row r="4" spans="1:14">
      <c r="A4" s="86" t="s">
        <v>119</v>
      </c>
      <c r="B4" s="21">
        <v>4</v>
      </c>
      <c r="C4" s="21" t="s">
        <v>119</v>
      </c>
      <c r="N4" s="21" t="s">
        <v>117</v>
      </c>
    </row>
    <row r="5" spans="1:14">
      <c r="A5" s="86" t="s">
        <v>190</v>
      </c>
      <c r="B5" s="21">
        <v>5</v>
      </c>
      <c r="C5" s="21" t="s">
        <v>191</v>
      </c>
      <c r="N5" s="21" t="s">
        <v>118</v>
      </c>
    </row>
    <row r="6" spans="1:14">
      <c r="A6" s="86" t="s">
        <v>167</v>
      </c>
      <c r="B6" s="21">
        <v>6</v>
      </c>
      <c r="C6" s="21" t="s">
        <v>167</v>
      </c>
    </row>
    <row r="7" spans="1:14">
      <c r="A7" s="86" t="s">
        <v>51</v>
      </c>
      <c r="B7" s="21">
        <v>7</v>
      </c>
      <c r="C7" s="21" t="s">
        <v>81</v>
      </c>
    </row>
    <row r="8" spans="1:14">
      <c r="A8" s="86" t="s">
        <v>192</v>
      </c>
      <c r="B8" s="21">
        <v>8</v>
      </c>
      <c r="C8" s="21" t="s">
        <v>180</v>
      </c>
    </row>
    <row r="9" spans="1:14">
      <c r="A9" s="86" t="s">
        <v>185</v>
      </c>
      <c r="B9" s="21">
        <v>9</v>
      </c>
      <c r="C9" s="21" t="s">
        <v>185</v>
      </c>
    </row>
    <row r="10" spans="1:14">
      <c r="A10" s="86" t="s">
        <v>109</v>
      </c>
      <c r="B10" s="21">
        <v>10</v>
      </c>
      <c r="C10" s="21" t="s">
        <v>109</v>
      </c>
    </row>
    <row r="11" spans="1:14">
      <c r="A11" s="20" t="s">
        <v>49</v>
      </c>
      <c r="B11" s="21">
        <v>11</v>
      </c>
      <c r="C11" s="21" t="s">
        <v>83</v>
      </c>
    </row>
    <row r="12" spans="1:14">
      <c r="A12" s="20" t="s">
        <v>32</v>
      </c>
      <c r="B12" s="21">
        <v>12</v>
      </c>
      <c r="C12" s="21" t="s">
        <v>84</v>
      </c>
    </row>
    <row r="13" spans="1:14">
      <c r="A13" s="20" t="s">
        <v>31</v>
      </c>
      <c r="B13" s="21">
        <v>13</v>
      </c>
      <c r="C13" s="21" t="s">
        <v>15</v>
      </c>
    </row>
    <row r="14" spans="1:14">
      <c r="A14" s="86" t="s">
        <v>171</v>
      </c>
      <c r="B14" s="21">
        <v>14</v>
      </c>
      <c r="C14" s="21" t="s">
        <v>171</v>
      </c>
    </row>
    <row r="15" spans="1:14">
      <c r="A15" s="86" t="s">
        <v>193</v>
      </c>
      <c r="B15" s="21">
        <v>15</v>
      </c>
      <c r="C15" s="154" t="s">
        <v>194</v>
      </c>
    </row>
    <row r="16" spans="1:14">
      <c r="A16" s="86" t="s">
        <v>186</v>
      </c>
      <c r="B16" s="21">
        <v>16</v>
      </c>
      <c r="C16" s="154" t="s">
        <v>186</v>
      </c>
    </row>
    <row r="17" spans="1:3">
      <c r="A17" s="86" t="s">
        <v>195</v>
      </c>
      <c r="B17" s="21">
        <v>17</v>
      </c>
      <c r="C17" s="154" t="s">
        <v>195</v>
      </c>
    </row>
    <row r="18" spans="1:3">
      <c r="A18" s="20" t="s">
        <v>41</v>
      </c>
      <c r="B18" s="21">
        <v>18</v>
      </c>
      <c r="C18" s="21" t="s">
        <v>50</v>
      </c>
    </row>
    <row r="19" spans="1:3">
      <c r="A19" s="20" t="s">
        <v>169</v>
      </c>
      <c r="B19" s="21">
        <v>19</v>
      </c>
      <c r="C19" s="21" t="s">
        <v>169</v>
      </c>
    </row>
    <row r="20" spans="1:3">
      <c r="A20" s="20" t="s">
        <v>26</v>
      </c>
      <c r="B20" s="21">
        <v>20</v>
      </c>
      <c r="C20" s="21" t="s">
        <v>85</v>
      </c>
    </row>
    <row r="21" spans="1:3">
      <c r="A21" s="20" t="s">
        <v>0</v>
      </c>
      <c r="B21" s="21">
        <v>21</v>
      </c>
      <c r="C21" s="21" t="s">
        <v>86</v>
      </c>
    </row>
    <row r="22" spans="1:3">
      <c r="A22" s="86" t="s">
        <v>121</v>
      </c>
      <c r="B22" s="21">
        <v>22</v>
      </c>
      <c r="C22" s="21" t="s">
        <v>121</v>
      </c>
    </row>
    <row r="23" spans="1:3">
      <c r="A23" s="20" t="s">
        <v>73</v>
      </c>
      <c r="B23" s="21">
        <v>23</v>
      </c>
      <c r="C23" s="21" t="s">
        <v>110</v>
      </c>
    </row>
    <row r="24" spans="1:3">
      <c r="A24" s="20" t="s">
        <v>127</v>
      </c>
      <c r="B24" s="21">
        <v>24</v>
      </c>
      <c r="C24" s="21" t="s">
        <v>127</v>
      </c>
    </row>
    <row r="25" spans="1:3">
      <c r="A25" s="20" t="s">
        <v>71</v>
      </c>
      <c r="B25" s="21">
        <v>25</v>
      </c>
      <c r="C25" s="21" t="s">
        <v>59</v>
      </c>
    </row>
    <row r="26" spans="1:3">
      <c r="A26" s="20" t="s">
        <v>24</v>
      </c>
      <c r="B26" s="21">
        <v>26</v>
      </c>
      <c r="C26" s="21" t="s">
        <v>43</v>
      </c>
    </row>
    <row r="27" spans="1:3">
      <c r="A27" s="86" t="s">
        <v>120</v>
      </c>
      <c r="B27" s="21">
        <v>27</v>
      </c>
      <c r="C27" s="21" t="s">
        <v>120</v>
      </c>
    </row>
    <row r="28" spans="1:3">
      <c r="A28" s="20" t="s">
        <v>74</v>
      </c>
      <c r="B28" s="21">
        <v>28</v>
      </c>
      <c r="C28" s="21" t="s">
        <v>74</v>
      </c>
    </row>
    <row r="29" spans="1:3">
      <c r="A29" s="20" t="s">
        <v>25</v>
      </c>
      <c r="B29" s="21">
        <v>29</v>
      </c>
      <c r="C29" s="21" t="s">
        <v>87</v>
      </c>
    </row>
    <row r="30" spans="1:3">
      <c r="A30" s="86" t="s">
        <v>170</v>
      </c>
      <c r="B30" s="21">
        <v>30</v>
      </c>
      <c r="C30" s="21" t="s">
        <v>170</v>
      </c>
    </row>
    <row r="31" spans="1:3">
      <c r="A31" s="20" t="s">
        <v>46</v>
      </c>
      <c r="B31" s="21">
        <v>31</v>
      </c>
      <c r="C31" s="21" t="s">
        <v>88</v>
      </c>
    </row>
    <row r="32" spans="1:3">
      <c r="A32" s="20" t="s">
        <v>2</v>
      </c>
      <c r="B32" s="21">
        <v>32</v>
      </c>
      <c r="C32" s="21" t="s">
        <v>2</v>
      </c>
    </row>
    <row r="33" spans="1:3">
      <c r="A33" s="86" t="s">
        <v>108</v>
      </c>
      <c r="B33" s="21">
        <v>33</v>
      </c>
      <c r="C33" s="21" t="s">
        <v>15</v>
      </c>
    </row>
    <row r="34" spans="1:3">
      <c r="A34" s="20" t="s">
        <v>15</v>
      </c>
      <c r="B34" s="21">
        <v>34</v>
      </c>
      <c r="C34" s="21" t="s">
        <v>15</v>
      </c>
    </row>
    <row r="35" spans="1:3">
      <c r="A35" s="86" t="s">
        <v>107</v>
      </c>
      <c r="B35" s="21">
        <v>35</v>
      </c>
      <c r="C35" s="21" t="s">
        <v>15</v>
      </c>
    </row>
    <row r="36" spans="1:3">
      <c r="A36" s="20" t="s">
        <v>47</v>
      </c>
      <c r="B36" s="21">
        <v>36</v>
      </c>
      <c r="C36" s="21" t="s">
        <v>39</v>
      </c>
    </row>
    <row r="37" spans="1:3">
      <c r="A37" s="20" t="s">
        <v>23</v>
      </c>
      <c r="B37" s="21">
        <v>37</v>
      </c>
      <c r="C37" s="21" t="s">
        <v>89</v>
      </c>
    </row>
    <row r="38" spans="1:3">
      <c r="A38" s="20" t="s">
        <v>28</v>
      </c>
      <c r="B38" s="21">
        <v>38</v>
      </c>
      <c r="C38" s="21" t="s">
        <v>28</v>
      </c>
    </row>
    <row r="39" spans="1:3">
      <c r="A39" s="20" t="s">
        <v>5</v>
      </c>
      <c r="B39" s="21">
        <v>39</v>
      </c>
      <c r="C39" s="21" t="s">
        <v>5</v>
      </c>
    </row>
    <row r="40" spans="1:3">
      <c r="A40" s="20" t="s">
        <v>72</v>
      </c>
      <c r="B40" s="21">
        <v>40</v>
      </c>
      <c r="C40" s="21" t="s">
        <v>111</v>
      </c>
    </row>
    <row r="41" spans="1:3">
      <c r="A41" s="20" t="s">
        <v>4</v>
      </c>
      <c r="B41" s="21">
        <v>41</v>
      </c>
      <c r="C41" s="21" t="s">
        <v>90</v>
      </c>
    </row>
    <row r="42" spans="1:3">
      <c r="A42" s="20" t="s">
        <v>37</v>
      </c>
      <c r="B42" s="21">
        <v>42</v>
      </c>
      <c r="C42" s="21" t="s">
        <v>83</v>
      </c>
    </row>
    <row r="43" spans="1:3">
      <c r="A43" s="20" t="s">
        <v>40</v>
      </c>
      <c r="B43" s="21">
        <v>43</v>
      </c>
      <c r="C43" s="21" t="s">
        <v>91</v>
      </c>
    </row>
    <row r="44" spans="1:3">
      <c r="A44" s="86" t="s">
        <v>196</v>
      </c>
      <c r="B44" s="21">
        <v>44</v>
      </c>
      <c r="C44" s="21" t="s">
        <v>196</v>
      </c>
    </row>
    <row r="45" spans="1:3">
      <c r="A45" s="86" t="s">
        <v>197</v>
      </c>
      <c r="B45" s="21">
        <v>45</v>
      </c>
      <c r="C45" s="21" t="s">
        <v>197</v>
      </c>
    </row>
    <row r="46" spans="1:3">
      <c r="A46" s="20" t="s">
        <v>36</v>
      </c>
      <c r="B46" s="21">
        <v>46</v>
      </c>
      <c r="C46" s="21" t="s">
        <v>15</v>
      </c>
    </row>
    <row r="47" spans="1:3">
      <c r="A47" s="20" t="s">
        <v>62</v>
      </c>
      <c r="B47" s="21">
        <v>47</v>
      </c>
      <c r="C47" s="21" t="s">
        <v>61</v>
      </c>
    </row>
    <row r="48" spans="1:3">
      <c r="A48" s="20" t="s">
        <v>76</v>
      </c>
      <c r="B48" s="21">
        <v>48</v>
      </c>
      <c r="C48" s="21" t="s">
        <v>76</v>
      </c>
    </row>
    <row r="49" spans="1:3">
      <c r="A49" s="86" t="s">
        <v>102</v>
      </c>
      <c r="B49" s="21">
        <v>49</v>
      </c>
      <c r="C49" s="21" t="s">
        <v>105</v>
      </c>
    </row>
    <row r="50" spans="1:3">
      <c r="A50" s="20" t="s">
        <v>7</v>
      </c>
      <c r="B50" s="21">
        <v>50</v>
      </c>
      <c r="C50" s="21" t="s">
        <v>35</v>
      </c>
    </row>
    <row r="51" spans="1:3">
      <c r="A51" s="20" t="s">
        <v>60</v>
      </c>
      <c r="B51" s="21">
        <v>51</v>
      </c>
      <c r="C51" s="21" t="s">
        <v>35</v>
      </c>
    </row>
    <row r="52" spans="1:3">
      <c r="A52" s="20" t="s">
        <v>184</v>
      </c>
      <c r="B52" s="21">
        <v>52</v>
      </c>
      <c r="C52" s="21" t="s">
        <v>184</v>
      </c>
    </row>
    <row r="53" spans="1:3">
      <c r="A53" s="20" t="s">
        <v>183</v>
      </c>
      <c r="B53" s="21">
        <v>53</v>
      </c>
      <c r="C53" s="21" t="s">
        <v>183</v>
      </c>
    </row>
    <row r="54" spans="1:3">
      <c r="A54" s="86" t="s">
        <v>165</v>
      </c>
      <c r="B54" s="21">
        <v>54</v>
      </c>
      <c r="C54" s="21" t="s">
        <v>165</v>
      </c>
    </row>
    <row r="55" spans="1:3">
      <c r="A55" s="86" t="s">
        <v>198</v>
      </c>
      <c r="B55" s="21">
        <v>55</v>
      </c>
      <c r="C55" s="21" t="s">
        <v>198</v>
      </c>
    </row>
    <row r="56" spans="1:3">
      <c r="A56" s="86" t="s">
        <v>106</v>
      </c>
      <c r="B56" s="21">
        <v>56</v>
      </c>
      <c r="C56" s="21" t="s">
        <v>106</v>
      </c>
    </row>
    <row r="57" spans="1:3">
      <c r="A57" s="20" t="s">
        <v>48</v>
      </c>
      <c r="B57" s="21">
        <v>57</v>
      </c>
      <c r="C57" s="21" t="s">
        <v>48</v>
      </c>
    </row>
    <row r="58" spans="1:3">
      <c r="A58" s="86" t="s">
        <v>163</v>
      </c>
      <c r="B58" s="21">
        <v>58</v>
      </c>
      <c r="C58" s="21" t="s">
        <v>163</v>
      </c>
    </row>
    <row r="59" spans="1:3">
      <c r="A59" s="86" t="s">
        <v>6</v>
      </c>
      <c r="B59" s="21">
        <v>59</v>
      </c>
      <c r="C59" s="21" t="s">
        <v>6</v>
      </c>
    </row>
    <row r="60" spans="1:3">
      <c r="A60" s="20" t="s">
        <v>44</v>
      </c>
      <c r="B60" s="21">
        <v>60</v>
      </c>
      <c r="C60" s="21" t="s">
        <v>44</v>
      </c>
    </row>
    <row r="61" spans="1:3">
      <c r="A61" s="20" t="s">
        <v>3</v>
      </c>
      <c r="B61" s="21">
        <v>61</v>
      </c>
      <c r="C61" s="21" t="s">
        <v>3</v>
      </c>
    </row>
    <row r="62" spans="1:3">
      <c r="A62" s="20" t="s">
        <v>199</v>
      </c>
      <c r="B62" s="21">
        <v>62</v>
      </c>
      <c r="C62" s="21" t="s">
        <v>200</v>
      </c>
    </row>
    <row r="63" spans="1:3">
      <c r="A63" s="86" t="s">
        <v>52</v>
      </c>
      <c r="B63" s="21">
        <v>63</v>
      </c>
      <c r="C63" s="21" t="s">
        <v>52</v>
      </c>
    </row>
    <row r="64" spans="1:3">
      <c r="A64" s="20" t="s">
        <v>125</v>
      </c>
      <c r="B64" s="21">
        <v>64</v>
      </c>
      <c r="C64" s="21" t="s">
        <v>125</v>
      </c>
    </row>
    <row r="65" spans="1:3">
      <c r="A65" s="20" t="s">
        <v>126</v>
      </c>
      <c r="B65" s="21">
        <v>65</v>
      </c>
      <c r="C65" s="21" t="s">
        <v>126</v>
      </c>
    </row>
    <row r="66" spans="1:3">
      <c r="A66" s="86" t="s">
        <v>168</v>
      </c>
      <c r="B66" s="21">
        <v>66</v>
      </c>
      <c r="C66" s="21" t="s">
        <v>168</v>
      </c>
    </row>
    <row r="67" spans="1:3">
      <c r="A67" s="86" t="s">
        <v>201</v>
      </c>
      <c r="B67" s="21">
        <v>67</v>
      </c>
      <c r="C67" s="21" t="s">
        <v>164</v>
      </c>
    </row>
    <row r="68" spans="1:3">
      <c r="A68" s="20" t="s">
        <v>16</v>
      </c>
      <c r="B68" s="21">
        <v>68</v>
      </c>
      <c r="C68" s="21" t="s">
        <v>15</v>
      </c>
    </row>
    <row r="69" spans="1:3">
      <c r="A69" s="20" t="s">
        <v>202</v>
      </c>
      <c r="B69" s="21">
        <v>69</v>
      </c>
      <c r="C69" s="21" t="s">
        <v>202</v>
      </c>
    </row>
    <row r="70" spans="1:3">
      <c r="A70" s="86" t="s">
        <v>104</v>
      </c>
      <c r="B70" s="21">
        <v>70</v>
      </c>
      <c r="C70" s="21" t="s">
        <v>112</v>
      </c>
    </row>
    <row r="71" spans="1:3">
      <c r="A71" s="86" t="s">
        <v>124</v>
      </c>
      <c r="B71" s="21">
        <v>71</v>
      </c>
      <c r="C71" s="21" t="s">
        <v>124</v>
      </c>
    </row>
    <row r="72" spans="1:3">
      <c r="A72" s="86" t="s">
        <v>203</v>
      </c>
      <c r="B72" s="21">
        <v>72</v>
      </c>
      <c r="C72" s="21" t="s">
        <v>181</v>
      </c>
    </row>
    <row r="73" spans="1:3">
      <c r="A73" s="86" t="s">
        <v>204</v>
      </c>
      <c r="B73" s="21">
        <v>73</v>
      </c>
      <c r="C73" s="21" t="s">
        <v>205</v>
      </c>
    </row>
    <row r="74" spans="1:3">
      <c r="A74" s="20" t="s">
        <v>30</v>
      </c>
      <c r="B74" s="21">
        <v>74</v>
      </c>
      <c r="C74" s="21" t="s">
        <v>30</v>
      </c>
    </row>
    <row r="75" spans="1:3">
      <c r="A75" s="20" t="s">
        <v>1</v>
      </c>
      <c r="B75" s="21">
        <v>75</v>
      </c>
      <c r="C75" s="21" t="s">
        <v>1</v>
      </c>
    </row>
    <row r="76" spans="1:3">
      <c r="A76" s="86" t="s">
        <v>103</v>
      </c>
      <c r="B76" s="21">
        <v>76</v>
      </c>
      <c r="C76" s="21" t="s">
        <v>103</v>
      </c>
    </row>
    <row r="77" spans="1:3">
      <c r="A77" s="86" t="s">
        <v>123</v>
      </c>
      <c r="B77" s="21">
        <v>77</v>
      </c>
      <c r="C77" s="21" t="s">
        <v>123</v>
      </c>
    </row>
    <row r="78" spans="1:3">
      <c r="A78" s="86" t="s">
        <v>206</v>
      </c>
      <c r="B78" s="21">
        <v>78</v>
      </c>
      <c r="C78" s="21" t="s">
        <v>206</v>
      </c>
    </row>
    <row r="79" spans="1:3">
      <c r="A79" s="86" t="s">
        <v>122</v>
      </c>
      <c r="B79" s="21">
        <v>79</v>
      </c>
      <c r="C79" s="21" t="s">
        <v>122</v>
      </c>
    </row>
    <row r="80" spans="1:3">
      <c r="A80" s="20" t="s">
        <v>27</v>
      </c>
      <c r="B80" s="21">
        <v>80</v>
      </c>
      <c r="C80" s="21" t="s">
        <v>27</v>
      </c>
    </row>
    <row r="81" spans="1:3">
      <c r="A81" s="86" t="s">
        <v>128</v>
      </c>
      <c r="B81" s="21">
        <v>81</v>
      </c>
      <c r="C81" s="21" t="s">
        <v>128</v>
      </c>
    </row>
    <row r="82" spans="1:3">
      <c r="A82" s="86" t="s">
        <v>209</v>
      </c>
      <c r="B82" s="21">
        <v>82</v>
      </c>
      <c r="C82" s="21" t="s">
        <v>210</v>
      </c>
    </row>
    <row r="83" spans="1:3">
      <c r="A83" s="86" t="s">
        <v>182</v>
      </c>
      <c r="B83" s="21">
        <v>83</v>
      </c>
      <c r="C83" s="21" t="s">
        <v>182</v>
      </c>
    </row>
    <row r="84" spans="1:3">
      <c r="A84" s="86" t="s">
        <v>29</v>
      </c>
      <c r="B84" s="21">
        <v>84</v>
      </c>
      <c r="C84" s="21" t="s">
        <v>83</v>
      </c>
    </row>
    <row r="85" spans="1:3">
      <c r="A85" s="86" t="s">
        <v>207</v>
      </c>
      <c r="B85" s="21">
        <v>85</v>
      </c>
      <c r="C85" s="21" t="s">
        <v>207</v>
      </c>
    </row>
    <row r="86" spans="1:3">
      <c r="A86" s="20" t="s">
        <v>33</v>
      </c>
      <c r="B86" s="21">
        <v>86</v>
      </c>
      <c r="C86" s="21" t="s">
        <v>83</v>
      </c>
    </row>
    <row r="87" spans="1:3">
      <c r="A87" s="86" t="s">
        <v>208</v>
      </c>
      <c r="B87" s="21">
        <v>87</v>
      </c>
      <c r="C87" s="21" t="s">
        <v>208</v>
      </c>
    </row>
  </sheetData>
  <pageMargins left="0.7" right="0.7" top="0.75" bottom="0.75" header="0.3" footer="0.3"/>
  <pageSetup paperSize="17" orientation="portrait" horizontalDpi="4294967295" verticalDpi="4294967295" r:id="rId1"/>
</worksheet>
</file>

<file path=xl/worksheets/sheet12.xml><?xml version="1.0" encoding="utf-8"?>
<worksheet xmlns="http://schemas.openxmlformats.org/spreadsheetml/2006/main" xmlns:r="http://schemas.openxmlformats.org/officeDocument/2006/relationships">
  <sheetPr codeName="Sheet4"/>
  <dimension ref="A1"/>
  <sheetViews>
    <sheetView workbookViewId="0">
      <selection activeCell="J21" sqref="J21"/>
    </sheetView>
  </sheetViews>
  <sheetFormatPr defaultRowHeight="12.5"/>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7"/>
  <dimension ref="A1"/>
  <sheetViews>
    <sheetView workbookViewId="0">
      <selection activeCell="G15" sqref="G15"/>
    </sheetView>
  </sheetViews>
  <sheetFormatPr defaultRowHeight="1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21</vt:i4>
      </vt:variant>
    </vt:vector>
  </HeadingPairs>
  <TitlesOfParts>
    <vt:vector size="34" baseType="lpstr">
      <vt:lpstr>DELIVERY SCHEDULE</vt:lpstr>
      <vt:lpstr>Input Form</vt:lpstr>
      <vt:lpstr>Report</vt:lpstr>
      <vt:lpstr>Report Old</vt:lpstr>
      <vt:lpstr>Customers</vt:lpstr>
      <vt:lpstr>BUSHINGS</vt:lpstr>
      <vt:lpstr>PastDUE</vt:lpstr>
      <vt:lpstr>Kinectrics</vt:lpstr>
      <vt:lpstr>Cal</vt:lpstr>
      <vt:lpstr>Temp</vt:lpstr>
      <vt:lpstr>CustomersBK</vt:lpstr>
      <vt:lpstr>Sheet1</vt:lpstr>
      <vt:lpstr>Sheet2</vt:lpstr>
      <vt:lpstr>Contact</vt:lpstr>
      <vt:lpstr>CustomersBK!Cust</vt:lpstr>
      <vt:lpstr>Report!Cust</vt:lpstr>
      <vt:lpstr>'Report Old'!Cust</vt:lpstr>
      <vt:lpstr>Cust</vt:lpstr>
      <vt:lpstr>Customer</vt:lpstr>
      <vt:lpstr>date</vt:lpstr>
      <vt:lpstr>desc</vt:lpstr>
      <vt:lpstr>JobNum</vt:lpstr>
      <vt:lpstr>'Report Old'!month</vt:lpstr>
      <vt:lpstr>OD</vt:lpstr>
      <vt:lpstr>OE</vt:lpstr>
      <vt:lpstr>Parts</vt:lpstr>
      <vt:lpstr>po</vt:lpstr>
      <vt:lpstr>poline</vt:lpstr>
      <vt:lpstr>price</vt:lpstr>
      <vt:lpstr>Report!Print_Area</vt:lpstr>
      <vt:lpstr>'DELIVERY SCHEDULE'!Print_Titles</vt:lpstr>
      <vt:lpstr>QTY</vt:lpstr>
      <vt:lpstr>Revision</vt:lpstr>
      <vt:lpstr>'Report Old'!year</vt:lpstr>
    </vt:vector>
  </TitlesOfParts>
  <Company>RTD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RTD</dc:creator>
  <cp:lastModifiedBy>MP</cp:lastModifiedBy>
  <cp:lastPrinted>2026-01-15T16:57:26Z</cp:lastPrinted>
  <dcterms:created xsi:type="dcterms:W3CDTF">2008-12-04T18:55:41Z</dcterms:created>
  <dcterms:modified xsi:type="dcterms:W3CDTF">2026-02-13T19:21:43Z</dcterms:modified>
</cp:coreProperties>
</file>